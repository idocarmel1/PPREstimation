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archive\"/>
    </mc:Choice>
  </mc:AlternateContent>
  <xr:revisionPtr revIDLastSave="0" documentId="13_ncr:1_{496937B4-E9D9-43F4-A3C0-05D2FF9FA2CC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השוואת פקטורים" sheetId="6" r:id="rId1"/>
    <sheet name="PPRs all" sheetId="1" r:id="rId2"/>
    <sheet name="PPRs inner" sheetId="2" r:id="rId3"/>
    <sheet name="SPPR did not explode" sheetId="3" r:id="rId4"/>
    <sheet name="SPPR is balanced" sheetId="4" r:id="rId5"/>
    <sheet name="outflow minus in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7" i="6"/>
  <c r="G8" i="6" l="1"/>
  <c r="G9" i="6"/>
  <c r="I9" i="6" s="1"/>
  <c r="G10" i="6"/>
  <c r="G11" i="6"/>
  <c r="G12" i="6"/>
  <c r="G13" i="6"/>
  <c r="I13" i="6" s="1"/>
  <c r="G14" i="6"/>
  <c r="I14" i="6" s="1"/>
  <c r="G15" i="6"/>
  <c r="I15" i="6" s="1"/>
  <c r="G16" i="6"/>
  <c r="G17" i="6"/>
  <c r="G18" i="6"/>
  <c r="G19" i="6"/>
  <c r="G20" i="6"/>
  <c r="G21" i="6"/>
  <c r="I21" i="6" s="1"/>
  <c r="G22" i="6"/>
  <c r="G23" i="6"/>
  <c r="G24" i="6"/>
  <c r="G25" i="6"/>
  <c r="G26" i="6"/>
  <c r="G27" i="6"/>
  <c r="G28" i="6"/>
  <c r="G29" i="6"/>
  <c r="I29" i="6" s="1"/>
  <c r="G30" i="6"/>
  <c r="I30" i="6" s="1"/>
  <c r="G31" i="6"/>
  <c r="I31" i="6" s="1"/>
  <c r="G32" i="6"/>
  <c r="G33" i="6"/>
  <c r="G34" i="6"/>
  <c r="G35" i="6"/>
  <c r="G36" i="6"/>
  <c r="G37" i="6"/>
  <c r="I37" i="6" s="1"/>
  <c r="G38" i="6"/>
  <c r="I38" i="6" s="1"/>
  <c r="G39" i="6"/>
  <c r="I39" i="6" s="1"/>
  <c r="G40" i="6"/>
  <c r="G41" i="6"/>
  <c r="G42" i="6"/>
  <c r="G43" i="6"/>
  <c r="G44" i="6"/>
  <c r="G45" i="6"/>
  <c r="I45" i="6" s="1"/>
  <c r="G46" i="6"/>
  <c r="G47" i="6"/>
  <c r="G48" i="6"/>
  <c r="G49" i="6"/>
  <c r="G50" i="6"/>
  <c r="G51" i="6"/>
  <c r="G52" i="6"/>
  <c r="G53" i="6"/>
  <c r="I53" i="6" s="1"/>
  <c r="G54" i="6"/>
  <c r="I54" i="6" s="1"/>
  <c r="G55" i="6"/>
  <c r="I55" i="6" s="1"/>
  <c r="G56" i="6"/>
  <c r="G57" i="6"/>
  <c r="G58" i="6"/>
  <c r="G59" i="6"/>
  <c r="G60" i="6"/>
  <c r="G61" i="6"/>
  <c r="I61" i="6" s="1"/>
  <c r="G62" i="6"/>
  <c r="I62" i="6" s="1"/>
  <c r="G63" i="6"/>
  <c r="G64" i="6"/>
  <c r="G65" i="6"/>
  <c r="G66" i="6"/>
  <c r="G67" i="6"/>
  <c r="G68" i="6"/>
  <c r="G69" i="6"/>
  <c r="I69" i="6" s="1"/>
  <c r="G70" i="6"/>
  <c r="I70" i="6" s="1"/>
  <c r="G71" i="6"/>
  <c r="I71" i="6" s="1"/>
  <c r="G72" i="6"/>
  <c r="G73" i="6"/>
  <c r="G74" i="6"/>
  <c r="G75" i="6"/>
  <c r="G76" i="6"/>
  <c r="G77" i="6"/>
  <c r="I77" i="6" s="1"/>
  <c r="G78" i="6"/>
  <c r="I78" i="6" s="1"/>
  <c r="G79" i="6"/>
  <c r="I79" i="6" s="1"/>
  <c r="G80" i="6"/>
  <c r="G81" i="6"/>
  <c r="G82" i="6"/>
  <c r="G83" i="6"/>
  <c r="G84" i="6"/>
  <c r="G85" i="6"/>
  <c r="I85" i="6" s="1"/>
  <c r="G86" i="6"/>
  <c r="G87" i="6"/>
  <c r="G88" i="6"/>
  <c r="G89" i="6"/>
  <c r="G90" i="6"/>
  <c r="G91" i="6"/>
  <c r="G92" i="6"/>
  <c r="G93" i="6"/>
  <c r="I93" i="6" s="1"/>
  <c r="G94" i="6"/>
  <c r="I94" i="6" s="1"/>
  <c r="G95" i="6"/>
  <c r="I95" i="6" s="1"/>
  <c r="G96" i="6"/>
  <c r="G97" i="6"/>
  <c r="G98" i="6"/>
  <c r="G99" i="6"/>
  <c r="G100" i="6"/>
  <c r="G101" i="6"/>
  <c r="I101" i="6" s="1"/>
  <c r="G102" i="6"/>
  <c r="I102" i="6" s="1"/>
  <c r="G103" i="6"/>
  <c r="I103" i="6" s="1"/>
  <c r="G104" i="6"/>
  <c r="G105" i="6"/>
  <c r="G106" i="6"/>
  <c r="G107" i="6"/>
  <c r="G108" i="6"/>
  <c r="G109" i="6"/>
  <c r="I109" i="6" s="1"/>
  <c r="G110" i="6"/>
  <c r="G111" i="6"/>
  <c r="G112" i="6"/>
  <c r="G113" i="6"/>
  <c r="G7" i="6"/>
  <c r="K7" i="6"/>
  <c r="U6" i="6"/>
  <c r="K8" i="6"/>
  <c r="L8" i="6"/>
  <c r="M8" i="6"/>
  <c r="N8" i="6"/>
  <c r="O8" i="6"/>
  <c r="P8" i="6"/>
  <c r="Q8" i="6"/>
  <c r="R8" i="6"/>
  <c r="S8" i="6"/>
  <c r="T8" i="6"/>
  <c r="K9" i="6"/>
  <c r="L9" i="6"/>
  <c r="M9" i="6"/>
  <c r="N9" i="6"/>
  <c r="O9" i="6"/>
  <c r="P9" i="6"/>
  <c r="Q9" i="6"/>
  <c r="R9" i="6"/>
  <c r="S9" i="6"/>
  <c r="T9" i="6"/>
  <c r="K10" i="6"/>
  <c r="L10" i="6"/>
  <c r="M10" i="6"/>
  <c r="N10" i="6"/>
  <c r="O10" i="6"/>
  <c r="P10" i="6"/>
  <c r="Q10" i="6"/>
  <c r="R10" i="6"/>
  <c r="S10" i="6"/>
  <c r="T10" i="6"/>
  <c r="K11" i="6"/>
  <c r="L11" i="6"/>
  <c r="M11" i="6"/>
  <c r="N11" i="6"/>
  <c r="O11" i="6"/>
  <c r="P11" i="6"/>
  <c r="Q11" i="6"/>
  <c r="R11" i="6"/>
  <c r="S11" i="6"/>
  <c r="T11" i="6"/>
  <c r="K12" i="6"/>
  <c r="L12" i="6"/>
  <c r="M12" i="6"/>
  <c r="N12" i="6"/>
  <c r="O12" i="6"/>
  <c r="P12" i="6"/>
  <c r="Q12" i="6"/>
  <c r="R12" i="6"/>
  <c r="S12" i="6"/>
  <c r="T12" i="6"/>
  <c r="K13" i="6"/>
  <c r="L13" i="6"/>
  <c r="M13" i="6"/>
  <c r="N13" i="6"/>
  <c r="O13" i="6"/>
  <c r="P13" i="6"/>
  <c r="Q13" i="6"/>
  <c r="R13" i="6"/>
  <c r="S13" i="6"/>
  <c r="T13" i="6"/>
  <c r="K14" i="6"/>
  <c r="L14" i="6"/>
  <c r="M14" i="6"/>
  <c r="N14" i="6"/>
  <c r="O14" i="6"/>
  <c r="P14" i="6"/>
  <c r="Q14" i="6"/>
  <c r="R14" i="6"/>
  <c r="S14" i="6"/>
  <c r="T14" i="6"/>
  <c r="K15" i="6"/>
  <c r="L15" i="6"/>
  <c r="M15" i="6"/>
  <c r="N15" i="6"/>
  <c r="O15" i="6"/>
  <c r="P15" i="6"/>
  <c r="Q15" i="6"/>
  <c r="R15" i="6"/>
  <c r="S15" i="6"/>
  <c r="T15" i="6"/>
  <c r="K16" i="6"/>
  <c r="L16" i="6"/>
  <c r="M16" i="6"/>
  <c r="N16" i="6"/>
  <c r="O16" i="6"/>
  <c r="P16" i="6"/>
  <c r="Q16" i="6"/>
  <c r="R16" i="6"/>
  <c r="S16" i="6"/>
  <c r="T16" i="6"/>
  <c r="K17" i="6"/>
  <c r="L17" i="6"/>
  <c r="M17" i="6"/>
  <c r="N17" i="6"/>
  <c r="O17" i="6"/>
  <c r="P17" i="6"/>
  <c r="Q17" i="6"/>
  <c r="R17" i="6"/>
  <c r="S17" i="6"/>
  <c r="T17" i="6"/>
  <c r="K18" i="6"/>
  <c r="L18" i="6"/>
  <c r="M18" i="6"/>
  <c r="N18" i="6"/>
  <c r="O18" i="6"/>
  <c r="P18" i="6"/>
  <c r="Q18" i="6"/>
  <c r="R18" i="6"/>
  <c r="S18" i="6"/>
  <c r="T18" i="6"/>
  <c r="K19" i="6"/>
  <c r="L19" i="6"/>
  <c r="M19" i="6"/>
  <c r="N19" i="6"/>
  <c r="O19" i="6"/>
  <c r="P19" i="6"/>
  <c r="Q19" i="6"/>
  <c r="R19" i="6"/>
  <c r="S19" i="6"/>
  <c r="T19" i="6"/>
  <c r="K20" i="6"/>
  <c r="L20" i="6"/>
  <c r="M20" i="6"/>
  <c r="N20" i="6"/>
  <c r="O20" i="6"/>
  <c r="P20" i="6"/>
  <c r="Q20" i="6"/>
  <c r="R20" i="6"/>
  <c r="S20" i="6"/>
  <c r="T20" i="6"/>
  <c r="K21" i="6"/>
  <c r="L21" i="6"/>
  <c r="M21" i="6"/>
  <c r="N21" i="6"/>
  <c r="O21" i="6"/>
  <c r="P21" i="6"/>
  <c r="Q21" i="6"/>
  <c r="R21" i="6"/>
  <c r="S21" i="6"/>
  <c r="T21" i="6"/>
  <c r="K22" i="6"/>
  <c r="L22" i="6"/>
  <c r="M22" i="6"/>
  <c r="N22" i="6"/>
  <c r="O22" i="6"/>
  <c r="P22" i="6"/>
  <c r="Q22" i="6"/>
  <c r="R22" i="6"/>
  <c r="S22" i="6"/>
  <c r="T22" i="6"/>
  <c r="K23" i="6"/>
  <c r="L23" i="6"/>
  <c r="M23" i="6"/>
  <c r="N23" i="6"/>
  <c r="O23" i="6"/>
  <c r="P23" i="6"/>
  <c r="Q23" i="6"/>
  <c r="R23" i="6"/>
  <c r="S23" i="6"/>
  <c r="T23" i="6"/>
  <c r="K24" i="6"/>
  <c r="L24" i="6"/>
  <c r="M24" i="6"/>
  <c r="N24" i="6"/>
  <c r="O24" i="6"/>
  <c r="P24" i="6"/>
  <c r="Q24" i="6"/>
  <c r="R24" i="6"/>
  <c r="S24" i="6"/>
  <c r="T24" i="6"/>
  <c r="K25" i="6"/>
  <c r="L25" i="6"/>
  <c r="M25" i="6"/>
  <c r="N25" i="6"/>
  <c r="O25" i="6"/>
  <c r="P25" i="6"/>
  <c r="Q25" i="6"/>
  <c r="R25" i="6"/>
  <c r="S25" i="6"/>
  <c r="T25" i="6"/>
  <c r="K26" i="6"/>
  <c r="L26" i="6"/>
  <c r="M26" i="6"/>
  <c r="N26" i="6"/>
  <c r="O26" i="6"/>
  <c r="P26" i="6"/>
  <c r="Q26" i="6"/>
  <c r="R26" i="6"/>
  <c r="S26" i="6"/>
  <c r="T26" i="6"/>
  <c r="K27" i="6"/>
  <c r="L27" i="6"/>
  <c r="M27" i="6"/>
  <c r="N27" i="6"/>
  <c r="O27" i="6"/>
  <c r="P27" i="6"/>
  <c r="Q27" i="6"/>
  <c r="R27" i="6"/>
  <c r="S27" i="6"/>
  <c r="T27" i="6"/>
  <c r="K28" i="6"/>
  <c r="L28" i="6"/>
  <c r="M28" i="6"/>
  <c r="N28" i="6"/>
  <c r="O28" i="6"/>
  <c r="P28" i="6"/>
  <c r="Q28" i="6"/>
  <c r="R28" i="6"/>
  <c r="S28" i="6"/>
  <c r="T28" i="6"/>
  <c r="K29" i="6"/>
  <c r="L29" i="6"/>
  <c r="M29" i="6"/>
  <c r="N29" i="6"/>
  <c r="O29" i="6"/>
  <c r="P29" i="6"/>
  <c r="Q29" i="6"/>
  <c r="R29" i="6"/>
  <c r="S29" i="6"/>
  <c r="T29" i="6"/>
  <c r="K30" i="6"/>
  <c r="L30" i="6"/>
  <c r="M30" i="6"/>
  <c r="N30" i="6"/>
  <c r="O30" i="6"/>
  <c r="P30" i="6"/>
  <c r="Q30" i="6"/>
  <c r="R30" i="6"/>
  <c r="S30" i="6"/>
  <c r="T30" i="6"/>
  <c r="K31" i="6"/>
  <c r="L31" i="6"/>
  <c r="M31" i="6"/>
  <c r="N31" i="6"/>
  <c r="O31" i="6"/>
  <c r="P31" i="6"/>
  <c r="Q31" i="6"/>
  <c r="R31" i="6"/>
  <c r="S31" i="6"/>
  <c r="T31" i="6"/>
  <c r="K32" i="6"/>
  <c r="L32" i="6"/>
  <c r="M32" i="6"/>
  <c r="N32" i="6"/>
  <c r="O32" i="6"/>
  <c r="P32" i="6"/>
  <c r="Q32" i="6"/>
  <c r="R32" i="6"/>
  <c r="S32" i="6"/>
  <c r="T32" i="6"/>
  <c r="K33" i="6"/>
  <c r="L33" i="6"/>
  <c r="M33" i="6"/>
  <c r="N33" i="6"/>
  <c r="O33" i="6"/>
  <c r="P33" i="6"/>
  <c r="Q33" i="6"/>
  <c r="R33" i="6"/>
  <c r="S33" i="6"/>
  <c r="T33" i="6"/>
  <c r="K34" i="6"/>
  <c r="L34" i="6"/>
  <c r="M34" i="6"/>
  <c r="N34" i="6"/>
  <c r="O34" i="6"/>
  <c r="P34" i="6"/>
  <c r="Q34" i="6"/>
  <c r="R34" i="6"/>
  <c r="S34" i="6"/>
  <c r="T34" i="6"/>
  <c r="K35" i="6"/>
  <c r="L35" i="6"/>
  <c r="M35" i="6"/>
  <c r="N35" i="6"/>
  <c r="O35" i="6"/>
  <c r="P35" i="6"/>
  <c r="Q35" i="6"/>
  <c r="R35" i="6"/>
  <c r="S35" i="6"/>
  <c r="T35" i="6"/>
  <c r="K36" i="6"/>
  <c r="L36" i="6"/>
  <c r="M36" i="6"/>
  <c r="N36" i="6"/>
  <c r="O36" i="6"/>
  <c r="P36" i="6"/>
  <c r="Q36" i="6"/>
  <c r="R36" i="6"/>
  <c r="S36" i="6"/>
  <c r="T36" i="6"/>
  <c r="K37" i="6"/>
  <c r="L37" i="6"/>
  <c r="M37" i="6"/>
  <c r="N37" i="6"/>
  <c r="O37" i="6"/>
  <c r="P37" i="6"/>
  <c r="Q37" i="6"/>
  <c r="R37" i="6"/>
  <c r="S37" i="6"/>
  <c r="T37" i="6"/>
  <c r="K38" i="6"/>
  <c r="L38" i="6"/>
  <c r="M38" i="6"/>
  <c r="N38" i="6"/>
  <c r="O38" i="6"/>
  <c r="P38" i="6"/>
  <c r="Q38" i="6"/>
  <c r="R38" i="6"/>
  <c r="S38" i="6"/>
  <c r="T38" i="6"/>
  <c r="K39" i="6"/>
  <c r="L39" i="6"/>
  <c r="M39" i="6"/>
  <c r="N39" i="6"/>
  <c r="O39" i="6"/>
  <c r="P39" i="6"/>
  <c r="Q39" i="6"/>
  <c r="R39" i="6"/>
  <c r="S39" i="6"/>
  <c r="T39" i="6"/>
  <c r="K40" i="6"/>
  <c r="L40" i="6"/>
  <c r="M40" i="6"/>
  <c r="N40" i="6"/>
  <c r="O40" i="6"/>
  <c r="P40" i="6"/>
  <c r="Q40" i="6"/>
  <c r="R40" i="6"/>
  <c r="S40" i="6"/>
  <c r="T40" i="6"/>
  <c r="K41" i="6"/>
  <c r="L41" i="6"/>
  <c r="M41" i="6"/>
  <c r="N41" i="6"/>
  <c r="O41" i="6"/>
  <c r="P41" i="6"/>
  <c r="Q41" i="6"/>
  <c r="R41" i="6"/>
  <c r="S41" i="6"/>
  <c r="T41" i="6"/>
  <c r="K42" i="6"/>
  <c r="L42" i="6"/>
  <c r="M42" i="6"/>
  <c r="N42" i="6"/>
  <c r="O42" i="6"/>
  <c r="P42" i="6"/>
  <c r="Q42" i="6"/>
  <c r="R42" i="6"/>
  <c r="S42" i="6"/>
  <c r="T42" i="6"/>
  <c r="K43" i="6"/>
  <c r="L43" i="6"/>
  <c r="M43" i="6"/>
  <c r="N43" i="6"/>
  <c r="O43" i="6"/>
  <c r="P43" i="6"/>
  <c r="Q43" i="6"/>
  <c r="R43" i="6"/>
  <c r="S43" i="6"/>
  <c r="T43" i="6"/>
  <c r="K44" i="6"/>
  <c r="L44" i="6"/>
  <c r="M44" i="6"/>
  <c r="N44" i="6"/>
  <c r="O44" i="6"/>
  <c r="P44" i="6"/>
  <c r="Q44" i="6"/>
  <c r="R44" i="6"/>
  <c r="S44" i="6"/>
  <c r="T44" i="6"/>
  <c r="K45" i="6"/>
  <c r="L45" i="6"/>
  <c r="M45" i="6"/>
  <c r="N45" i="6"/>
  <c r="O45" i="6"/>
  <c r="P45" i="6"/>
  <c r="Q45" i="6"/>
  <c r="R45" i="6"/>
  <c r="S45" i="6"/>
  <c r="T45" i="6"/>
  <c r="K46" i="6"/>
  <c r="L46" i="6"/>
  <c r="M46" i="6"/>
  <c r="N46" i="6"/>
  <c r="O46" i="6"/>
  <c r="P46" i="6"/>
  <c r="Q46" i="6"/>
  <c r="R46" i="6"/>
  <c r="S46" i="6"/>
  <c r="T46" i="6"/>
  <c r="K47" i="6"/>
  <c r="L47" i="6"/>
  <c r="M47" i="6"/>
  <c r="N47" i="6"/>
  <c r="O47" i="6"/>
  <c r="P47" i="6"/>
  <c r="Q47" i="6"/>
  <c r="R47" i="6"/>
  <c r="S47" i="6"/>
  <c r="T47" i="6"/>
  <c r="K48" i="6"/>
  <c r="L48" i="6"/>
  <c r="M48" i="6"/>
  <c r="N48" i="6"/>
  <c r="O48" i="6"/>
  <c r="P48" i="6"/>
  <c r="Q48" i="6"/>
  <c r="R48" i="6"/>
  <c r="S48" i="6"/>
  <c r="T48" i="6"/>
  <c r="K49" i="6"/>
  <c r="L49" i="6"/>
  <c r="M49" i="6"/>
  <c r="N49" i="6"/>
  <c r="O49" i="6"/>
  <c r="P49" i="6"/>
  <c r="Q49" i="6"/>
  <c r="R49" i="6"/>
  <c r="S49" i="6"/>
  <c r="T49" i="6"/>
  <c r="K50" i="6"/>
  <c r="L50" i="6"/>
  <c r="M50" i="6"/>
  <c r="N50" i="6"/>
  <c r="O50" i="6"/>
  <c r="P50" i="6"/>
  <c r="Q50" i="6"/>
  <c r="R50" i="6"/>
  <c r="S50" i="6"/>
  <c r="T50" i="6"/>
  <c r="K51" i="6"/>
  <c r="L51" i="6"/>
  <c r="M51" i="6"/>
  <c r="N51" i="6"/>
  <c r="O51" i="6"/>
  <c r="P51" i="6"/>
  <c r="Q51" i="6"/>
  <c r="R51" i="6"/>
  <c r="S51" i="6"/>
  <c r="T51" i="6"/>
  <c r="K52" i="6"/>
  <c r="L52" i="6"/>
  <c r="M52" i="6"/>
  <c r="N52" i="6"/>
  <c r="O52" i="6"/>
  <c r="P52" i="6"/>
  <c r="Q52" i="6"/>
  <c r="R52" i="6"/>
  <c r="S52" i="6"/>
  <c r="T52" i="6"/>
  <c r="K53" i="6"/>
  <c r="L53" i="6"/>
  <c r="M53" i="6"/>
  <c r="N53" i="6"/>
  <c r="O53" i="6"/>
  <c r="P53" i="6"/>
  <c r="Q53" i="6"/>
  <c r="R53" i="6"/>
  <c r="S53" i="6"/>
  <c r="T53" i="6"/>
  <c r="K54" i="6"/>
  <c r="L54" i="6"/>
  <c r="M54" i="6"/>
  <c r="N54" i="6"/>
  <c r="O54" i="6"/>
  <c r="P54" i="6"/>
  <c r="Q54" i="6"/>
  <c r="R54" i="6"/>
  <c r="S54" i="6"/>
  <c r="T54" i="6"/>
  <c r="K55" i="6"/>
  <c r="L55" i="6"/>
  <c r="M55" i="6"/>
  <c r="N55" i="6"/>
  <c r="O55" i="6"/>
  <c r="P55" i="6"/>
  <c r="Q55" i="6"/>
  <c r="R55" i="6"/>
  <c r="S55" i="6"/>
  <c r="T55" i="6"/>
  <c r="K56" i="6"/>
  <c r="L56" i="6"/>
  <c r="M56" i="6"/>
  <c r="N56" i="6"/>
  <c r="O56" i="6"/>
  <c r="P56" i="6"/>
  <c r="Q56" i="6"/>
  <c r="R56" i="6"/>
  <c r="S56" i="6"/>
  <c r="T56" i="6"/>
  <c r="K57" i="6"/>
  <c r="L57" i="6"/>
  <c r="M57" i="6"/>
  <c r="N57" i="6"/>
  <c r="O57" i="6"/>
  <c r="P57" i="6"/>
  <c r="Q57" i="6"/>
  <c r="R57" i="6"/>
  <c r="S57" i="6"/>
  <c r="T57" i="6"/>
  <c r="K58" i="6"/>
  <c r="L58" i="6"/>
  <c r="M58" i="6"/>
  <c r="N58" i="6"/>
  <c r="O58" i="6"/>
  <c r="P58" i="6"/>
  <c r="Q58" i="6"/>
  <c r="R58" i="6"/>
  <c r="S58" i="6"/>
  <c r="T58" i="6"/>
  <c r="K59" i="6"/>
  <c r="L59" i="6"/>
  <c r="M59" i="6"/>
  <c r="N59" i="6"/>
  <c r="O59" i="6"/>
  <c r="P59" i="6"/>
  <c r="Q59" i="6"/>
  <c r="R59" i="6"/>
  <c r="S59" i="6"/>
  <c r="T59" i="6"/>
  <c r="K60" i="6"/>
  <c r="L60" i="6"/>
  <c r="M60" i="6"/>
  <c r="N60" i="6"/>
  <c r="O60" i="6"/>
  <c r="P60" i="6"/>
  <c r="Q60" i="6"/>
  <c r="R60" i="6"/>
  <c r="S60" i="6"/>
  <c r="T60" i="6"/>
  <c r="K61" i="6"/>
  <c r="L61" i="6"/>
  <c r="M61" i="6"/>
  <c r="N61" i="6"/>
  <c r="O61" i="6"/>
  <c r="P61" i="6"/>
  <c r="Q61" i="6"/>
  <c r="R61" i="6"/>
  <c r="S61" i="6"/>
  <c r="T61" i="6"/>
  <c r="K62" i="6"/>
  <c r="L62" i="6"/>
  <c r="M62" i="6"/>
  <c r="N62" i="6"/>
  <c r="O62" i="6"/>
  <c r="P62" i="6"/>
  <c r="Q62" i="6"/>
  <c r="R62" i="6"/>
  <c r="S62" i="6"/>
  <c r="T62" i="6"/>
  <c r="K63" i="6"/>
  <c r="L63" i="6"/>
  <c r="M63" i="6"/>
  <c r="N63" i="6"/>
  <c r="O63" i="6"/>
  <c r="P63" i="6"/>
  <c r="Q63" i="6"/>
  <c r="R63" i="6"/>
  <c r="S63" i="6"/>
  <c r="T63" i="6"/>
  <c r="K64" i="6"/>
  <c r="L64" i="6"/>
  <c r="M64" i="6"/>
  <c r="N64" i="6"/>
  <c r="O64" i="6"/>
  <c r="P64" i="6"/>
  <c r="Q64" i="6"/>
  <c r="R64" i="6"/>
  <c r="S64" i="6"/>
  <c r="T64" i="6"/>
  <c r="K65" i="6"/>
  <c r="L65" i="6"/>
  <c r="M65" i="6"/>
  <c r="N65" i="6"/>
  <c r="O65" i="6"/>
  <c r="P65" i="6"/>
  <c r="Q65" i="6"/>
  <c r="R65" i="6"/>
  <c r="S65" i="6"/>
  <c r="T65" i="6"/>
  <c r="K66" i="6"/>
  <c r="L66" i="6"/>
  <c r="M66" i="6"/>
  <c r="N66" i="6"/>
  <c r="O66" i="6"/>
  <c r="P66" i="6"/>
  <c r="Q66" i="6"/>
  <c r="R66" i="6"/>
  <c r="S66" i="6"/>
  <c r="T66" i="6"/>
  <c r="K67" i="6"/>
  <c r="L67" i="6"/>
  <c r="M67" i="6"/>
  <c r="N67" i="6"/>
  <c r="O67" i="6"/>
  <c r="P67" i="6"/>
  <c r="Q67" i="6"/>
  <c r="R67" i="6"/>
  <c r="S67" i="6"/>
  <c r="T67" i="6"/>
  <c r="K68" i="6"/>
  <c r="L68" i="6"/>
  <c r="M68" i="6"/>
  <c r="N68" i="6"/>
  <c r="O68" i="6"/>
  <c r="P68" i="6"/>
  <c r="Q68" i="6"/>
  <c r="R68" i="6"/>
  <c r="S68" i="6"/>
  <c r="T68" i="6"/>
  <c r="K69" i="6"/>
  <c r="L69" i="6"/>
  <c r="M69" i="6"/>
  <c r="N69" i="6"/>
  <c r="O69" i="6"/>
  <c r="P69" i="6"/>
  <c r="Q69" i="6"/>
  <c r="R69" i="6"/>
  <c r="S69" i="6"/>
  <c r="T69" i="6"/>
  <c r="K70" i="6"/>
  <c r="L70" i="6"/>
  <c r="M70" i="6"/>
  <c r="N70" i="6"/>
  <c r="O70" i="6"/>
  <c r="P70" i="6"/>
  <c r="Q70" i="6"/>
  <c r="R70" i="6"/>
  <c r="S70" i="6"/>
  <c r="T70" i="6"/>
  <c r="K71" i="6"/>
  <c r="L71" i="6"/>
  <c r="M71" i="6"/>
  <c r="N71" i="6"/>
  <c r="O71" i="6"/>
  <c r="P71" i="6"/>
  <c r="Q71" i="6"/>
  <c r="R71" i="6"/>
  <c r="S71" i="6"/>
  <c r="T71" i="6"/>
  <c r="K72" i="6"/>
  <c r="L72" i="6"/>
  <c r="M72" i="6"/>
  <c r="N72" i="6"/>
  <c r="O72" i="6"/>
  <c r="P72" i="6"/>
  <c r="Q72" i="6"/>
  <c r="R72" i="6"/>
  <c r="S72" i="6"/>
  <c r="T72" i="6"/>
  <c r="K73" i="6"/>
  <c r="L73" i="6"/>
  <c r="M73" i="6"/>
  <c r="N73" i="6"/>
  <c r="O73" i="6"/>
  <c r="P73" i="6"/>
  <c r="Q73" i="6"/>
  <c r="R73" i="6"/>
  <c r="S73" i="6"/>
  <c r="T73" i="6"/>
  <c r="K74" i="6"/>
  <c r="L74" i="6"/>
  <c r="M74" i="6"/>
  <c r="N74" i="6"/>
  <c r="O74" i="6"/>
  <c r="P74" i="6"/>
  <c r="Q74" i="6"/>
  <c r="R74" i="6"/>
  <c r="S74" i="6"/>
  <c r="T74" i="6"/>
  <c r="K75" i="6"/>
  <c r="L75" i="6"/>
  <c r="M75" i="6"/>
  <c r="N75" i="6"/>
  <c r="O75" i="6"/>
  <c r="P75" i="6"/>
  <c r="Q75" i="6"/>
  <c r="R75" i="6"/>
  <c r="S75" i="6"/>
  <c r="T75" i="6"/>
  <c r="K76" i="6"/>
  <c r="L76" i="6"/>
  <c r="M76" i="6"/>
  <c r="N76" i="6"/>
  <c r="O76" i="6"/>
  <c r="P76" i="6"/>
  <c r="Q76" i="6"/>
  <c r="R76" i="6"/>
  <c r="S76" i="6"/>
  <c r="T76" i="6"/>
  <c r="K77" i="6"/>
  <c r="L77" i="6"/>
  <c r="M77" i="6"/>
  <c r="N77" i="6"/>
  <c r="O77" i="6"/>
  <c r="P77" i="6"/>
  <c r="Q77" i="6"/>
  <c r="R77" i="6"/>
  <c r="S77" i="6"/>
  <c r="T77" i="6"/>
  <c r="K78" i="6"/>
  <c r="L78" i="6"/>
  <c r="M78" i="6"/>
  <c r="N78" i="6"/>
  <c r="O78" i="6"/>
  <c r="P78" i="6"/>
  <c r="Q78" i="6"/>
  <c r="R78" i="6"/>
  <c r="S78" i="6"/>
  <c r="T78" i="6"/>
  <c r="K79" i="6"/>
  <c r="L79" i="6"/>
  <c r="M79" i="6"/>
  <c r="N79" i="6"/>
  <c r="O79" i="6"/>
  <c r="P79" i="6"/>
  <c r="Q79" i="6"/>
  <c r="R79" i="6"/>
  <c r="S79" i="6"/>
  <c r="T79" i="6"/>
  <c r="K80" i="6"/>
  <c r="L80" i="6"/>
  <c r="M80" i="6"/>
  <c r="N80" i="6"/>
  <c r="O80" i="6"/>
  <c r="P80" i="6"/>
  <c r="Q80" i="6"/>
  <c r="R80" i="6"/>
  <c r="S80" i="6"/>
  <c r="T80" i="6"/>
  <c r="K81" i="6"/>
  <c r="L81" i="6"/>
  <c r="M81" i="6"/>
  <c r="N81" i="6"/>
  <c r="O81" i="6"/>
  <c r="P81" i="6"/>
  <c r="Q81" i="6"/>
  <c r="R81" i="6"/>
  <c r="S81" i="6"/>
  <c r="T81" i="6"/>
  <c r="K82" i="6"/>
  <c r="L82" i="6"/>
  <c r="M82" i="6"/>
  <c r="N82" i="6"/>
  <c r="O82" i="6"/>
  <c r="P82" i="6"/>
  <c r="Q82" i="6"/>
  <c r="R82" i="6"/>
  <c r="S82" i="6"/>
  <c r="T82" i="6"/>
  <c r="K83" i="6"/>
  <c r="L83" i="6"/>
  <c r="M83" i="6"/>
  <c r="N83" i="6"/>
  <c r="O83" i="6"/>
  <c r="P83" i="6"/>
  <c r="Q83" i="6"/>
  <c r="R83" i="6"/>
  <c r="S83" i="6"/>
  <c r="T83" i="6"/>
  <c r="K84" i="6"/>
  <c r="L84" i="6"/>
  <c r="M84" i="6"/>
  <c r="N84" i="6"/>
  <c r="O84" i="6"/>
  <c r="P84" i="6"/>
  <c r="Q84" i="6"/>
  <c r="R84" i="6"/>
  <c r="S84" i="6"/>
  <c r="T84" i="6"/>
  <c r="K85" i="6"/>
  <c r="L85" i="6"/>
  <c r="M85" i="6"/>
  <c r="N85" i="6"/>
  <c r="O85" i="6"/>
  <c r="P85" i="6"/>
  <c r="Q85" i="6"/>
  <c r="R85" i="6"/>
  <c r="S85" i="6"/>
  <c r="T85" i="6"/>
  <c r="K86" i="6"/>
  <c r="L86" i="6"/>
  <c r="M86" i="6"/>
  <c r="N86" i="6"/>
  <c r="O86" i="6"/>
  <c r="P86" i="6"/>
  <c r="Q86" i="6"/>
  <c r="R86" i="6"/>
  <c r="S86" i="6"/>
  <c r="T86" i="6"/>
  <c r="K87" i="6"/>
  <c r="L87" i="6"/>
  <c r="M87" i="6"/>
  <c r="N87" i="6"/>
  <c r="O87" i="6"/>
  <c r="P87" i="6"/>
  <c r="Q87" i="6"/>
  <c r="R87" i="6"/>
  <c r="S87" i="6"/>
  <c r="T87" i="6"/>
  <c r="K88" i="6"/>
  <c r="L88" i="6"/>
  <c r="M88" i="6"/>
  <c r="N88" i="6"/>
  <c r="O88" i="6"/>
  <c r="P88" i="6"/>
  <c r="Q88" i="6"/>
  <c r="R88" i="6"/>
  <c r="S88" i="6"/>
  <c r="T88" i="6"/>
  <c r="K89" i="6"/>
  <c r="L89" i="6"/>
  <c r="M89" i="6"/>
  <c r="N89" i="6"/>
  <c r="O89" i="6"/>
  <c r="P89" i="6"/>
  <c r="Q89" i="6"/>
  <c r="R89" i="6"/>
  <c r="S89" i="6"/>
  <c r="T89" i="6"/>
  <c r="K90" i="6"/>
  <c r="L90" i="6"/>
  <c r="M90" i="6"/>
  <c r="N90" i="6"/>
  <c r="O90" i="6"/>
  <c r="P90" i="6"/>
  <c r="Q90" i="6"/>
  <c r="R90" i="6"/>
  <c r="S90" i="6"/>
  <c r="T90" i="6"/>
  <c r="K91" i="6"/>
  <c r="L91" i="6"/>
  <c r="M91" i="6"/>
  <c r="N91" i="6"/>
  <c r="O91" i="6"/>
  <c r="P91" i="6"/>
  <c r="Q91" i="6"/>
  <c r="R91" i="6"/>
  <c r="S91" i="6"/>
  <c r="T91" i="6"/>
  <c r="K92" i="6"/>
  <c r="L92" i="6"/>
  <c r="M92" i="6"/>
  <c r="N92" i="6"/>
  <c r="O92" i="6"/>
  <c r="P92" i="6"/>
  <c r="Q92" i="6"/>
  <c r="R92" i="6"/>
  <c r="S92" i="6"/>
  <c r="T92" i="6"/>
  <c r="K93" i="6"/>
  <c r="L93" i="6"/>
  <c r="M93" i="6"/>
  <c r="N93" i="6"/>
  <c r="O93" i="6"/>
  <c r="P93" i="6"/>
  <c r="Q93" i="6"/>
  <c r="R93" i="6"/>
  <c r="S93" i="6"/>
  <c r="T93" i="6"/>
  <c r="K94" i="6"/>
  <c r="L94" i="6"/>
  <c r="M94" i="6"/>
  <c r="N94" i="6"/>
  <c r="O94" i="6"/>
  <c r="P94" i="6"/>
  <c r="Q94" i="6"/>
  <c r="R94" i="6"/>
  <c r="S94" i="6"/>
  <c r="T94" i="6"/>
  <c r="K95" i="6"/>
  <c r="L95" i="6"/>
  <c r="M95" i="6"/>
  <c r="N95" i="6"/>
  <c r="O95" i="6"/>
  <c r="P95" i="6"/>
  <c r="Q95" i="6"/>
  <c r="R95" i="6"/>
  <c r="S95" i="6"/>
  <c r="T95" i="6"/>
  <c r="K96" i="6"/>
  <c r="L96" i="6"/>
  <c r="M96" i="6"/>
  <c r="N96" i="6"/>
  <c r="O96" i="6"/>
  <c r="P96" i="6"/>
  <c r="Q96" i="6"/>
  <c r="R96" i="6"/>
  <c r="S96" i="6"/>
  <c r="T96" i="6"/>
  <c r="K97" i="6"/>
  <c r="L97" i="6"/>
  <c r="M97" i="6"/>
  <c r="N97" i="6"/>
  <c r="O97" i="6"/>
  <c r="P97" i="6"/>
  <c r="Q97" i="6"/>
  <c r="R97" i="6"/>
  <c r="S97" i="6"/>
  <c r="T97" i="6"/>
  <c r="K98" i="6"/>
  <c r="L98" i="6"/>
  <c r="M98" i="6"/>
  <c r="N98" i="6"/>
  <c r="O98" i="6"/>
  <c r="P98" i="6"/>
  <c r="Q98" i="6"/>
  <c r="R98" i="6"/>
  <c r="S98" i="6"/>
  <c r="T98" i="6"/>
  <c r="K99" i="6"/>
  <c r="L99" i="6"/>
  <c r="M99" i="6"/>
  <c r="N99" i="6"/>
  <c r="O99" i="6"/>
  <c r="P99" i="6"/>
  <c r="Q99" i="6"/>
  <c r="R99" i="6"/>
  <c r="S99" i="6"/>
  <c r="T99" i="6"/>
  <c r="K100" i="6"/>
  <c r="L100" i="6"/>
  <c r="M100" i="6"/>
  <c r="N100" i="6"/>
  <c r="O100" i="6"/>
  <c r="P100" i="6"/>
  <c r="Q100" i="6"/>
  <c r="R100" i="6"/>
  <c r="S100" i="6"/>
  <c r="T100" i="6"/>
  <c r="K101" i="6"/>
  <c r="L101" i="6"/>
  <c r="M101" i="6"/>
  <c r="N101" i="6"/>
  <c r="O101" i="6"/>
  <c r="P101" i="6"/>
  <c r="Q101" i="6"/>
  <c r="R101" i="6"/>
  <c r="S101" i="6"/>
  <c r="T101" i="6"/>
  <c r="K102" i="6"/>
  <c r="L102" i="6"/>
  <c r="M102" i="6"/>
  <c r="N102" i="6"/>
  <c r="O102" i="6"/>
  <c r="P102" i="6"/>
  <c r="Q102" i="6"/>
  <c r="R102" i="6"/>
  <c r="S102" i="6"/>
  <c r="T102" i="6"/>
  <c r="K103" i="6"/>
  <c r="L103" i="6"/>
  <c r="M103" i="6"/>
  <c r="N103" i="6"/>
  <c r="O103" i="6"/>
  <c r="P103" i="6"/>
  <c r="Q103" i="6"/>
  <c r="R103" i="6"/>
  <c r="S103" i="6"/>
  <c r="T103" i="6"/>
  <c r="K104" i="6"/>
  <c r="L104" i="6"/>
  <c r="M104" i="6"/>
  <c r="N104" i="6"/>
  <c r="O104" i="6"/>
  <c r="P104" i="6"/>
  <c r="Q104" i="6"/>
  <c r="R104" i="6"/>
  <c r="S104" i="6"/>
  <c r="T104" i="6"/>
  <c r="K105" i="6"/>
  <c r="L105" i="6"/>
  <c r="M105" i="6"/>
  <c r="N105" i="6"/>
  <c r="O105" i="6"/>
  <c r="P105" i="6"/>
  <c r="Q105" i="6"/>
  <c r="R105" i="6"/>
  <c r="S105" i="6"/>
  <c r="T105" i="6"/>
  <c r="K106" i="6"/>
  <c r="L106" i="6"/>
  <c r="M106" i="6"/>
  <c r="N106" i="6"/>
  <c r="O106" i="6"/>
  <c r="P106" i="6"/>
  <c r="Q106" i="6"/>
  <c r="R106" i="6"/>
  <c r="S106" i="6"/>
  <c r="T106" i="6"/>
  <c r="K107" i="6"/>
  <c r="L107" i="6"/>
  <c r="M107" i="6"/>
  <c r="N107" i="6"/>
  <c r="O107" i="6"/>
  <c r="P107" i="6"/>
  <c r="Q107" i="6"/>
  <c r="R107" i="6"/>
  <c r="S107" i="6"/>
  <c r="T107" i="6"/>
  <c r="K108" i="6"/>
  <c r="L108" i="6"/>
  <c r="M108" i="6"/>
  <c r="N108" i="6"/>
  <c r="O108" i="6"/>
  <c r="P108" i="6"/>
  <c r="Q108" i="6"/>
  <c r="R108" i="6"/>
  <c r="S108" i="6"/>
  <c r="T108" i="6"/>
  <c r="K109" i="6"/>
  <c r="L109" i="6"/>
  <c r="M109" i="6"/>
  <c r="N109" i="6"/>
  <c r="O109" i="6"/>
  <c r="P109" i="6"/>
  <c r="Q109" i="6"/>
  <c r="R109" i="6"/>
  <c r="S109" i="6"/>
  <c r="T109" i="6"/>
  <c r="K110" i="6"/>
  <c r="L110" i="6"/>
  <c r="M110" i="6"/>
  <c r="N110" i="6"/>
  <c r="O110" i="6"/>
  <c r="P110" i="6"/>
  <c r="Q110" i="6"/>
  <c r="R110" i="6"/>
  <c r="S110" i="6"/>
  <c r="T110" i="6"/>
  <c r="K111" i="6"/>
  <c r="L111" i="6"/>
  <c r="M111" i="6"/>
  <c r="N111" i="6"/>
  <c r="O111" i="6"/>
  <c r="P111" i="6"/>
  <c r="Q111" i="6"/>
  <c r="R111" i="6"/>
  <c r="S111" i="6"/>
  <c r="T111" i="6"/>
  <c r="K112" i="6"/>
  <c r="L112" i="6"/>
  <c r="M112" i="6"/>
  <c r="N112" i="6"/>
  <c r="O112" i="6"/>
  <c r="P112" i="6"/>
  <c r="Q112" i="6"/>
  <c r="R112" i="6"/>
  <c r="S112" i="6"/>
  <c r="T112" i="6"/>
  <c r="K113" i="6"/>
  <c r="L113" i="6"/>
  <c r="M113" i="6"/>
  <c r="N113" i="6"/>
  <c r="O113" i="6"/>
  <c r="P113" i="6"/>
  <c r="Q113" i="6"/>
  <c r="R113" i="6"/>
  <c r="S113" i="6"/>
  <c r="T113" i="6"/>
  <c r="L7" i="6"/>
  <c r="M7" i="6"/>
  <c r="N7" i="6"/>
  <c r="O7" i="6"/>
  <c r="P7" i="6"/>
  <c r="Q7" i="6"/>
  <c r="R7" i="6"/>
  <c r="S7" i="6"/>
  <c r="T7" i="6"/>
  <c r="U9" i="6" l="1"/>
  <c r="Z9" i="6" s="1"/>
  <c r="U7" i="6"/>
  <c r="I87" i="6"/>
  <c r="I63" i="6"/>
  <c r="I110" i="6"/>
  <c r="I86" i="6"/>
  <c r="I46" i="6"/>
  <c r="I22" i="6"/>
  <c r="I47" i="6"/>
  <c r="I7" i="6"/>
  <c r="I98" i="6"/>
  <c r="I90" i="6"/>
  <c r="I82" i="6"/>
  <c r="I74" i="6"/>
  <c r="I66" i="6"/>
  <c r="I58" i="6"/>
  <c r="I50" i="6"/>
  <c r="I42" i="6"/>
  <c r="I34" i="6"/>
  <c r="I26" i="6"/>
  <c r="I18" i="6"/>
  <c r="I10" i="6"/>
  <c r="I111" i="6"/>
  <c r="I23" i="6"/>
  <c r="I106" i="6"/>
  <c r="I113" i="6"/>
  <c r="I105" i="6"/>
  <c r="I97" i="6"/>
  <c r="I89" i="6"/>
  <c r="I81" i="6"/>
  <c r="I73" i="6"/>
  <c r="I65" i="6"/>
  <c r="I57" i="6"/>
  <c r="I49" i="6"/>
  <c r="I41" i="6"/>
  <c r="I33" i="6"/>
  <c r="I25" i="6"/>
  <c r="I17" i="6"/>
  <c r="I108" i="6"/>
  <c r="I100" i="6"/>
  <c r="I92" i="6"/>
  <c r="I84" i="6"/>
  <c r="I76" i="6"/>
  <c r="I68" i="6"/>
  <c r="I60" i="6"/>
  <c r="I52" i="6"/>
  <c r="I44" i="6"/>
  <c r="I36" i="6"/>
  <c r="I28" i="6"/>
  <c r="I20" i="6"/>
  <c r="I12" i="6"/>
  <c r="I104" i="6"/>
  <c r="I88" i="6"/>
  <c r="I72" i="6"/>
  <c r="I56" i="6"/>
  <c r="I40" i="6"/>
  <c r="I32" i="6"/>
  <c r="I24" i="6"/>
  <c r="I16" i="6"/>
  <c r="I8" i="6"/>
  <c r="I107" i="6"/>
  <c r="I99" i="6"/>
  <c r="I91" i="6"/>
  <c r="I83" i="6"/>
  <c r="I75" i="6"/>
  <c r="I67" i="6"/>
  <c r="I59" i="6"/>
  <c r="I51" i="6"/>
  <c r="I43" i="6"/>
  <c r="I35" i="6"/>
  <c r="I27" i="6"/>
  <c r="I19" i="6"/>
  <c r="I11" i="6"/>
  <c r="I112" i="6"/>
  <c r="I96" i="6"/>
  <c r="I80" i="6"/>
  <c r="I64" i="6"/>
  <c r="I48" i="6"/>
  <c r="U79" i="6"/>
  <c r="U65" i="6"/>
  <c r="U97" i="6"/>
  <c r="U88" i="6"/>
  <c r="U106" i="6"/>
  <c r="U77" i="6"/>
  <c r="U29" i="6"/>
  <c r="U113" i="6"/>
  <c r="U104" i="6"/>
  <c r="U95" i="6"/>
  <c r="U86" i="6"/>
  <c r="U76" i="6"/>
  <c r="U63" i="6"/>
  <c r="U47" i="6"/>
  <c r="U24" i="6"/>
  <c r="U64" i="6"/>
  <c r="U112" i="6"/>
  <c r="U103" i="6"/>
  <c r="U94" i="6"/>
  <c r="U85" i="6"/>
  <c r="U73" i="6"/>
  <c r="U61" i="6"/>
  <c r="U45" i="6"/>
  <c r="U23" i="6"/>
  <c r="U111" i="6"/>
  <c r="U102" i="6"/>
  <c r="U93" i="6"/>
  <c r="U84" i="6"/>
  <c r="U72" i="6"/>
  <c r="U57" i="6"/>
  <c r="U40" i="6"/>
  <c r="U21" i="6"/>
  <c r="U49" i="6"/>
  <c r="U31" i="6"/>
  <c r="U8" i="6"/>
  <c r="U105" i="6"/>
  <c r="U101" i="6"/>
  <c r="U92" i="6"/>
  <c r="U82" i="6"/>
  <c r="U71" i="6"/>
  <c r="U56" i="6"/>
  <c r="U39" i="6"/>
  <c r="U16" i="6"/>
  <c r="U96" i="6"/>
  <c r="U48" i="6"/>
  <c r="U109" i="6"/>
  <c r="U100" i="6"/>
  <c r="U90" i="6"/>
  <c r="U81" i="6"/>
  <c r="U69" i="6"/>
  <c r="U55" i="6"/>
  <c r="U37" i="6"/>
  <c r="U15" i="6"/>
  <c r="U87" i="6"/>
  <c r="U110" i="6"/>
  <c r="U108" i="6"/>
  <c r="U98" i="6"/>
  <c r="U89" i="6"/>
  <c r="U80" i="6"/>
  <c r="U68" i="6"/>
  <c r="U53" i="6"/>
  <c r="U32" i="6"/>
  <c r="U13" i="6"/>
  <c r="U78" i="6"/>
  <c r="U70" i="6"/>
  <c r="U62" i="6"/>
  <c r="U54" i="6"/>
  <c r="U46" i="6"/>
  <c r="U38" i="6"/>
  <c r="U30" i="6"/>
  <c r="U22" i="6"/>
  <c r="U14" i="6"/>
  <c r="U60" i="6"/>
  <c r="U52" i="6"/>
  <c r="U44" i="6"/>
  <c r="U36" i="6"/>
  <c r="U28" i="6"/>
  <c r="U20" i="6"/>
  <c r="U12" i="6"/>
  <c r="U107" i="6"/>
  <c r="U99" i="6"/>
  <c r="U91" i="6"/>
  <c r="U83" i="6"/>
  <c r="U75" i="6"/>
  <c r="U67" i="6"/>
  <c r="U59" i="6"/>
  <c r="U51" i="6"/>
  <c r="U43" i="6"/>
  <c r="U35" i="6"/>
  <c r="U27" i="6"/>
  <c r="U19" i="6"/>
  <c r="U11" i="6"/>
  <c r="U74" i="6"/>
  <c r="U66" i="6"/>
  <c r="U58" i="6"/>
  <c r="U50" i="6"/>
  <c r="U42" i="6"/>
  <c r="U34" i="6"/>
  <c r="U26" i="6"/>
  <c r="U18" i="6"/>
  <c r="U10" i="6"/>
  <c r="Z10" i="6" s="1"/>
  <c r="U41" i="6"/>
  <c r="U33" i="6"/>
  <c r="U25" i="6"/>
  <c r="U17" i="6"/>
  <c r="M116" i="6" l="1"/>
  <c r="K116" i="6"/>
  <c r="K115" i="6"/>
  <c r="T116" i="6"/>
  <c r="L116" i="6"/>
  <c r="N116" i="6"/>
  <c r="O116" i="6"/>
  <c r="P116" i="6"/>
  <c r="Q116" i="6"/>
  <c r="R116" i="6"/>
  <c r="S116" i="6"/>
  <c r="U116" i="6"/>
  <c r="N114" i="6"/>
  <c r="T114" i="6"/>
  <c r="Z8" i="6"/>
  <c r="R115" i="6"/>
  <c r="N115" i="6"/>
  <c r="S115" i="6"/>
  <c r="Q115" i="6"/>
  <c r="P114" i="6"/>
  <c r="Q114" i="6"/>
  <c r="R114" i="6"/>
  <c r="P115" i="6"/>
  <c r="L115" i="6"/>
  <c r="S114" i="6"/>
  <c r="K114" i="6"/>
  <c r="L114" i="6"/>
  <c r="M115" i="6"/>
  <c r="O114" i="6"/>
  <c r="T115" i="6"/>
  <c r="M114" i="6"/>
  <c r="O115" i="6"/>
  <c r="U114" i="6"/>
  <c r="U115" i="6"/>
  <c r="Z7" i="6"/>
  <c r="Z11" i="6"/>
  <c r="Z35" i="6"/>
  <c r="Z12" i="6"/>
  <c r="Z14" i="6"/>
  <c r="Z13" i="6"/>
  <c r="Z31" i="6"/>
  <c r="Z23" i="6"/>
  <c r="Z25" i="6"/>
  <c r="Z16" i="6"/>
  <c r="Z34" i="6"/>
  <c r="Z33" i="6"/>
  <c r="Z20" i="6"/>
  <c r="Z18" i="6"/>
  <c r="Z32" i="6"/>
  <c r="Z22" i="6"/>
  <c r="Z19" i="6"/>
  <c r="Z24" i="6"/>
  <c r="Z17" i="6"/>
  <c r="Z15" i="6"/>
  <c r="Z21" i="6"/>
  <c r="Z29" i="6"/>
  <c r="Z30" i="6"/>
  <c r="Z28" i="6"/>
  <c r="Z27" i="6"/>
  <c r="Z26" i="6"/>
  <c r="Z114" i="6" l="1"/>
  <c r="Z115" i="6"/>
  <c r="Z116" i="6"/>
  <c r="Z36" i="6"/>
  <c r="Z37" i="6" l="1"/>
  <c r="Z38" i="6" l="1"/>
  <c r="Z39" i="6" l="1"/>
  <c r="Z40" i="6" l="1"/>
  <c r="Z41" i="6" l="1"/>
  <c r="Z42" i="6" l="1"/>
  <c r="Z43" i="6" l="1"/>
  <c r="Z44" i="6" l="1"/>
  <c r="Z45" i="6" l="1"/>
  <c r="Z46" i="6" l="1"/>
  <c r="Z47" i="6" l="1"/>
  <c r="Z48" i="6" l="1"/>
  <c r="Z49" i="6" l="1"/>
  <c r="Z50" i="6" l="1"/>
  <c r="Z51" i="6" l="1"/>
  <c r="Z52" i="6" l="1"/>
  <c r="Z53" i="6" l="1"/>
  <c r="Z54" i="6" l="1"/>
  <c r="Z55" i="6" l="1"/>
  <c r="Z56" i="6" l="1"/>
  <c r="Z57" i="6" l="1"/>
  <c r="Z58" i="6" l="1"/>
  <c r="Z59" i="6" l="1"/>
  <c r="Z60" i="6" l="1"/>
  <c r="Z61" i="6" l="1"/>
  <c r="Z62" i="6" l="1"/>
  <c r="Z63" i="6" l="1"/>
  <c r="Z64" i="6" l="1"/>
  <c r="Z65" i="6" l="1"/>
  <c r="Z66" i="6" l="1"/>
  <c r="Z67" i="6" l="1"/>
  <c r="Z68" i="6" l="1"/>
  <c r="Z69" i="6" l="1"/>
  <c r="Z70" i="6" l="1"/>
  <c r="Z71" i="6" l="1"/>
  <c r="Z72" i="6" l="1"/>
  <c r="Z73" i="6" l="1"/>
  <c r="Z74" i="6" l="1"/>
  <c r="Z75" i="6" l="1"/>
  <c r="Z76" i="6" l="1"/>
  <c r="Z77" i="6" l="1"/>
  <c r="Z78" i="6" l="1"/>
  <c r="Z79" i="6" l="1"/>
  <c r="Z80" i="6" l="1"/>
  <c r="Z81" i="6" l="1"/>
  <c r="Z82" i="6" l="1"/>
  <c r="Z83" i="6" l="1"/>
  <c r="Z84" i="6" l="1"/>
  <c r="Z85" i="6" l="1"/>
  <c r="Z86" i="6" l="1"/>
  <c r="Z87" i="6" l="1"/>
  <c r="Z88" i="6" l="1"/>
  <c r="Z89" i="6" l="1"/>
  <c r="Z90" i="6" l="1"/>
  <c r="Z91" i="6" l="1"/>
  <c r="Z92" i="6" l="1"/>
  <c r="Z93" i="6" l="1"/>
  <c r="Z94" i="6" l="1"/>
  <c r="Z95" i="6" l="1"/>
  <c r="Z96" i="6" l="1"/>
  <c r="Z97" i="6" l="1"/>
  <c r="Z98" i="6" l="1"/>
  <c r="Z99" i="6" l="1"/>
  <c r="Z100" i="6" l="1"/>
  <c r="Z101" i="6" l="1"/>
  <c r="Z102" i="6" l="1"/>
  <c r="Z103" i="6" l="1"/>
  <c r="Z104" i="6" l="1"/>
  <c r="Z105" i="6" l="1"/>
  <c r="Z106" i="6" l="1"/>
  <c r="Z107" i="6" l="1"/>
  <c r="Z108" i="6" l="1"/>
  <c r="Z109" i="6" l="1"/>
  <c r="Z110" i="6" l="1"/>
  <c r="Z111" i="6" l="1"/>
  <c r="Z112" i="6" l="1"/>
  <c r="Z113" i="6"/>
  <c r="G5" i="6" s="1"/>
  <c r="F5" i="6" l="1"/>
  <c r="D5" i="6"/>
  <c r="E5" i="6"/>
</calcChain>
</file>

<file path=xl/sharedStrings.xml><?xml version="1.0" encoding="utf-8"?>
<sst xmlns="http://schemas.openxmlformats.org/spreadsheetml/2006/main" count="783" uniqueCount="150">
  <si>
    <t>SPPR_1986</t>
  </si>
  <si>
    <t>SPPR_1995_mTL_global_TE_01</t>
  </si>
  <si>
    <t>SPPR_1995_TL2_global_TE_01</t>
  </si>
  <si>
    <t>SPPR_1995_mTL_global_mTE</t>
  </si>
  <si>
    <t>SPPR_1995_TL2_global_mTE</t>
  </si>
  <si>
    <t>SPPR_EwE_global_mTE</t>
  </si>
  <si>
    <t>SPPR_EwE_differential_TE</t>
  </si>
  <si>
    <t>SPPR_2015</t>
  </si>
  <si>
    <t>SPPR_new_2015</t>
  </si>
  <si>
    <t>SPPR_new_full</t>
  </si>
  <si>
    <t>SPPR_new_GE</t>
  </si>
  <si>
    <t>SPPR_symbolic_GE_import_as_PP</t>
  </si>
  <si>
    <t>SPPR_symbolic_GE_import_as_DC</t>
  </si>
  <si>
    <t>SPPR_symbolic_TE_import_as_PP</t>
  </si>
  <si>
    <t>SPPR_symbolic_TE_import_as_DC</t>
  </si>
  <si>
    <t>SPPR_symbolic_full_import_as_PP</t>
  </si>
  <si>
    <t>SPPR_symbolic_full_import_as_DC</t>
  </si>
  <si>
    <t>model is balanced</t>
  </si>
  <si>
    <t>DC rows sum to 1</t>
  </si>
  <si>
    <t>catch is not negative</t>
  </si>
  <si>
    <t>model is fine</t>
  </si>
  <si>
    <t>[2] Alaska, Prince William Sound 1980</t>
  </si>
  <si>
    <t>[7] Azores archipelago 1997</t>
  </si>
  <si>
    <t>[28] Central Atlantic 1950</t>
  </si>
  <si>
    <t>[29] Central Atlantic 1990</t>
  </si>
  <si>
    <t>[40] Eastern Scotian Shelf 1980</t>
  </si>
  <si>
    <t>[41] Eastern Scotian Shelf 1995</t>
  </si>
  <si>
    <t>[46] Denmark, Faroe Islands 1997</t>
  </si>
  <si>
    <t>[68] Icelandic shelf 1997</t>
  </si>
  <si>
    <t>[105] Grand Banks of Newfoundland 1900</t>
  </si>
  <si>
    <t>[107] Grand Banks of Newfoundland 1980</t>
  </si>
  <si>
    <t>[108] Grand Banks of Newfoundland 1990</t>
  </si>
  <si>
    <t>[111] North Atlantic 1950</t>
  </si>
  <si>
    <t>[112] North Atlantic 1997</t>
  </si>
  <si>
    <t>[115] Northern Benguela 1956</t>
  </si>
  <si>
    <t>[116] Northern Gulf St Lawrence 1985</t>
  </si>
  <si>
    <t>[118] Northwest Africa 1987</t>
  </si>
  <si>
    <t>[135] Sierra Leone 1964</t>
  </si>
  <si>
    <t>[136] Sierra Leone 1978 1978</t>
  </si>
  <si>
    <t>[137] Sierra Leone 1990</t>
  </si>
  <si>
    <t>[145] Southern Gulf of St. Lawrence 1980</t>
  </si>
  <si>
    <t>[153] Tampa Bay 1950</t>
  </si>
  <si>
    <t>[168] Greenland, West Coast 1997</t>
  </si>
  <si>
    <t>[172] West Coast Vancouver Island 1950</t>
  </si>
  <si>
    <t>[189] North Brazil 1970</t>
  </si>
  <si>
    <t>[217] Thau 1980</t>
  </si>
  <si>
    <t>[218] Gironde estuary 1991</t>
  </si>
  <si>
    <t>[227] Iceland 1950</t>
  </si>
  <si>
    <t>[232] Orbetello Lagoon 1996</t>
  </si>
  <si>
    <t>[240] Sonda de Campeche 1988</t>
  </si>
  <si>
    <t>[241] Huizache-Caimanero 1984</t>
  </si>
  <si>
    <t>[242] Alto Golfo de California 0</t>
  </si>
  <si>
    <t>[243] Terminos Lagoon 1980</t>
  </si>
  <si>
    <t>[246] Celestun 0</t>
  </si>
  <si>
    <t>[247] Celestun mangrove 1992</t>
  </si>
  <si>
    <t>[266] Kuosheng Bay 1998</t>
  </si>
  <si>
    <t>[267] Lagoon Chiku - Taiwan 1997</t>
  </si>
  <si>
    <t>[282] Venezuela shelf 1980</t>
  </si>
  <si>
    <t>[291] Sonda_Campeche_Act 1988</t>
  </si>
  <si>
    <t>[305] West coast of Sabah 1972</t>
  </si>
  <si>
    <t>[311] Peru 1953</t>
  </si>
  <si>
    <t>[312] Peru 1960</t>
  </si>
  <si>
    <t>[320] Yucatan 1987</t>
  </si>
  <si>
    <t>[323] Campeche 1985</t>
  </si>
  <si>
    <t>[325] Sinaloa sur MEXICO 1994</t>
  </si>
  <si>
    <t>[405] Australia North West Shelf 1986</t>
  </si>
  <si>
    <t>[407] Tasmanian Seamounts Marine Reserve 1992</t>
  </si>
  <si>
    <t>[410] North South of China Sea 1970</t>
  </si>
  <si>
    <t>[411] Falkland Islands 1990</t>
  </si>
  <si>
    <t>[413] North Sea 1974</t>
  </si>
  <si>
    <t>[414] West Coast of Peninbsular Malaysia 1972</t>
  </si>
  <si>
    <t>[415] South West Viet nam 1994</t>
  </si>
  <si>
    <t>[417] Baja California 1970</t>
  </si>
  <si>
    <t>[429] Sørfjord 1993</t>
  </si>
  <si>
    <t>[433] BlackSea 1955</t>
  </si>
  <si>
    <t>[435] Black Sea 1990</t>
  </si>
  <si>
    <t>[439] Peru 1953</t>
  </si>
  <si>
    <t>[443] West scotland DeepSea 1974</t>
  </si>
  <si>
    <t>[450] Gulf of California 1990</t>
  </si>
  <si>
    <t>[459] Lesser Antilles 2001</t>
  </si>
  <si>
    <t>[461] West Scotland 2000</t>
  </si>
  <si>
    <t>[462] Northern Gulf of St Lawrence 1990</t>
  </si>
  <si>
    <t>[464] Germany, Schlei Fjord 1980</t>
  </si>
  <si>
    <t>[468] BlackSea 1990</t>
  </si>
  <si>
    <t>[473] Calvi Bay 1998</t>
  </si>
  <si>
    <t>[477] Strait of Georgia 1950</t>
  </si>
  <si>
    <t>[478] British Columbia coast 1950</t>
  </si>
  <si>
    <t>[479] North East Pacific 1950</t>
  </si>
  <si>
    <t>[485] South Benguela 1978</t>
  </si>
  <si>
    <t>[486] Cape Verde 1981</t>
  </si>
  <si>
    <t>[487] Humboldt Current 1995</t>
  </si>
  <si>
    <t>[488] Northern Humboldt Current 1997</t>
  </si>
  <si>
    <t>[489] Sechura Bay 1996</t>
  </si>
  <si>
    <t>[490] Independence Bay 1996</t>
  </si>
  <si>
    <t>[496] Eritrea 1998</t>
  </si>
  <si>
    <t>[497] Port Cros 1998</t>
  </si>
  <si>
    <t>[499] Kaloko Honokohau 2005</t>
  </si>
  <si>
    <t>[501] North Benguela 1900</t>
  </si>
  <si>
    <t>[502] North Benguela 1967</t>
  </si>
  <si>
    <t>[503] North Benguela 1990</t>
  </si>
  <si>
    <t>[505] South Benguela 1900</t>
  </si>
  <si>
    <t>[506] South of Benguela 1960</t>
  </si>
  <si>
    <t>[513] Liberia 2005</t>
  </si>
  <si>
    <t>[518] New Foundland 1985</t>
  </si>
  <si>
    <t>[519] Northern Californian Current 1960</t>
  </si>
  <si>
    <t>[520] Gulf of Mexico 1950</t>
  </si>
  <si>
    <t>[633] Bay of Biscay 1970</t>
  </si>
  <si>
    <t>[634] Bay of Biscay 1998</t>
  </si>
  <si>
    <t>[637] Central Chile 1998</t>
  </si>
  <si>
    <t>[646] Guinea 1998</t>
  </si>
  <si>
    <t>[650] Mauritania 1987</t>
  </si>
  <si>
    <t>[651] Mauritania 1998</t>
  </si>
  <si>
    <t>[654] Morocco 1985</t>
  </si>
  <si>
    <t>[655] Canada, Grand Banks of Newfoundland 1985</t>
  </si>
  <si>
    <t>[658] Peru 1973</t>
  </si>
  <si>
    <t>[663] South Shetlands 1990</t>
  </si>
  <si>
    <t>[664] Southern Brazil 1980</t>
  </si>
  <si>
    <t>[669] Gulf of Salamanca 1997</t>
  </si>
  <si>
    <t>[677] Gulf of Nicoya 1993</t>
  </si>
  <si>
    <t>[680] North Sea 1981</t>
  </si>
  <si>
    <t>[682] Bolinao Coral Reef 1980</t>
  </si>
  <si>
    <t>[687] South western Gulf of Mexico 1970</t>
  </si>
  <si>
    <t>[689] Mauritanie 1991</t>
  </si>
  <si>
    <t>[691] Black Sea 1960</t>
  </si>
  <si>
    <t>[692] Black Sea 1980</t>
  </si>
  <si>
    <t>[693] Black Sea 1988</t>
  </si>
  <si>
    <t>[725] Guinea 2004</t>
  </si>
  <si>
    <t>[726] Guinea 1985</t>
  </si>
  <si>
    <t>עמודה1</t>
  </si>
  <si>
    <t>סהכ</t>
  </si>
  <si>
    <t>פנימי</t>
  </si>
  <si>
    <t>סוג PPR</t>
  </si>
  <si>
    <t>כלי להשוואת פקטורים בין שיטות חישוב PPR</t>
  </si>
  <si>
    <t>שיטת חישוב (עמודה i+1 היא שיטה i+1 חלקי שיטה i)</t>
  </si>
  <si>
    <t>מודל</t>
  </si>
  <si>
    <t>SPPR לא התפוצץ</t>
  </si>
  <si>
    <t>מצטבר</t>
  </si>
  <si>
    <t>SPPR מאוזן</t>
  </si>
  <si>
    <t>שיטה</t>
  </si>
  <si>
    <t>פקטור ממוצע</t>
  </si>
  <si>
    <t>TE ממוצע במקום 0.1</t>
  </si>
  <si>
    <t>ינסן על TL</t>
  </si>
  <si>
    <t>ינסן על TE</t>
  </si>
  <si>
    <t>מעגלים</t>
  </si>
  <si>
    <t>-</t>
  </si>
  <si>
    <t>בלי לספור דטריטוס בתוך ה-PPR</t>
  </si>
  <si>
    <t>תיקון התייחסות ל-diet_import</t>
  </si>
  <si>
    <t>מודל מאוזן</t>
  </si>
  <si>
    <t>כל הדרישות</t>
  </si>
  <si>
    <t>SPPR
לא התפוצץ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</si>
</sst>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0" fontId="3" fillId="6" borderId="6" xfId="0" applyFont="1" applyFill="1" applyBorder="1" applyAlignment="1">
      <alignment vertical="top"/>
    </xf>
    <xf numFmtId="2" fontId="0" fillId="0" borderId="5" xfId="0" applyNumberFormat="1" applyBorder="1" applyAlignment="1">
      <alignment wrapText="1"/>
    </xf>
    <xf numFmtId="0" fontId="0" fillId="0" borderId="5" xfId="0" applyBorder="1" applyAlignment="1">
      <alignment wrapText="1"/>
    </xf>
    <xf numFmtId="2" fontId="0" fillId="0" borderId="5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3" fillId="6" borderId="7" xfId="0" applyFont="1" applyFill="1" applyBorder="1" applyAlignment="1">
      <alignment vertical="top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horizontal="center" vertical="center" wrapText="1"/>
    </xf>
    <xf numFmtId="0" fontId="3" fillId="6" borderId="8" xfId="0" applyFont="1" applyFill="1" applyBorder="1" applyAlignment="1">
      <alignment vertical="top"/>
    </xf>
    <xf numFmtId="0" fontId="2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top" wrapText="1" readingOrder="2"/>
    </xf>
    <xf numFmtId="0" fontId="0" fillId="0" borderId="0" xfId="0" applyAlignment="1">
      <alignment horizontal="right" vertical="top" wrapText="1"/>
    </xf>
    <xf numFmtId="0" fontId="2" fillId="2" borderId="1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0" fillId="6" borderId="0" xfId="0" applyFill="1"/>
    <xf numFmtId="0" fontId="2" fillId="6" borderId="0" xfId="0" applyFont="1" applyFill="1" applyAlignment="1">
      <alignment horizontal="center" vertical="center" wrapText="1"/>
    </xf>
    <xf numFmtId="0" fontId="2" fillId="6" borderId="1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2" fontId="2" fillId="4" borderId="26" xfId="0" applyNumberFormat="1" applyFont="1" applyFill="1" applyBorder="1" applyAlignment="1">
      <alignment horizontal="center" vertical="center"/>
    </xf>
    <xf numFmtId="2" fontId="2" fillId="4" borderId="27" xfId="0" applyNumberFormat="1" applyFont="1" applyFill="1" applyBorder="1" applyAlignment="1">
      <alignment horizontal="center" vertical="center" wrapText="1"/>
    </xf>
    <xf numFmtId="2" fontId="2" fillId="4" borderId="27" xfId="0" applyNumberFormat="1" applyFont="1" applyFill="1" applyBorder="1" applyAlignment="1">
      <alignment horizontal="center" vertical="center"/>
    </xf>
    <xf numFmtId="2" fontId="2" fillId="4" borderId="28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E1237-A8AF-445F-BC3E-3E6EE8749FD3}" name="טבלה1" displayName="טבלה1" ref="A1:V108" totalsRowShown="0" headerRowDxfId="11">
  <autoFilter ref="A1:V108" xr:uid="{410E1237-A8AF-445F-BC3E-3E6EE8749FD3}"/>
  <tableColumns count="22">
    <tableColumn id="1" xr3:uid="{90B7ED4A-E032-447B-8B16-25F9D146FAF6}" name="עמודה1" dataDxfId="10"/>
    <tableColumn id="2" xr3:uid="{6694B378-E9A6-4684-B4BB-1368D379BD8B}" name="SPPR_1986"/>
    <tableColumn id="3" xr3:uid="{69BC4B80-7BDB-4834-B427-F31B7D4F78B2}" name="SPPR_1995_mTL_global_TE_01"/>
    <tableColumn id="4" xr3:uid="{9B7A8E1C-1AD0-4943-A2BD-A4CC10CB065C}" name="SPPR_1995_TL2_global_TE_01"/>
    <tableColumn id="5" xr3:uid="{92E17DF9-81C5-41B8-ABED-34EF275274CF}" name="SPPR_1995_mTL_global_mTE"/>
    <tableColumn id="6" xr3:uid="{48168104-1A7D-42C6-9E52-C91E61485714}" name="SPPR_1995_TL2_global_mTE"/>
    <tableColumn id="7" xr3:uid="{D7429231-7F94-4AA4-8DF6-A501E34EFB61}" name="SPPR_EwE_global_mTE"/>
    <tableColumn id="8" xr3:uid="{FCDB3EE7-74CA-411D-99EE-45B0B45E91B4}" name="SPPR_EwE_differential_TE"/>
    <tableColumn id="9" xr3:uid="{F2A40643-5F40-43DC-94ED-E48E0D7D2CF0}" name="SPPR_2015"/>
    <tableColumn id="10" xr3:uid="{DBEA64F2-8056-4DF6-841B-CDC68CAF6C4E}" name="SPPR_new_2015"/>
    <tableColumn id="11" xr3:uid="{136A025B-DFE7-4FC2-8335-632EEE26135D}" name="SPPR_new_full"/>
    <tableColumn id="12" xr3:uid="{17A7B785-1E6F-467A-B4A9-F2C040A682D6}" name="SPPR_new_GE"/>
    <tableColumn id="13" xr3:uid="{53BD1364-E64A-433A-8E70-610A7A4C7A9C}" name="SPPR_symbolic_GE_import_as_PP"/>
    <tableColumn id="14" xr3:uid="{D51D2E6C-E2B4-4493-A4B4-FA030569D138}" name="SPPR_symbolic_GE_import_as_DC"/>
    <tableColumn id="15" xr3:uid="{1B890DE4-B258-4352-9042-8B721056B7FC}" name="SPPR_symbolic_TE_import_as_PP"/>
    <tableColumn id="16" xr3:uid="{E182D607-C7F0-4B2F-8E07-1872CB8DE3F0}" name="SPPR_symbolic_TE_import_as_DC"/>
    <tableColumn id="17" xr3:uid="{4666269C-1431-47CA-A692-44CB42F5C454}" name="SPPR_symbolic_full_import_as_PP"/>
    <tableColumn id="18" xr3:uid="{A2EFFA82-E105-477E-AFA3-15E84B2DA614}" name="SPPR_symbolic_full_import_as_DC"/>
    <tableColumn id="19" xr3:uid="{BF8A3B00-3E4F-439B-94F0-8DCE8B430B51}" name="model is balanced"/>
    <tableColumn id="20" xr3:uid="{0AC15889-626A-44CC-9434-0759CD5E74CE}" name="DC rows sum to 1"/>
    <tableColumn id="21" xr3:uid="{2D54D764-2748-4074-BD05-ACD80D17BEDD}" name="catch is not negative"/>
    <tableColumn id="22" xr3:uid="{607972B2-00AC-4A15-88D9-DFFB3F63412D}" name="model is fi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D36617-C83F-4B02-A86C-E62632605229}" name="טבלה2" displayName="טבלה2" ref="A1:V108" totalsRowShown="0" headerRowDxfId="9">
  <autoFilter ref="A1:V108" xr:uid="{DBD36617-C83F-4B02-A86C-E62632605229}"/>
  <tableColumns count="22">
    <tableColumn id="1" xr3:uid="{537B8E08-8406-4A05-AAD8-CDBBD9210DEA}" name="עמודה1" dataDxfId="8"/>
    <tableColumn id="2" xr3:uid="{3F500530-2173-4FFC-B90B-288AA3A87E93}" name="SPPR_1986"/>
    <tableColumn id="3" xr3:uid="{4851BAA3-6379-44C5-BCC6-80B475C135F1}" name="SPPR_1995_mTL_global_TE_01"/>
    <tableColumn id="4" xr3:uid="{575CFBA4-11B7-4A1B-A756-A13309B780D2}" name="SPPR_1995_TL2_global_TE_01"/>
    <tableColumn id="5" xr3:uid="{005F7E65-5C46-4DD7-B7FE-ACB2A568C91F}" name="SPPR_1995_mTL_global_mTE"/>
    <tableColumn id="6" xr3:uid="{9DE93DFF-C4BB-4D8E-9A8F-3B5D95C5C110}" name="SPPR_1995_TL2_global_mTE"/>
    <tableColumn id="7" xr3:uid="{53288246-976E-4E5C-8DAC-78A15D3F7FBE}" name="SPPR_EwE_global_mTE"/>
    <tableColumn id="8" xr3:uid="{108D7AF3-F1D1-43DB-96C4-21D0C34AB481}" name="SPPR_EwE_differential_TE"/>
    <tableColumn id="9" xr3:uid="{F96612A0-43DB-42DB-BA8E-2BE89870E42A}" name="SPPR_2015"/>
    <tableColumn id="10" xr3:uid="{58314CC8-D076-4B10-92DA-E7856BD0BF09}" name="SPPR_new_2015"/>
    <tableColumn id="11" xr3:uid="{00C92394-5FA9-400E-8688-047289C5938F}" name="SPPR_new_full"/>
    <tableColumn id="12" xr3:uid="{FE30F5B4-6624-4740-96EA-55C8B427C70F}" name="SPPR_new_GE"/>
    <tableColumn id="13" xr3:uid="{D576FABC-8A69-40F1-AA86-2E7DF5D24966}" name="SPPR_symbolic_GE_import_as_PP"/>
    <tableColumn id="14" xr3:uid="{96ECC3C8-58B5-4668-A3D2-C8F0A0AF8F05}" name="SPPR_symbolic_GE_import_as_DC"/>
    <tableColumn id="15" xr3:uid="{9233CDCC-0B20-4E6B-860A-C5136E72DA2A}" name="SPPR_symbolic_TE_import_as_PP"/>
    <tableColumn id="16" xr3:uid="{DFF25647-B96D-4EA5-B79C-8165D8C842BC}" name="SPPR_symbolic_TE_import_as_DC"/>
    <tableColumn id="17" xr3:uid="{C512305F-8B1E-4464-B757-27CB3495225E}" name="SPPR_symbolic_full_import_as_PP"/>
    <tableColumn id="18" xr3:uid="{0E4969D5-6795-4515-9553-2FA9ED016D2E}" name="SPPR_symbolic_full_import_as_DC"/>
    <tableColumn id="19" xr3:uid="{816F937E-45FF-4A51-9360-DA4ED5E603BB}" name="model is balanced"/>
    <tableColumn id="20" xr3:uid="{2E5D6E4E-CD97-4535-869F-F14D368C3412}" name="DC rows sum to 1"/>
    <tableColumn id="21" xr3:uid="{D40A3284-C551-496E-BC6F-860A4900EC72}" name="catch is not negative"/>
    <tableColumn id="22" xr3:uid="{321F7A81-8DE2-46F4-89D4-70F15E95907C}" name="model is fi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5726D3-9E5C-4A4C-8F86-B12FF7F8D488}" name="טבלה3" displayName="טבלה3" ref="A1:S108" totalsRowShown="0" headerRowDxfId="7">
  <autoFilter ref="A1:S108" xr:uid="{185726D3-9E5C-4A4C-8F86-B12FF7F8D488}"/>
  <tableColumns count="19">
    <tableColumn id="1" xr3:uid="{BA9ECC9C-D24F-4441-8C71-6EAC4BA0D454}" name="עמודה1" dataDxfId="6"/>
    <tableColumn id="2" xr3:uid="{9003DCC3-10C2-4D60-9D11-6E3EB7649C6A}" name="SPPR_1986"/>
    <tableColumn id="3" xr3:uid="{D0E7DE75-FE68-4305-8464-34E02A4CD877}" name="SPPR_1995_mTL_global_TE_01"/>
    <tableColumn id="4" xr3:uid="{815C28DA-E30D-431A-B1DB-AB6ACC4D7764}" name="SPPR_1995_TL2_global_TE_01"/>
    <tableColumn id="5" xr3:uid="{2197B350-AF43-4428-986B-3E0F28DB1A89}" name="SPPR_1995_mTL_global_mTE"/>
    <tableColumn id="6" xr3:uid="{98618F14-9623-4FBD-B9BB-434ADC06376B}" name="SPPR_1995_TL2_global_mTE"/>
    <tableColumn id="7" xr3:uid="{0AE7681A-0FF1-49F8-88AF-BAF00FE9EEF0}" name="SPPR_EwE_global_mTE"/>
    <tableColumn id="8" xr3:uid="{52CE4691-3205-4EB7-956F-BD868489C18E}" name="SPPR_EwE_differential_TE"/>
    <tableColumn id="9" xr3:uid="{B1F7D033-5E9E-4DBF-9E0D-D42C793D9E59}" name="SPPR_2015"/>
    <tableColumn id="10" xr3:uid="{5ACC4DFB-ED81-4CF6-AFC1-9BDB28E77EAC}" name="SPPR_new_2015"/>
    <tableColumn id="11" xr3:uid="{4C6EF308-EA79-47B1-A810-B2BF95210AC9}" name="SPPR_new_full"/>
    <tableColumn id="12" xr3:uid="{69E68F52-D66F-43CA-9E50-A8156EB376E8}" name="SPPR_new_GE"/>
    <tableColumn id="13" xr3:uid="{D8A3AF03-2847-4CB6-B0D3-189E968A3B62}" name="SPPR_symbolic_GE_import_as_PP"/>
    <tableColumn id="14" xr3:uid="{E50CC4C4-FC93-469E-A48C-F5C0BBD3FD12}" name="SPPR_symbolic_GE_import_as_DC"/>
    <tableColumn id="15" xr3:uid="{C0D96AA7-2BD2-459C-8A1C-3111E68A88B3}" name="SPPR_symbolic_TE_import_as_PP"/>
    <tableColumn id="16" xr3:uid="{D778A24D-A6F8-4039-BD32-5180E3508710}" name="SPPR_symbolic_TE_import_as_DC"/>
    <tableColumn id="17" xr3:uid="{D04A52FF-B3F2-40CA-B845-ECB3456C8A4C}" name="SPPR_symbolic_full_import_as_PP"/>
    <tableColumn id="18" xr3:uid="{3E661E16-8135-40C6-9071-2C98EE954E85}" name="SPPR_symbolic_full_import_as_DC"/>
    <tableColumn id="19" xr3:uid="{6C5BF1FF-2AEC-40CC-8349-C62AF7A098A3}" name="model is fi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061120-BFF5-4EF3-8FA0-B39CC61297E3}" name="טבלה4" displayName="טבלה4" ref="A1:S108" totalsRowShown="0" headerRowDxfId="5">
  <autoFilter ref="A1:S108" xr:uid="{A0061120-BFF5-4EF3-8FA0-B39CC61297E3}"/>
  <tableColumns count="19">
    <tableColumn id="1" xr3:uid="{E8C3E2DA-DA25-46DA-BF54-9BA1BD1B824E}" name="עמודה1" dataDxfId="4"/>
    <tableColumn id="2" xr3:uid="{FAA3E474-CA60-4060-B734-421621A5B881}" name="SPPR_1986"/>
    <tableColumn id="3" xr3:uid="{57CBF175-0E6F-4CDD-BE4E-5DE3987D0464}" name="SPPR_1995_mTL_global_TE_01"/>
    <tableColumn id="4" xr3:uid="{0CBD5EE1-A3B2-483C-BC93-3661758B9408}" name="SPPR_1995_TL2_global_TE_01"/>
    <tableColumn id="5" xr3:uid="{7C7D6B60-D2B2-4EAE-BABC-B13F4F104E94}" name="SPPR_1995_mTL_global_mTE"/>
    <tableColumn id="6" xr3:uid="{411464DD-DE0A-4B18-AC59-5D1743D168E6}" name="SPPR_1995_TL2_global_mTE"/>
    <tableColumn id="7" xr3:uid="{D5335B1F-9B3E-433B-BADD-B036F2E9D94F}" name="SPPR_EwE_global_mTE"/>
    <tableColumn id="8" xr3:uid="{081670BA-3C63-483D-A438-2256D5F935B0}" name="SPPR_EwE_differential_TE"/>
    <tableColumn id="9" xr3:uid="{CFE5F7CF-18B4-49B5-B139-49761D02E4DE}" name="SPPR_2015"/>
    <tableColumn id="10" xr3:uid="{D73212AB-5057-409B-97BD-DD1B1EBC2B11}" name="SPPR_new_2015"/>
    <tableColumn id="11" xr3:uid="{7A5D5F13-7C0A-4B4E-8C6B-69FC7ED98511}" name="SPPR_new_full"/>
    <tableColumn id="12" xr3:uid="{1493A877-3A9D-4416-9F2D-9501409435A2}" name="SPPR_new_GE"/>
    <tableColumn id="13" xr3:uid="{6B601885-9E9E-4010-A397-C56621EDADC9}" name="SPPR_symbolic_GE_import_as_PP"/>
    <tableColumn id="14" xr3:uid="{2BC2A9E5-B18E-413F-809D-12E937C4FEE3}" name="SPPR_symbolic_GE_import_as_DC"/>
    <tableColumn id="15" xr3:uid="{299A83C5-F207-415F-A58B-35DE28479940}" name="SPPR_symbolic_TE_import_as_PP"/>
    <tableColumn id="16" xr3:uid="{901FA08B-B798-4C9C-8A2C-ABDC3501F614}" name="SPPR_symbolic_TE_import_as_DC"/>
    <tableColumn id="17" xr3:uid="{E1ECFAB7-6C9C-44ED-A540-EC8AED0DB971}" name="SPPR_symbolic_full_import_as_PP"/>
    <tableColumn id="18" xr3:uid="{2CDC7AF3-0EF8-4111-9566-53B8606BDAF0}" name="SPPR_symbolic_full_import_as_DC"/>
    <tableColumn id="19" xr3:uid="{51BE41F6-D90C-47E5-968D-A90BC2AEE954}" name="model is fin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85BF67-4C25-4512-8592-D0BE20B2AA22}" name="טבלה5" displayName="טבלה5" ref="A1:R108" totalsRowShown="0" headerRowDxfId="3">
  <autoFilter ref="A1:R108" xr:uid="{F985BF67-4C25-4512-8592-D0BE20B2AA22}"/>
  <tableColumns count="18">
    <tableColumn id="1" xr3:uid="{0003D495-0B17-49D3-9F64-25981F95DF19}" name="עמודה1" dataDxfId="2"/>
    <tableColumn id="2" xr3:uid="{32B72032-D392-4129-BE7C-51E1FCF7D68C}" name="SPPR_1986"/>
    <tableColumn id="3" xr3:uid="{DDB06EAE-AB98-447D-B76D-3D607755A86A}" name="SPPR_1995_mTL_global_TE_01"/>
    <tableColumn id="4" xr3:uid="{85943D15-5AB6-47A5-9008-08BF7A09B42A}" name="SPPR_1995_TL2_global_TE_01"/>
    <tableColumn id="5" xr3:uid="{A3F71ECB-11C7-42C7-9474-3D989AB67712}" name="SPPR_1995_mTL_global_mTE"/>
    <tableColumn id="6" xr3:uid="{242A587D-5388-48DD-A9FE-25BD98C7DF6D}" name="SPPR_1995_TL2_global_mTE"/>
    <tableColumn id="7" xr3:uid="{B3B39B78-1CD4-42DE-BFBE-095D9A35958E}" name="SPPR_EwE_global_mTE"/>
    <tableColumn id="8" xr3:uid="{81B729BA-79EB-4BF5-A9B7-F2A6A07D9A14}" name="SPPR_EwE_differential_TE"/>
    <tableColumn id="9" xr3:uid="{5F8A0E32-2465-4EA8-AE90-4FE08C9F4F43}" name="SPPR_2015"/>
    <tableColumn id="10" xr3:uid="{A5EAACA0-B5A3-4224-A647-D3EA76869C0A}" name="SPPR_new_2015"/>
    <tableColumn id="11" xr3:uid="{78C7E974-9D86-423D-B3D0-EA13DAD4C9A8}" name="SPPR_new_full"/>
    <tableColumn id="12" xr3:uid="{FCD20BDE-6D55-4EAC-BD8A-0F9145F748F7}" name="SPPR_new_GE"/>
    <tableColumn id="13" xr3:uid="{97110F0E-6CFF-49E7-B6D2-1410A25A41DD}" name="SPPR_symbolic_GE_import_as_PP"/>
    <tableColumn id="14" xr3:uid="{58E62AE8-1023-4FEB-8980-556B0742DFC9}" name="SPPR_symbolic_GE_import_as_DC"/>
    <tableColumn id="15" xr3:uid="{30853376-18E2-44F2-BA37-8F7E9519B46B}" name="SPPR_symbolic_TE_import_as_PP"/>
    <tableColumn id="16" xr3:uid="{67B0C24F-407C-4D1A-AA04-D91C28C56ADE}" name="SPPR_symbolic_TE_import_as_DC"/>
    <tableColumn id="17" xr3:uid="{A479F4B7-635E-4F50-A659-9E27941187E4}" name="SPPR_symbolic_full_import_as_PP"/>
    <tableColumn id="18" xr3:uid="{B6846571-8DBF-44AA-A6CA-5C8FF811413D}" name="SPPR_symbolic_full_import_as_D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B206-D567-4029-927D-81C47A549F84}">
  <dimension ref="A1:AA118"/>
  <sheetViews>
    <sheetView rightToLeft="1" tabSelected="1" topLeftCell="A6" workbookViewId="0">
      <selection activeCell="B80" sqref="B80"/>
    </sheetView>
  </sheetViews>
  <sheetFormatPr defaultRowHeight="14" x14ac:dyDescent="0.3"/>
  <cols>
    <col min="2" max="2" width="28.33203125" customWidth="1"/>
    <col min="4" max="4" width="8.75" bestFit="1" customWidth="1"/>
    <col min="5" max="5" width="12.83203125" bestFit="1" customWidth="1"/>
    <col min="6" max="6" width="8.83203125" customWidth="1"/>
    <col min="7" max="7" width="8.75" bestFit="1" customWidth="1"/>
    <col min="20" max="20" width="10.58203125" customWidth="1"/>
  </cols>
  <sheetData>
    <row r="1" spans="1:27" ht="14.5" thickBot="1" x14ac:dyDescent="0.35">
      <c r="A1" s="2" t="s">
        <v>129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48.5" customHeight="1" thickBot="1" x14ac:dyDescent="0.35">
      <c r="A2" s="2" t="s">
        <v>130</v>
      </c>
      <c r="B2" s="39" t="s">
        <v>132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1"/>
    </row>
    <row r="3" spans="1:27" ht="28.5" customHeight="1" thickBot="1" x14ac:dyDescent="0.35">
      <c r="B3" s="21" t="s">
        <v>131</v>
      </c>
      <c r="C3" s="22" t="s">
        <v>138</v>
      </c>
      <c r="D3" s="39" t="s">
        <v>139</v>
      </c>
      <c r="E3" s="40"/>
      <c r="F3" s="40"/>
      <c r="G3" s="41"/>
      <c r="H3" s="30"/>
      <c r="I3" s="31"/>
      <c r="J3" s="42" t="s">
        <v>133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3"/>
    </row>
    <row r="4" spans="1:27" ht="42" x14ac:dyDescent="0.3">
      <c r="A4" s="2"/>
      <c r="B4" s="48" t="s">
        <v>130</v>
      </c>
      <c r="C4" s="50" t="s">
        <v>10</v>
      </c>
      <c r="D4" s="24" t="s">
        <v>147</v>
      </c>
      <c r="E4" s="25" t="s">
        <v>137</v>
      </c>
      <c r="F4" s="25" t="s">
        <v>149</v>
      </c>
      <c r="G4" s="29" t="s">
        <v>148</v>
      </c>
      <c r="H4" s="32"/>
      <c r="I4" s="33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/>
    </row>
    <row r="5" spans="1:27" ht="28.5" customHeight="1" thickBot="1" x14ac:dyDescent="0.35">
      <c r="B5" s="49"/>
      <c r="C5" s="51"/>
      <c r="D5" s="35">
        <f>AVERAGEIFS(Z7:Z113, Z7:Z113, "&lt;100", Z7:Z113, "&gt;0.01", $F$7:$F$113, TRUE)</f>
        <v>3.2168691456445537</v>
      </c>
      <c r="E5" s="36">
        <f>AVERAGEIFS(Z7:Z113, Z7:Z113, "&lt;100", Z7:Z113, "&gt;0.01", $G$7:$G$113, TRUE)</f>
        <v>2.7775617013922944</v>
      </c>
      <c r="F5" s="37">
        <f>AVERAGEIFS(Z7:Z113, Z7:Z113, "&lt;100", Z7:Z113, "&gt;0.01", $H$7:$H$113, TRUE)</f>
        <v>2.7610238778046456</v>
      </c>
      <c r="G5" s="38">
        <f>AVERAGEIFS(Z7:Z113, Z7:Z113, "&lt;100", Z7:Z113, "&gt;0.01", $I$7:$I$113, TRUE)</f>
        <v>3.1796214276697645</v>
      </c>
      <c r="H5" s="31"/>
      <c r="I5" s="34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</row>
    <row r="6" spans="1:27" ht="56.5" thickBot="1" x14ac:dyDescent="0.35">
      <c r="B6" s="26" t="s">
        <v>134</v>
      </c>
      <c r="C6" s="23" t="s">
        <v>17</v>
      </c>
      <c r="D6" s="3" t="s">
        <v>18</v>
      </c>
      <c r="E6" s="3" t="s">
        <v>19</v>
      </c>
      <c r="F6" s="17" t="s">
        <v>147</v>
      </c>
      <c r="G6" s="3" t="s">
        <v>137</v>
      </c>
      <c r="H6" s="3" t="s">
        <v>135</v>
      </c>
      <c r="I6" s="28" t="s">
        <v>148</v>
      </c>
      <c r="J6" s="27" t="s">
        <v>1</v>
      </c>
      <c r="K6" s="3" t="s">
        <v>3</v>
      </c>
      <c r="L6" s="3" t="s">
        <v>5</v>
      </c>
      <c r="M6" s="4" t="s">
        <v>6</v>
      </c>
      <c r="N6" s="4" t="s">
        <v>7</v>
      </c>
      <c r="O6" s="4" t="s">
        <v>8</v>
      </c>
      <c r="P6" s="4" t="s">
        <v>10</v>
      </c>
      <c r="Q6" s="4" t="s">
        <v>11</v>
      </c>
      <c r="R6" s="4" t="s">
        <v>12</v>
      </c>
      <c r="S6" s="4" t="s">
        <v>11</v>
      </c>
      <c r="T6" s="4" t="s">
        <v>12</v>
      </c>
      <c r="U6" s="4" t="str">
        <f>C4</f>
        <v>SPPR_new_GE</v>
      </c>
      <c r="V6" s="4"/>
      <c r="W6" s="4"/>
      <c r="X6" s="4"/>
      <c r="Y6" s="4"/>
      <c r="Z6" s="5" t="s">
        <v>136</v>
      </c>
      <c r="AA6" s="18"/>
    </row>
    <row r="7" spans="1:27" x14ac:dyDescent="0.3">
      <c r="B7" s="6" t="s">
        <v>21</v>
      </c>
      <c r="C7" s="7" t="b">
        <v>1</v>
      </c>
      <c r="D7" s="7" t="b">
        <v>1</v>
      </c>
      <c r="E7" s="7" t="b">
        <v>1</v>
      </c>
      <c r="F7" s="7" t="b">
        <f>AND(C7:E7)</f>
        <v>1</v>
      </c>
      <c r="G7" s="7" t="b">
        <f>ABS(INDEX(טבלה5[[SPPR_1986]:[SPPR_symbolic_full_import_as_DC]],MATCH('השוואת פקטורים'!$B7,טבלה5[עמודה1],0),MATCH($C$4,טבלה5[[#Headers],[SPPR_1986]:[SPPR_symbolic_full_import_as_DC]],0))) &lt; 5</f>
        <v>1</v>
      </c>
      <c r="H7" s="7" t="b">
        <f>INDEX(טבלה3[[SPPR_1986]:[SPPR_symbolic_full_import_as_DC]],MATCH('השוואת פקטורים'!$B7,טבלה3[עמודה1],0),MATCH($C$4,טבלה3[[#Headers],[SPPR_1986]:[SPPR_symbolic_full_import_as_DC]],0))</f>
        <v>1</v>
      </c>
      <c r="I7" s="7" t="b">
        <f t="shared" ref="I7:I38" si="0">AND(C7:H7)</f>
        <v>1</v>
      </c>
      <c r="J7" s="8"/>
      <c r="K7" s="9">
        <f>IF($B$4="סהכ",
INDEX(טבלה1[[SPPR_1986]:[SPPR_symbolic_full_import_as_DC]], MATCH('השוואת פקטורים'!$B7, 'PPRs all'!$A$2:$A$108, 0), MATCH('השוואת פקטורים'!K$6, טבלה1[[#Headers],[SPPR_1986]:[SPPR_symbolic_full_import_as_DC]], 0)) / INDEX(טבלה1[[SPPR_1986]:[SPPR_symbolic_full_import_as_DC]], MATCH('השוואת פקטורים'!$B7, 'PPRs all'!$A$2:$A$108, 0), MATCH('השוואת פקטורים'!J$6, טבלה1[[#Headers],[SPPR_1986]:[SPPR_symbolic_full_import_as_DC]], 0)),
INDEX(טבלה2[[SPPR_1986]:[SPPR_symbolic_full_import_as_DC]], MATCH('השוואת פקטורים'!$B7, 'PPRs inner'!$A$2:$A$108, 0), MATCH('השוואת פקטורים'!K$6, טבלה2[[#Headers],[SPPR_1986]:[SPPR_symbolic_full_import_as_DC]], 0)) / INDEX(טבלה2[[SPPR_1986]:[SPPR_symbolic_full_import_as_DC]], MATCH('השוואת פקטורים'!$B7, 'PPRs inner'!$A$2:$A$108, 0), MATCH('השוואת פקטורים'!J$6, טבלה2[[#Headers],[SPPR_1986]:[SPPR_symbolic_full_import_as_DC]], 0))
)</f>
        <v>1.340867002538791E-2</v>
      </c>
      <c r="L7" s="9">
        <f>IF($B$4="סהכ",
INDEX(טבלה1[[SPPR_1986]:[SPPR_symbolic_full_import_as_DC]], MATCH('השוואת פקטורים'!$B7, 'PPRs all'!$A$2:$A$108, 0), MATCH('השוואת פקטורים'!L$6, טבלה1[[#Headers],[SPPR_1986]:[SPPR_symbolic_full_import_as_DC]], 0)) / INDEX(טבלה1[[SPPR_1986]:[SPPR_symbolic_full_import_as_DC]], MATCH('השוואת פקטורים'!$B7, 'PPRs all'!$A$2:$A$108, 0), MATCH('השוואת פקטורים'!K$6, טבלה1[[#Headers],[SPPR_1986]:[SPPR_symbolic_full_import_as_DC]], 0)),
INDEX(טבלה2[[SPPR_1986]:[SPPR_symbolic_full_import_as_DC]], MATCH('השוואת פקטורים'!$B7, 'PPRs inner'!$A$2:$A$108, 0), MATCH('השוואת פקטורים'!L$6, טבלה2[[#Headers],[SPPR_1986]:[SPPR_symbolic_full_import_as_DC]], 0)) / INDEX(טבלה2[[SPPR_1986]:[SPPR_symbolic_full_import_as_DC]], MATCH('השוואת פקטורים'!$B7, 'PPRs inner'!$A$2:$A$108, 0), MATCH('השוואת פקטורים'!K$6, טבלה2[[#Headers],[SPPR_1986]:[SPPR_symbolic_full_import_as_DC]], 0))
)</f>
        <v>1.0962893351313907</v>
      </c>
      <c r="M7" s="9">
        <f>IF($B$4="סהכ",
INDEX(טבלה1[[SPPR_1986]:[SPPR_symbolic_full_import_as_DC]], MATCH('השוואת פקטורים'!$B7, 'PPRs all'!$A$2:$A$108, 0), MATCH('השוואת פקטורים'!M$6, טבלה1[[#Headers],[SPPR_1986]:[SPPR_symbolic_full_import_as_DC]], 0)) / INDEX(טבלה1[[SPPR_1986]:[SPPR_symbolic_full_import_as_DC]], MATCH('השוואת פקטורים'!$B7, 'PPRs all'!$A$2:$A$108, 0), MATCH('השוואת פקטורים'!L$6, טבלה1[[#Headers],[SPPR_1986]:[SPPR_symbolic_full_import_as_DC]], 0)),
INDEX(טבלה2[[SPPR_1986]:[SPPR_symbolic_full_import_as_DC]], MATCH('השוואת פקטורים'!$B7, 'PPRs inner'!$A$2:$A$108, 0), MATCH('השוואת פקטורים'!M$6, טבלה2[[#Headers],[SPPR_1986]:[SPPR_symbolic_full_import_as_DC]], 0)) / INDEX(טבלה2[[SPPR_1986]:[SPPR_symbolic_full_import_as_DC]], MATCH('השוואת פקטורים'!$B7, 'PPRs inner'!$A$2:$A$108, 0), MATCH('השוואת פקטורים'!L$6, טבלה2[[#Headers],[SPPR_1986]:[SPPR_symbolic_full_import_as_DC]], 0))
)</f>
        <v>21.308045779130687</v>
      </c>
      <c r="N7" s="9">
        <f>IF($B$4="סהכ",
INDEX(טבלה1[[SPPR_1986]:[SPPR_symbolic_full_import_as_DC]], MATCH('השוואת פקטורים'!$B7, 'PPRs all'!$A$2:$A$108, 0), MATCH('השוואת פקטורים'!N$6, טבלה1[[#Headers],[SPPR_1986]:[SPPR_symbolic_full_import_as_DC]], 0)) / INDEX(טבלה1[[SPPR_1986]:[SPPR_symbolic_full_import_as_DC]], MATCH('השוואת פקטורים'!$B7, 'PPRs all'!$A$2:$A$108, 0), MATCH('השוואת פקטורים'!M$6, טבלה1[[#Headers],[SPPR_1986]:[SPPR_symbolic_full_import_as_DC]], 0)),
INDEX(טבלה2[[SPPR_1986]:[SPPR_symbolic_full_import_as_DC]], MATCH('השוואת פקטורים'!$B7, 'PPRs inner'!$A$2:$A$108, 0), MATCH('השוואת פקטורים'!N$6, טבלה2[[#Headers],[SPPR_1986]:[SPPR_symbolic_full_import_as_DC]], 0)) / INDEX(טבלה2[[SPPR_1986]:[SPPR_symbolic_full_import_as_DC]], MATCH('השוואת פקטורים'!$B7, 'PPRs inner'!$A$2:$A$108, 0), MATCH('השוואת פקטורים'!M$6, טבלה2[[#Headers],[SPPR_1986]:[SPPR_symbolic_full_import_as_DC]], 0))
)</f>
        <v>1.3085636475925386</v>
      </c>
      <c r="O7" s="9">
        <f>IF($B$4="סהכ",
INDEX(טבלה1[[SPPR_1986]:[SPPR_symbolic_full_import_as_DC]], MATCH('השוואת פקטורים'!$B7, 'PPRs all'!$A$2:$A$108, 0), MATCH('השוואת פקטורים'!O$6, טבלה1[[#Headers],[SPPR_1986]:[SPPR_symbolic_full_import_as_DC]], 0)) / INDEX(טבלה1[[SPPR_1986]:[SPPR_symbolic_full_import_as_DC]], MATCH('השוואת פקטורים'!$B7, 'PPRs all'!$A$2:$A$108, 0), MATCH('השוואת פקטורים'!N$6, טבלה1[[#Headers],[SPPR_1986]:[SPPR_symbolic_full_import_as_DC]], 0)),
INDEX(טבלה2[[SPPR_1986]:[SPPR_symbolic_full_import_as_DC]], MATCH('השוואת פקטורים'!$B7, 'PPRs inner'!$A$2:$A$108, 0), MATCH('השוואת פקטורים'!O$6, טבלה2[[#Headers],[SPPR_1986]:[SPPR_symbolic_full_import_as_DC]], 0)) / INDEX(טבלה2[[SPPR_1986]:[SPPR_symbolic_full_import_as_DC]], MATCH('השוואת פקטורים'!$B7, 'PPRs inner'!$A$2:$A$108, 0), MATCH('השוואת פקטורים'!N$6, טבלה2[[#Headers],[SPPR_1986]:[SPPR_symbolic_full_import_as_DC]], 0))
)</f>
        <v>0.99999999999982303</v>
      </c>
      <c r="P7" s="9">
        <f>IF($B$4="סהכ",
INDEX(טבלה1[[SPPR_1986]:[SPPR_symbolic_full_import_as_DC]], MATCH('השוואת פקטורים'!$B7, 'PPRs all'!$A$2:$A$108, 0), MATCH('השוואת פקטורים'!P$6, טבלה1[[#Headers],[SPPR_1986]:[SPPR_symbolic_full_import_as_DC]], 0)) / INDEX(טבלה1[[SPPR_1986]:[SPPR_symbolic_full_import_as_DC]], MATCH('השוואת פקטורים'!$B7, 'PPRs all'!$A$2:$A$108, 0), MATCH('השוואת פקטורים'!O$6, טבלה1[[#Headers],[SPPR_1986]:[SPPR_symbolic_full_import_as_DC]], 0)),
INDEX(טבלה2[[SPPR_1986]:[SPPR_symbolic_full_import_as_DC]], MATCH('השוואת פקטורים'!$B7, 'PPRs inner'!$A$2:$A$108, 0), MATCH('השוואת פקטורים'!P$6, טבלה2[[#Headers],[SPPR_1986]:[SPPR_symbolic_full_import_as_DC]], 0)) / INDEX(טבלה2[[SPPR_1986]:[SPPR_symbolic_full_import_as_DC]], MATCH('השוואת פקטורים'!$B7, 'PPRs inner'!$A$2:$A$108, 0), MATCH('השוואת פקטורים'!O$6, טבלה2[[#Headers],[SPPR_1986]:[SPPR_symbolic_full_import_as_DC]], 0))
)</f>
        <v>3.5678244803076606</v>
      </c>
      <c r="Q7" s="9">
        <f>IF($B$4="סהכ",
INDEX(טבלה1[[SPPR_1986]:[SPPR_symbolic_full_import_as_DC]], MATCH('השוואת פקטורים'!$B7, 'PPRs all'!$A$2:$A$108, 0), MATCH('השוואת פקטורים'!Q$6, טבלה1[[#Headers],[SPPR_1986]:[SPPR_symbolic_full_import_as_DC]], 0)) / INDEX(טבלה1[[SPPR_1986]:[SPPR_symbolic_full_import_as_DC]], MATCH('השוואת פקטורים'!$B7, 'PPRs all'!$A$2:$A$108, 0), MATCH('השוואת פקטורים'!P$6, טבלה1[[#Headers],[SPPR_1986]:[SPPR_symbolic_full_import_as_DC]], 0)),
INDEX(טבלה2[[SPPR_1986]:[SPPR_symbolic_full_import_as_DC]], MATCH('השוואת פקטורים'!$B7, 'PPRs inner'!$A$2:$A$108, 0), MATCH('השוואת פקטורים'!Q$6, טבלה2[[#Headers],[SPPR_1986]:[SPPR_symbolic_full_import_as_DC]], 0)) / INDEX(טבלה2[[SPPR_1986]:[SPPR_symbolic_full_import_as_DC]], MATCH('השוואת פקטורים'!$B7, 'PPRs inner'!$A$2:$A$108, 0), MATCH('השוואת פקטורים'!P$6, טבלה2[[#Headers],[SPPR_1986]:[SPPR_symbolic_full_import_as_DC]], 0))
)</f>
        <v>1.0000000000002685</v>
      </c>
      <c r="R7" s="9">
        <f>IF($B$4="סהכ",
INDEX(טבלה1[[SPPR_1986]:[SPPR_symbolic_full_import_as_DC]], MATCH('השוואת פקטורים'!$B7, 'PPRs all'!$A$2:$A$108, 0), MATCH('השוואת פקטורים'!R$6, טבלה1[[#Headers],[SPPR_1986]:[SPPR_symbolic_full_import_as_DC]], 0)) / INDEX(טבלה1[[SPPR_1986]:[SPPR_symbolic_full_import_as_DC]], MATCH('השוואת פקטורים'!$B7, 'PPRs all'!$A$2:$A$108, 0), MATCH('השוואת פקטורים'!Q$6, טבלה1[[#Headers],[SPPR_1986]:[SPPR_symbolic_full_import_as_DC]], 0)),
INDEX(טבלה2[[SPPR_1986]:[SPPR_symbolic_full_import_as_DC]], MATCH('השוואת פקטורים'!$B7, 'PPRs inner'!$A$2:$A$108, 0), MATCH('השוואת פקטורים'!R$6, טבלה2[[#Headers],[SPPR_1986]:[SPPR_symbolic_full_import_as_DC]], 0)) / INDEX(טבלה2[[SPPR_1986]:[SPPR_symbolic_full_import_as_DC]], MATCH('השוואת פקטורים'!$B7, 'PPRs inner'!$A$2:$A$108, 0), MATCH('השוואת פקטורים'!Q$6, טבלה2[[#Headers],[SPPR_1986]:[SPPR_symbolic_full_import_as_DC]], 0))
)</f>
        <v>1</v>
      </c>
      <c r="S7" s="9">
        <f>IF($B$4="סהכ",
INDEX(טבלה1[[SPPR_1986]:[SPPR_symbolic_full_import_as_DC]], MATCH('השוואת פקטורים'!$B7, 'PPRs all'!$A$2:$A$108, 0), MATCH('השוואת פקטורים'!S$6, טבלה1[[#Headers],[SPPR_1986]:[SPPR_symbolic_full_import_as_DC]], 0)) / INDEX(טבלה1[[SPPR_1986]:[SPPR_symbolic_full_import_as_DC]], MATCH('השוואת פקטורים'!$B7, 'PPRs all'!$A$2:$A$108, 0), MATCH('השוואת פקטורים'!R$6, טבלה1[[#Headers],[SPPR_1986]:[SPPR_symbolic_full_import_as_DC]], 0)),
INDEX(טבלה2[[SPPR_1986]:[SPPR_symbolic_full_import_as_DC]], MATCH('השוואת פקטורים'!$B7, 'PPRs inner'!$A$2:$A$108, 0), MATCH('השוואת פקטורים'!S$6, טבלה2[[#Headers],[SPPR_1986]:[SPPR_symbolic_full_import_as_DC]], 0)) / INDEX(טבלה2[[SPPR_1986]:[SPPR_symbolic_full_import_as_DC]], MATCH('השוואת פקטורים'!$B7, 'PPRs inner'!$A$2:$A$108, 0), MATCH('השוואת פקטורים'!R$6, טבלה2[[#Headers],[SPPR_1986]:[SPPR_symbolic_full_import_as_DC]], 0))
)</f>
        <v>1</v>
      </c>
      <c r="T7" s="9">
        <f>IF($B$4="סהכ",
INDEX(טבלה1[[SPPR_1986]:[SPPR_symbolic_full_import_as_DC]], MATCH('השוואת פקטורים'!$B7, 'PPRs all'!$A$2:$A$108, 0), MATCH('השוואת פקטורים'!T$6, טבלה1[[#Headers],[SPPR_1986]:[SPPR_symbolic_full_import_as_DC]], 0)) / INDEX(טבלה1[[SPPR_1986]:[SPPR_symbolic_full_import_as_DC]], MATCH('השוואת פקטורים'!$B7, 'PPRs all'!$A$2:$A$108, 0), MATCH('השוואת פקטורים'!S$6, טבלה1[[#Headers],[SPPR_1986]:[SPPR_symbolic_full_import_as_DC]], 0)),
INDEX(טבלה2[[SPPR_1986]:[SPPR_symbolic_full_import_as_DC]], MATCH('השוואת פקטורים'!$B7, 'PPRs inner'!$A$2:$A$108, 0), MATCH('השוואת פקטורים'!T$6, טבלה2[[#Headers],[SPPR_1986]:[SPPR_symbolic_full_import_as_DC]], 0)) / INDEX(טבלה2[[SPPR_1986]:[SPPR_symbolic_full_import_as_DC]], MATCH('השוואת פקטורים'!$B7, 'PPRs inner'!$A$2:$A$108, 0), MATCH('השוואת פקטורים'!S$6, טבלה2[[#Headers],[SPPR_1986]:[SPPR_symbolic_full_import_as_DC]], 0))
)</f>
        <v>1</v>
      </c>
      <c r="U7" s="9">
        <f>IF($B$4="סהכ",
INDEX(טבלה1[[SPPR_1986]:[SPPR_symbolic_full_import_as_DC]], MATCH('השוואת פקטורים'!$B7, 'PPRs all'!$A$2:$A$108, 0), MATCH('השוואת פקטורים'!U$6, טבלה1[[#Headers],[SPPR_1986]:[SPPR_symbolic_full_import_as_DC]], 0)) / INDEX(טבלה1[[SPPR_1986]:[SPPR_symbolic_full_import_as_DC]], MATCH('השוואת פקטורים'!$B7, 'PPRs all'!$A$2:$A$108, 0), MATCH('השוואת פקטורים'!T$6, טבלה1[[#Headers],[SPPR_1986]:[SPPR_symbolic_full_import_as_DC]], 0)),
INDEX(טבלה2[[SPPR_1986]:[SPPR_symbolic_full_import_as_DC]], MATCH('השוואת פקטורים'!$B7, 'PPRs inner'!$A$2:$A$108, 0), MATCH('השוואת פקטורים'!U$6, טבלה2[[#Headers],[SPPR_1986]:[SPPR_symbolic_full_import_as_DC]], 0)) / INDEX(טבלה2[[SPPR_1986]:[SPPR_symbolic_full_import_as_DC]], MATCH('השוואת פקטורים'!$B7, 'PPRs inner'!$A$2:$A$108, 0), MATCH('השוואת פקטורים'!T$6, טבלה2[[#Headers],[SPPR_1986]:[SPPR_symbolic_full_import_as_DC]], 0))
)</f>
        <v>0.99999999999973144</v>
      </c>
      <c r="V7" s="9"/>
      <c r="W7" s="9"/>
      <c r="X7" s="10"/>
      <c r="Y7" s="10"/>
      <c r="Z7" s="11">
        <f>PRODUCT(K7:Y7)</f>
        <v>1.4623551067134366</v>
      </c>
    </row>
    <row r="8" spans="1:27" x14ac:dyDescent="0.3">
      <c r="B8" s="6" t="s">
        <v>22</v>
      </c>
      <c r="C8" s="12" t="b">
        <v>1</v>
      </c>
      <c r="D8" s="12" t="b">
        <v>1</v>
      </c>
      <c r="E8" s="12" t="b">
        <v>1</v>
      </c>
      <c r="F8" s="12" t="b">
        <f t="shared" ref="F8:F71" si="1">AND(C8:E8)</f>
        <v>1</v>
      </c>
      <c r="G8" s="7" t="b">
        <f>ABS(INDEX(טבלה5[[SPPR_1986]:[SPPR_symbolic_full_import_as_DC]],MATCH('השוואת פקטורים'!$B8,טבלה5[עמודה1],0),MATCH($C$4,טבלה5[[#Headers],[SPPR_1986]:[SPPR_symbolic_full_import_as_DC]],0))) &lt; 5</f>
        <v>1</v>
      </c>
      <c r="H8" s="7" t="b">
        <f>INDEX(טבלה3[[SPPR_1986]:[SPPR_symbolic_full_import_as_DC]],MATCH('השוואת פקטורים'!$B8,טבלה3[עמודה1],0),MATCH($C$4,טבלה3[[#Headers],[SPPR_1986]:[SPPR_symbolic_full_import_as_DC]],0))</f>
        <v>1</v>
      </c>
      <c r="I8" s="7" t="b">
        <f t="shared" si="0"/>
        <v>1</v>
      </c>
      <c r="J8" s="13"/>
      <c r="K8" s="9">
        <f>IF($B$4="סהכ",
INDEX(טבלה1[[SPPR_1986]:[SPPR_symbolic_full_import_as_DC]], MATCH('השוואת פקטורים'!$B8, 'PPRs all'!$A$2:$A$108, 0), MATCH('השוואת פקטורים'!K$6, טבלה1[[#Headers],[SPPR_1986]:[SPPR_symbolic_full_import_as_DC]], 0)) / INDEX(טבלה1[[SPPR_1986]:[SPPR_symbolic_full_import_as_DC]], MATCH('השוואת פקטורים'!$B8, 'PPRs all'!$A$2:$A$108, 0), MATCH('השוואת פקטורים'!J$6, טבלה1[[#Headers],[SPPR_1986]:[SPPR_symbolic_full_import_as_DC]], 0)),
INDEX(טבלה2[[SPPR_1986]:[SPPR_symbolic_full_import_as_DC]], MATCH('השוואת פקטורים'!$B8, 'PPRs inner'!$A$2:$A$108, 0), MATCH('השוואת פקטורים'!K$6, טבלה2[[#Headers],[SPPR_1986]:[SPPR_symbolic_full_import_as_DC]], 0)) / INDEX(טבלה2[[SPPR_1986]:[SPPR_symbolic_full_import_as_DC]], MATCH('השוואת פקטורים'!$B8, 'PPRs inner'!$A$2:$A$108, 0), MATCH('השוואת פקטורים'!J$6, טבלה2[[#Headers],[SPPR_1986]:[SPPR_symbolic_full_import_as_DC]], 0))
)</f>
        <v>0.7682838981529021</v>
      </c>
      <c r="L8" s="9">
        <f>IF($B$4="סהכ",
INDEX(טבלה1[[SPPR_1986]:[SPPR_symbolic_full_import_as_DC]], MATCH('השוואת פקטורים'!$B8, 'PPRs all'!$A$2:$A$108, 0), MATCH('השוואת פקטורים'!L$6, טבלה1[[#Headers],[SPPR_1986]:[SPPR_symbolic_full_import_as_DC]], 0)) / INDEX(טבלה1[[SPPR_1986]:[SPPR_symbolic_full_import_as_DC]], MATCH('השוואת פקטורים'!$B8, 'PPRs all'!$A$2:$A$108, 0), MATCH('השוואת פקטורים'!K$6, טבלה1[[#Headers],[SPPR_1986]:[SPPR_symbolic_full_import_as_DC]], 0)),
INDEX(טבלה2[[SPPR_1986]:[SPPR_symbolic_full_import_as_DC]], MATCH('השוואת פקטורים'!$B8, 'PPRs inner'!$A$2:$A$108, 0), MATCH('השוואת פקטורים'!L$6, טבלה2[[#Headers],[SPPR_1986]:[SPPR_symbolic_full_import_as_DC]], 0)) / INDEX(טבלה2[[SPPR_1986]:[SPPR_symbolic_full_import_as_DC]], MATCH('השוואת פקטורים'!$B8, 'PPRs inner'!$A$2:$A$108, 0), MATCH('השוואת פקטורים'!K$6, טבלה2[[#Headers],[SPPR_1986]:[SPPR_symbolic_full_import_as_DC]], 0))
)</f>
        <v>5.6128814557182736</v>
      </c>
      <c r="M8" s="9">
        <f>IF($B$4="סהכ",
INDEX(טבלה1[[SPPR_1986]:[SPPR_symbolic_full_import_as_DC]], MATCH('השוואת פקטורים'!$B8, 'PPRs all'!$A$2:$A$108, 0), MATCH('השוואת פקטורים'!M$6, טבלה1[[#Headers],[SPPR_1986]:[SPPR_symbolic_full_import_as_DC]], 0)) / INDEX(טבלה1[[SPPR_1986]:[SPPR_symbolic_full_import_as_DC]], MATCH('השוואת פקטורים'!$B8, 'PPRs all'!$A$2:$A$108, 0), MATCH('השוואת פקטורים'!L$6, טבלה1[[#Headers],[SPPR_1986]:[SPPR_symbolic_full_import_as_DC]], 0)),
INDEX(טבלה2[[SPPR_1986]:[SPPR_symbolic_full_import_as_DC]], MATCH('השוואת פקטורים'!$B8, 'PPRs inner'!$A$2:$A$108, 0), MATCH('השוואת פקטורים'!M$6, טבלה2[[#Headers],[SPPR_1986]:[SPPR_symbolic_full_import_as_DC]], 0)) / INDEX(טבלה2[[SPPR_1986]:[SPPR_symbolic_full_import_as_DC]], MATCH('השוואת פקטורים'!$B8, 'PPRs inner'!$A$2:$A$108, 0), MATCH('השוואת פקטורים'!L$6, טבלה2[[#Headers],[SPPR_1986]:[SPPR_symbolic_full_import_as_DC]], 0))
)</f>
        <v>2.1562820374433245</v>
      </c>
      <c r="N8" s="9">
        <f>IF($B$4="סהכ",
INDEX(טבלה1[[SPPR_1986]:[SPPR_symbolic_full_import_as_DC]], MATCH('השוואת פקטורים'!$B8, 'PPRs all'!$A$2:$A$108, 0), MATCH('השוואת פקטורים'!N$6, טבלה1[[#Headers],[SPPR_1986]:[SPPR_symbolic_full_import_as_DC]], 0)) / INDEX(טבלה1[[SPPR_1986]:[SPPR_symbolic_full_import_as_DC]], MATCH('השוואת פקטורים'!$B8, 'PPRs all'!$A$2:$A$108, 0), MATCH('השוואת פקטורים'!M$6, טבלה1[[#Headers],[SPPR_1986]:[SPPR_symbolic_full_import_as_DC]], 0)),
INDEX(טבלה2[[SPPR_1986]:[SPPR_symbolic_full_import_as_DC]], MATCH('השוואת פקטורים'!$B8, 'PPRs inner'!$A$2:$A$108, 0), MATCH('השוואת פקטורים'!N$6, טבלה2[[#Headers],[SPPR_1986]:[SPPR_symbolic_full_import_as_DC]], 0)) / INDEX(טבלה2[[SPPR_1986]:[SPPR_symbolic_full_import_as_DC]], MATCH('השוואת פקטורים'!$B8, 'PPRs inner'!$A$2:$A$108, 0), MATCH('השוואת פקטורים'!M$6, טבלה2[[#Headers],[SPPR_1986]:[SPPR_symbolic_full_import_as_DC]], 0))
)</f>
        <v>2.1095883197483287</v>
      </c>
      <c r="O8" s="9">
        <f>IF($B$4="סהכ",
INDEX(טבלה1[[SPPR_1986]:[SPPR_symbolic_full_import_as_DC]], MATCH('השוואת פקטורים'!$B8, 'PPRs all'!$A$2:$A$108, 0), MATCH('השוואת פקטורים'!O$6, טבלה1[[#Headers],[SPPR_1986]:[SPPR_symbolic_full_import_as_DC]], 0)) / INDEX(טבלה1[[SPPR_1986]:[SPPR_symbolic_full_import_as_DC]], MATCH('השוואת פקטורים'!$B8, 'PPRs all'!$A$2:$A$108, 0), MATCH('השוואת פקטורים'!N$6, טבלה1[[#Headers],[SPPR_1986]:[SPPR_symbolic_full_import_as_DC]], 0)),
INDEX(טבלה2[[SPPR_1986]:[SPPR_symbolic_full_import_as_DC]], MATCH('השוואת פקטורים'!$B8, 'PPRs inner'!$A$2:$A$108, 0), MATCH('השוואת פקטורים'!O$6, טבלה2[[#Headers],[SPPR_1986]:[SPPR_symbolic_full_import_as_DC]], 0)) / INDEX(טבלה2[[SPPR_1986]:[SPPR_symbolic_full_import_as_DC]], MATCH('השוואת פקטורים'!$B8, 'PPRs inner'!$A$2:$A$108, 0), MATCH('השוואת פקטורים'!N$6, טבלה2[[#Headers],[SPPR_1986]:[SPPR_symbolic_full_import_as_DC]], 0))
)</f>
        <v>0.99999999999878808</v>
      </c>
      <c r="P8" s="9">
        <f>IF($B$4="סהכ",
INDEX(טבלה1[[SPPR_1986]:[SPPR_symbolic_full_import_as_DC]], MATCH('השוואת פקטורים'!$B8, 'PPRs all'!$A$2:$A$108, 0), MATCH('השוואת פקטורים'!P$6, טבלה1[[#Headers],[SPPR_1986]:[SPPR_symbolic_full_import_as_DC]], 0)) / INDEX(טבלה1[[SPPR_1986]:[SPPR_symbolic_full_import_as_DC]], MATCH('השוואת פקטורים'!$B8, 'PPRs all'!$A$2:$A$108, 0), MATCH('השוואת פקטורים'!O$6, טבלה1[[#Headers],[SPPR_1986]:[SPPR_symbolic_full_import_as_DC]], 0)),
INDEX(טבלה2[[SPPR_1986]:[SPPR_symbolic_full_import_as_DC]], MATCH('השוואת פקטורים'!$B8, 'PPRs inner'!$A$2:$A$108, 0), MATCH('השוואת פקטורים'!P$6, טבלה2[[#Headers],[SPPR_1986]:[SPPR_symbolic_full_import_as_DC]], 0)) / INDEX(טבלה2[[SPPR_1986]:[SPPR_symbolic_full_import_as_DC]], MATCH('השוואת פקטורים'!$B8, 'PPRs inner'!$A$2:$A$108, 0), MATCH('השוואת פקטורים'!O$6, טבלה2[[#Headers],[SPPR_1986]:[SPPR_symbolic_full_import_as_DC]], 0))
)</f>
        <v>9.1854928975194761E-2</v>
      </c>
      <c r="Q8" s="9">
        <f>IF($B$4="סהכ",
INDEX(טבלה1[[SPPR_1986]:[SPPR_symbolic_full_import_as_DC]], MATCH('השוואת פקטורים'!$B8, 'PPRs all'!$A$2:$A$108, 0), MATCH('השוואת פקטורים'!Q$6, טבלה1[[#Headers],[SPPR_1986]:[SPPR_symbolic_full_import_as_DC]], 0)) / INDEX(טבלה1[[SPPR_1986]:[SPPR_symbolic_full_import_as_DC]], MATCH('השוואת פקטורים'!$B8, 'PPRs all'!$A$2:$A$108, 0), MATCH('השוואת פקטורים'!P$6, טבלה1[[#Headers],[SPPR_1986]:[SPPR_symbolic_full_import_as_DC]], 0)),
INDEX(טבלה2[[SPPR_1986]:[SPPR_symbolic_full_import_as_DC]], MATCH('השוואת פקטורים'!$B8, 'PPRs inner'!$A$2:$A$108, 0), MATCH('השוואת פקטורים'!Q$6, טבלה2[[#Headers],[SPPR_1986]:[SPPR_symbolic_full_import_as_DC]], 0)) / INDEX(טבלה2[[SPPR_1986]:[SPPR_symbolic_full_import_as_DC]], MATCH('השוואת פקטורים'!$B8, 'PPRs inner'!$A$2:$A$108, 0), MATCH('השוואת פקטורים'!P$6, טבלה2[[#Headers],[SPPR_1986]:[SPPR_symbolic_full_import_as_DC]], 0))
)</f>
        <v>1.0000000000000926</v>
      </c>
      <c r="R8" s="9">
        <f>IF($B$4="סהכ",
INDEX(טבלה1[[SPPR_1986]:[SPPR_symbolic_full_import_as_DC]], MATCH('השוואת פקטורים'!$B8, 'PPRs all'!$A$2:$A$108, 0), MATCH('השוואת פקטורים'!R$6, טבלה1[[#Headers],[SPPR_1986]:[SPPR_symbolic_full_import_as_DC]], 0)) / INDEX(טבלה1[[SPPR_1986]:[SPPR_symbolic_full_import_as_DC]], MATCH('השוואת פקטורים'!$B8, 'PPRs all'!$A$2:$A$108, 0), MATCH('השוואת פקטורים'!Q$6, טבלה1[[#Headers],[SPPR_1986]:[SPPR_symbolic_full_import_as_DC]], 0)),
INDEX(טבלה2[[SPPR_1986]:[SPPR_symbolic_full_import_as_DC]], MATCH('השוואת פקטורים'!$B8, 'PPRs inner'!$A$2:$A$108, 0), MATCH('השוואת פקטורים'!R$6, טבלה2[[#Headers],[SPPR_1986]:[SPPR_symbolic_full_import_as_DC]], 0)) / INDEX(טבלה2[[SPPR_1986]:[SPPR_symbolic_full_import_as_DC]], MATCH('השוואת פקטורים'!$B8, 'PPRs inner'!$A$2:$A$108, 0), MATCH('השוואת פקטורים'!Q$6, טבלה2[[#Headers],[SPPR_1986]:[SPPR_symbolic_full_import_as_DC]], 0))
)</f>
        <v>-716.66107418589149</v>
      </c>
      <c r="S8" s="9">
        <f>IF($B$4="סהכ",
INDEX(טבלה1[[SPPR_1986]:[SPPR_symbolic_full_import_as_DC]], MATCH('השוואת פקטורים'!$B8, 'PPRs all'!$A$2:$A$108, 0), MATCH('השוואת פקטורים'!S$6, טבלה1[[#Headers],[SPPR_1986]:[SPPR_symbolic_full_import_as_DC]], 0)) / INDEX(טבלה1[[SPPR_1986]:[SPPR_symbolic_full_import_as_DC]], MATCH('השוואת פקטורים'!$B8, 'PPRs all'!$A$2:$A$108, 0), MATCH('השוואת פקטורים'!R$6, טבלה1[[#Headers],[SPPR_1986]:[SPPR_symbolic_full_import_as_DC]], 0)),
INDEX(טבלה2[[SPPR_1986]:[SPPR_symbolic_full_import_as_DC]], MATCH('השוואת פקטורים'!$B8, 'PPRs inner'!$A$2:$A$108, 0), MATCH('השוואת פקטורים'!S$6, טבלה2[[#Headers],[SPPR_1986]:[SPPR_symbolic_full_import_as_DC]], 0)) / INDEX(טבלה2[[SPPR_1986]:[SPPR_symbolic_full_import_as_DC]], MATCH('השוואת פקטורים'!$B8, 'PPRs inner'!$A$2:$A$108, 0), MATCH('השוואת פקטורים'!R$6, טבלה2[[#Headers],[SPPR_1986]:[SPPR_symbolic_full_import_as_DC]], 0))
)</f>
        <v>-1.3953597258452668E-3</v>
      </c>
      <c r="T8" s="9">
        <f>IF($B$4="סהכ",
INDEX(טבלה1[[SPPR_1986]:[SPPR_symbolic_full_import_as_DC]], MATCH('השוואת פקטורים'!$B8, 'PPRs all'!$A$2:$A$108, 0), MATCH('השוואת פקטורים'!T$6, טבלה1[[#Headers],[SPPR_1986]:[SPPR_symbolic_full_import_as_DC]], 0)) / INDEX(טבלה1[[SPPR_1986]:[SPPR_symbolic_full_import_as_DC]], MATCH('השוואת פקטורים'!$B8, 'PPRs all'!$A$2:$A$108, 0), MATCH('השוואת פקטורים'!S$6, טבלה1[[#Headers],[SPPR_1986]:[SPPR_symbolic_full_import_as_DC]], 0)),
INDEX(טבלה2[[SPPR_1986]:[SPPR_symbolic_full_import_as_DC]], MATCH('השוואת פקטורים'!$B8, 'PPRs inner'!$A$2:$A$108, 0), MATCH('השוואת פקטורים'!T$6, טבלה2[[#Headers],[SPPR_1986]:[SPPR_symbolic_full_import_as_DC]], 0)) / INDEX(טבלה2[[SPPR_1986]:[SPPR_symbolic_full_import_as_DC]], MATCH('השוואת פקטורים'!$B8, 'PPRs inner'!$A$2:$A$108, 0), MATCH('השוואת פקטורים'!S$6, טבלה2[[#Headers],[SPPR_1986]:[SPPR_symbolic_full_import_as_DC]], 0))
)</f>
        <v>-716.66107418589149</v>
      </c>
      <c r="U8" s="9">
        <f>IF($B$4="סהכ",
INDEX(טבלה1[[SPPR_1986]:[SPPR_symbolic_full_import_as_DC]], MATCH('השוואת פקטורים'!$B8, 'PPRs all'!$A$2:$A$108, 0), MATCH('השוואת פקטורים'!U$6, טבלה1[[#Headers],[SPPR_1986]:[SPPR_symbolic_full_import_as_DC]], 0)) / INDEX(טבלה1[[SPPR_1986]:[SPPR_symbolic_full_import_as_DC]], MATCH('השוואת פקטורים'!$B8, 'PPRs all'!$A$2:$A$108, 0), MATCH('השוואת פקטורים'!T$6, טבלה1[[#Headers],[SPPR_1986]:[SPPR_symbolic_full_import_as_DC]], 0)),
INDEX(טבלה2[[SPPR_1986]:[SPPR_symbolic_full_import_as_DC]], MATCH('השוואת פקטורים'!$B8, 'PPRs inner'!$A$2:$A$108, 0), MATCH('השוואת פקטורים'!U$6, טבלה2[[#Headers],[SPPR_1986]:[SPPR_symbolic_full_import_as_DC]], 0)) / INDEX(טבלה2[[SPPR_1986]:[SPPR_symbolic_full_import_as_DC]], MATCH('השוואת פקטורים'!$B8, 'PPRs inner'!$A$2:$A$108, 0), MATCH('השוואת פקטורים'!T$6, טבלה2[[#Headers],[SPPR_1986]:[SPPR_symbolic_full_import_as_DC]], 0))
)</f>
        <v>-1.3953597258451376E-3</v>
      </c>
      <c r="V8" s="9"/>
      <c r="W8" s="9"/>
      <c r="X8" s="14"/>
      <c r="Y8" s="14"/>
      <c r="Z8" s="15">
        <f t="shared" ref="Z8:Z71" si="2">PRODUCT(K8:Y8)</f>
        <v>1.8018280530351201</v>
      </c>
    </row>
    <row r="9" spans="1:27" x14ac:dyDescent="0.3">
      <c r="B9" s="6" t="s">
        <v>23</v>
      </c>
      <c r="C9" s="12" t="b">
        <v>1</v>
      </c>
      <c r="D9" s="12" t="b">
        <v>1</v>
      </c>
      <c r="E9" s="12" t="b">
        <v>1</v>
      </c>
      <c r="F9" s="12" t="b">
        <f t="shared" si="1"/>
        <v>1</v>
      </c>
      <c r="G9" s="7" t="b">
        <f>ABS(INDEX(טבלה5[[SPPR_1986]:[SPPR_symbolic_full_import_as_DC]],MATCH('השוואת פקטורים'!$B9,טבלה5[עמודה1],0),MATCH($C$4,טבלה5[[#Headers],[SPPR_1986]:[SPPR_symbolic_full_import_as_DC]],0))) &lt; 5</f>
        <v>1</v>
      </c>
      <c r="H9" s="7" t="b">
        <f>INDEX(טבלה3[[SPPR_1986]:[SPPR_symbolic_full_import_as_DC]],MATCH('השוואת פקטורים'!$B9,טבלה3[עמודה1],0),MATCH($C$4,טבלה3[[#Headers],[SPPR_1986]:[SPPR_symbolic_full_import_as_DC]],0))</f>
        <v>1</v>
      </c>
      <c r="I9" s="7" t="b">
        <f t="shared" si="0"/>
        <v>1</v>
      </c>
      <c r="J9" s="13"/>
      <c r="K9" s="9">
        <f>IF($B$4="סהכ",
INDEX(טבלה1[[SPPR_1986]:[SPPR_symbolic_full_import_as_DC]], MATCH('השוואת פקטורים'!$B9, 'PPRs all'!$A$2:$A$108, 0), MATCH('השוואת פקטורים'!K$6, טבלה1[[#Headers],[SPPR_1986]:[SPPR_symbolic_full_import_as_DC]], 0)) / INDEX(טבלה1[[SPPR_1986]:[SPPR_symbolic_full_import_as_DC]], MATCH('השוואת פקטורים'!$B9, 'PPRs all'!$A$2:$A$108, 0), MATCH('השוואת פקטורים'!J$6, טבלה1[[#Headers],[SPPR_1986]:[SPPR_symbolic_full_import_as_DC]], 0)),
INDEX(טבלה2[[SPPR_1986]:[SPPR_symbolic_full_import_as_DC]], MATCH('השוואת פקטורים'!$B9, 'PPRs inner'!$A$2:$A$108, 0), MATCH('השוואת פקטורים'!K$6, טבלה2[[#Headers],[SPPR_1986]:[SPPR_symbolic_full_import_as_DC]], 0)) / INDEX(טבלה2[[SPPR_1986]:[SPPR_symbolic_full_import_as_DC]], MATCH('השוואת פקטורים'!$B9, 'PPRs inner'!$A$2:$A$108, 0), MATCH('השוואת פקטורים'!J$6, טבלה2[[#Headers],[SPPR_1986]:[SPPR_symbolic_full_import_as_DC]], 0))
)</f>
        <v>0.11893573948691535</v>
      </c>
      <c r="L9" s="9">
        <f>IF($B$4="סהכ",
INDEX(טבלה1[[SPPR_1986]:[SPPR_symbolic_full_import_as_DC]], MATCH('השוואת פקטורים'!$B9, 'PPRs all'!$A$2:$A$108, 0), MATCH('השוואת פקטורים'!L$6, טבלה1[[#Headers],[SPPR_1986]:[SPPR_symbolic_full_import_as_DC]], 0)) / INDEX(טבלה1[[SPPR_1986]:[SPPR_symbolic_full_import_as_DC]], MATCH('השוואת פקטורים'!$B9, 'PPRs all'!$A$2:$A$108, 0), MATCH('השוואת פקטורים'!K$6, טבלה1[[#Headers],[SPPR_1986]:[SPPR_symbolic_full_import_as_DC]], 0)),
INDEX(טבלה2[[SPPR_1986]:[SPPR_symbolic_full_import_as_DC]], MATCH('השוואת פקטורים'!$B9, 'PPRs inner'!$A$2:$A$108, 0), MATCH('השוואת פקטורים'!L$6, טבלה2[[#Headers],[SPPR_1986]:[SPPR_symbolic_full_import_as_DC]], 0)) / INDEX(טבלה2[[SPPR_1986]:[SPPR_symbolic_full_import_as_DC]], MATCH('השוואת פקטורים'!$B9, 'PPRs inner'!$A$2:$A$108, 0), MATCH('השוואת פקטורים'!K$6, טבלה2[[#Headers],[SPPR_1986]:[SPPR_symbolic_full_import_as_DC]], 0))
)</f>
        <v>2.1060896915022802</v>
      </c>
      <c r="M9" s="9">
        <f>IF($B$4="סהכ",
INDEX(טבלה1[[SPPR_1986]:[SPPR_symbolic_full_import_as_DC]], MATCH('השוואת פקטורים'!$B9, 'PPRs all'!$A$2:$A$108, 0), MATCH('השוואת פקטורים'!M$6, טבלה1[[#Headers],[SPPR_1986]:[SPPR_symbolic_full_import_as_DC]], 0)) / INDEX(טבלה1[[SPPR_1986]:[SPPR_symbolic_full_import_as_DC]], MATCH('השוואת פקטורים'!$B9, 'PPRs all'!$A$2:$A$108, 0), MATCH('השוואת פקטורים'!L$6, טבלה1[[#Headers],[SPPR_1986]:[SPPR_symbolic_full_import_as_DC]], 0)),
INDEX(טבלה2[[SPPR_1986]:[SPPR_symbolic_full_import_as_DC]], MATCH('השוואת פקטורים'!$B9, 'PPRs inner'!$A$2:$A$108, 0), MATCH('השוואת פקטורים'!M$6, טבלה2[[#Headers],[SPPR_1986]:[SPPR_symbolic_full_import_as_DC]], 0)) / INDEX(טבלה2[[SPPR_1986]:[SPPR_symbolic_full_import_as_DC]], MATCH('השוואת פקטורים'!$B9, 'PPRs inner'!$A$2:$A$108, 0), MATCH('השוואת פקטורים'!L$6, טבלה2[[#Headers],[SPPR_1986]:[SPPR_symbolic_full_import_as_DC]], 0))
)</f>
        <v>348.92325748563547</v>
      </c>
      <c r="N9" s="9">
        <f>IF($B$4="סהכ",
INDEX(טבלה1[[SPPR_1986]:[SPPR_symbolic_full_import_as_DC]], MATCH('השוואת פקטורים'!$B9, 'PPRs all'!$A$2:$A$108, 0), MATCH('השוואת פקטורים'!N$6, טבלה1[[#Headers],[SPPR_1986]:[SPPR_symbolic_full_import_as_DC]], 0)) / INDEX(טבלה1[[SPPR_1986]:[SPPR_symbolic_full_import_as_DC]], MATCH('השוואת פקטורים'!$B9, 'PPRs all'!$A$2:$A$108, 0), MATCH('השוואת פקטורים'!M$6, טבלה1[[#Headers],[SPPR_1986]:[SPPR_symbolic_full_import_as_DC]], 0)),
INDEX(טבלה2[[SPPR_1986]:[SPPR_symbolic_full_import_as_DC]], MATCH('השוואת פקטורים'!$B9, 'PPRs inner'!$A$2:$A$108, 0), MATCH('השוואת פקטורים'!N$6, טבלה2[[#Headers],[SPPR_1986]:[SPPR_symbolic_full_import_as_DC]], 0)) / INDEX(טבלה2[[SPPR_1986]:[SPPR_symbolic_full_import_as_DC]], MATCH('השוואת פקטורים'!$B9, 'PPRs inner'!$A$2:$A$108, 0), MATCH('השוואת פקטורים'!M$6, טבלה2[[#Headers],[SPPR_1986]:[SPPR_symbolic_full_import_as_DC]], 0))
)</f>
        <v>32.143334250785699</v>
      </c>
      <c r="O9" s="9">
        <f>IF($B$4="סהכ",
INDEX(טבלה1[[SPPR_1986]:[SPPR_symbolic_full_import_as_DC]], MATCH('השוואת פקטורים'!$B9, 'PPRs all'!$A$2:$A$108, 0), MATCH('השוואת פקטורים'!O$6, טבלה1[[#Headers],[SPPR_1986]:[SPPR_symbolic_full_import_as_DC]], 0)) / INDEX(טבלה1[[SPPR_1986]:[SPPR_symbolic_full_import_as_DC]], MATCH('השוואת פקטורים'!$B9, 'PPRs all'!$A$2:$A$108, 0), MATCH('השוואת פקטורים'!N$6, טבלה1[[#Headers],[SPPR_1986]:[SPPR_symbolic_full_import_as_DC]], 0)),
INDEX(טבלה2[[SPPR_1986]:[SPPR_symbolic_full_import_as_DC]], MATCH('השוואת פקטורים'!$B9, 'PPRs inner'!$A$2:$A$108, 0), MATCH('השוואת פקטורים'!O$6, טבלה2[[#Headers],[SPPR_1986]:[SPPR_symbolic_full_import_as_DC]], 0)) / INDEX(טבלה2[[SPPR_1986]:[SPPR_symbolic_full_import_as_DC]], MATCH('השוואת פקטורים'!$B9, 'PPRs inner'!$A$2:$A$108, 0), MATCH('השוואת פקטורים'!N$6, טבלה2[[#Headers],[SPPR_1986]:[SPPR_symbolic_full_import_as_DC]], 0))
)</f>
        <v>0.99999999999999711</v>
      </c>
      <c r="P9" s="9">
        <f>IF($B$4="סהכ",
INDEX(טבלה1[[SPPR_1986]:[SPPR_symbolic_full_import_as_DC]], MATCH('השוואת פקטורים'!$B9, 'PPRs all'!$A$2:$A$108, 0), MATCH('השוואת פקטורים'!P$6, טבלה1[[#Headers],[SPPR_1986]:[SPPR_symbolic_full_import_as_DC]], 0)) / INDEX(טבלה1[[SPPR_1986]:[SPPR_symbolic_full_import_as_DC]], MATCH('השוואת פקטורים'!$B9, 'PPRs all'!$A$2:$A$108, 0), MATCH('השוואת פקטורים'!O$6, טבלה1[[#Headers],[SPPR_1986]:[SPPR_symbolic_full_import_as_DC]], 0)),
INDEX(טבלה2[[SPPR_1986]:[SPPR_symbolic_full_import_as_DC]], MATCH('השוואת פקטורים'!$B9, 'PPRs inner'!$A$2:$A$108, 0), MATCH('השוואת פקטורים'!P$6, טבלה2[[#Headers],[SPPR_1986]:[SPPR_symbolic_full_import_as_DC]], 0)) / INDEX(טבלה2[[SPPR_1986]:[SPPR_symbolic_full_import_as_DC]], MATCH('השוואת פקטורים'!$B9, 'PPRs inner'!$A$2:$A$108, 0), MATCH('השוואת פקטורים'!O$6, טבלה2[[#Headers],[SPPR_1986]:[SPPR_symbolic_full_import_as_DC]], 0))
)</f>
        <v>1.4538195065735312E-2</v>
      </c>
      <c r="Q9" s="9">
        <f>IF($B$4="סהכ",
INDEX(טבלה1[[SPPR_1986]:[SPPR_symbolic_full_import_as_DC]], MATCH('השוואת פקטורים'!$B9, 'PPRs all'!$A$2:$A$108, 0), MATCH('השוואת פקטורים'!Q$6, טבלה1[[#Headers],[SPPR_1986]:[SPPR_symbolic_full_import_as_DC]], 0)) / INDEX(טבלה1[[SPPR_1986]:[SPPR_symbolic_full_import_as_DC]], MATCH('השוואת פקטורים'!$B9, 'PPRs all'!$A$2:$A$108, 0), MATCH('השוואת פקטורים'!P$6, טבלה1[[#Headers],[SPPR_1986]:[SPPR_symbolic_full_import_as_DC]], 0)),
INDEX(טבלה2[[SPPR_1986]:[SPPR_symbolic_full_import_as_DC]], MATCH('השוואת פקטורים'!$B9, 'PPRs inner'!$A$2:$A$108, 0), MATCH('השוואת פקטורים'!Q$6, טבלה2[[#Headers],[SPPR_1986]:[SPPR_symbolic_full_import_as_DC]], 0)) / INDEX(טבלה2[[SPPR_1986]:[SPPR_symbolic_full_import_as_DC]], MATCH('השוואת פקטורים'!$B9, 'PPRs inner'!$A$2:$A$108, 0), MATCH('השוואת פקטורים'!P$6, טבלה2[[#Headers],[SPPR_1986]:[SPPR_symbolic_full_import_as_DC]], 0))
)</f>
        <v>0.99999999999999922</v>
      </c>
      <c r="R9" s="9">
        <f>IF($B$4="סהכ",
INDEX(טבלה1[[SPPR_1986]:[SPPR_symbolic_full_import_as_DC]], MATCH('השוואת פקטורים'!$B9, 'PPRs all'!$A$2:$A$108, 0), MATCH('השוואת פקטורים'!R$6, טבלה1[[#Headers],[SPPR_1986]:[SPPR_symbolic_full_import_as_DC]], 0)) / INDEX(טבלה1[[SPPR_1986]:[SPPR_symbolic_full_import_as_DC]], MATCH('השוואת פקטורים'!$B9, 'PPRs all'!$A$2:$A$108, 0), MATCH('השוואת פקטורים'!Q$6, טבלה1[[#Headers],[SPPR_1986]:[SPPR_symbolic_full_import_as_DC]], 0)),
INDEX(טבלה2[[SPPR_1986]:[SPPR_symbolic_full_import_as_DC]], MATCH('השוואת פקטורים'!$B9, 'PPRs inner'!$A$2:$A$108, 0), MATCH('השוואת פקטורים'!R$6, טבלה2[[#Headers],[SPPR_1986]:[SPPR_symbolic_full_import_as_DC]], 0)) / INDEX(טבלה2[[SPPR_1986]:[SPPR_symbolic_full_import_as_DC]], MATCH('השוואת פקטורים'!$B9, 'PPRs inner'!$A$2:$A$108, 0), MATCH('השוואת פקטורים'!Q$6, טבלה2[[#Headers],[SPPR_1986]:[SPPR_symbolic_full_import_as_DC]], 0))
)</f>
        <v>1</v>
      </c>
      <c r="S9" s="9">
        <f>IF($B$4="סהכ",
INDEX(טבלה1[[SPPR_1986]:[SPPR_symbolic_full_import_as_DC]], MATCH('השוואת פקטורים'!$B9, 'PPRs all'!$A$2:$A$108, 0), MATCH('השוואת פקטורים'!S$6, טבלה1[[#Headers],[SPPR_1986]:[SPPR_symbolic_full_import_as_DC]], 0)) / INDEX(טבלה1[[SPPR_1986]:[SPPR_symbolic_full_import_as_DC]], MATCH('השוואת פקטורים'!$B9, 'PPRs all'!$A$2:$A$108, 0), MATCH('השוואת פקטורים'!R$6, טבלה1[[#Headers],[SPPR_1986]:[SPPR_symbolic_full_import_as_DC]], 0)),
INDEX(טבלה2[[SPPR_1986]:[SPPR_symbolic_full_import_as_DC]], MATCH('השוואת פקטורים'!$B9, 'PPRs inner'!$A$2:$A$108, 0), MATCH('השוואת פקטורים'!S$6, טבלה2[[#Headers],[SPPR_1986]:[SPPR_symbolic_full_import_as_DC]], 0)) / INDEX(טבלה2[[SPPR_1986]:[SPPR_symbolic_full_import_as_DC]], MATCH('השוואת פקטורים'!$B9, 'PPRs inner'!$A$2:$A$108, 0), MATCH('השוואת פקטורים'!R$6, טבלה2[[#Headers],[SPPR_1986]:[SPPR_symbolic_full_import_as_DC]], 0))
)</f>
        <v>1</v>
      </c>
      <c r="T9" s="9">
        <f>IF($B$4="סהכ",
INDEX(טבלה1[[SPPR_1986]:[SPPR_symbolic_full_import_as_DC]], MATCH('השוואת פקטורים'!$B9, 'PPRs all'!$A$2:$A$108, 0), MATCH('השוואת פקטורים'!T$6, טבלה1[[#Headers],[SPPR_1986]:[SPPR_symbolic_full_import_as_DC]], 0)) / INDEX(טבלה1[[SPPR_1986]:[SPPR_symbolic_full_import_as_DC]], MATCH('השוואת פקטורים'!$B9, 'PPRs all'!$A$2:$A$108, 0), MATCH('השוואת פקטורים'!S$6, טבלה1[[#Headers],[SPPR_1986]:[SPPR_symbolic_full_import_as_DC]], 0)),
INDEX(טבלה2[[SPPR_1986]:[SPPR_symbolic_full_import_as_DC]], MATCH('השוואת פקטורים'!$B9, 'PPRs inner'!$A$2:$A$108, 0), MATCH('השוואת פקטורים'!T$6, טבלה2[[#Headers],[SPPR_1986]:[SPPR_symbolic_full_import_as_DC]], 0)) / INDEX(טבלה2[[SPPR_1986]:[SPPR_symbolic_full_import_as_DC]], MATCH('השוואת פקטורים'!$B9, 'PPRs inner'!$A$2:$A$108, 0), MATCH('השוואת פקטורים'!S$6, טבלה2[[#Headers],[SPPR_1986]:[SPPR_symbolic_full_import_as_DC]], 0))
)</f>
        <v>1</v>
      </c>
      <c r="U9" s="9">
        <f>IF($B$4="סהכ",
INDEX(טבלה1[[SPPR_1986]:[SPPR_symbolic_full_import_as_DC]], MATCH('השוואת פקטורים'!$B9, 'PPRs all'!$A$2:$A$108, 0), MATCH('השוואת פקטורים'!U$6, טבלה1[[#Headers],[SPPR_1986]:[SPPR_symbolic_full_import_as_DC]], 0)) / INDEX(טבלה1[[SPPR_1986]:[SPPR_symbolic_full_import_as_DC]], MATCH('השוואת פקטורים'!$B9, 'PPRs all'!$A$2:$A$108, 0), MATCH('השוואת פקטורים'!T$6, טבלה1[[#Headers],[SPPR_1986]:[SPPR_symbolic_full_import_as_DC]], 0)),
INDEX(טבלה2[[SPPR_1986]:[SPPR_symbolic_full_import_as_DC]], MATCH('השוואת פקטורים'!$B9, 'PPRs inner'!$A$2:$A$108, 0), MATCH('השוואת פקטורים'!U$6, טבלה2[[#Headers],[SPPR_1986]:[SPPR_symbolic_full_import_as_DC]], 0)) / INDEX(טבלה2[[SPPR_1986]:[SPPR_symbolic_full_import_as_DC]], MATCH('השוואת פקטורים'!$B9, 'PPRs inner'!$A$2:$A$108, 0), MATCH('השוואת פקטורים'!T$6, טבלה2[[#Headers],[SPPR_1986]:[SPPR_symbolic_full_import_as_DC]], 0))
)</f>
        <v>1.0000000000000009</v>
      </c>
      <c r="V9" s="9"/>
      <c r="W9" s="9"/>
      <c r="X9" s="14"/>
      <c r="Y9" s="14"/>
      <c r="Z9" s="15">
        <f>PRODUCT(K9:Y9)</f>
        <v>40.843276458877625</v>
      </c>
    </row>
    <row r="10" spans="1:27" x14ac:dyDescent="0.3">
      <c r="B10" s="6" t="s">
        <v>24</v>
      </c>
      <c r="C10" s="12" t="b">
        <v>1</v>
      </c>
      <c r="D10" s="12" t="b">
        <v>1</v>
      </c>
      <c r="E10" s="12" t="b">
        <v>1</v>
      </c>
      <c r="F10" s="12" t="b">
        <f t="shared" si="1"/>
        <v>1</v>
      </c>
      <c r="G10" s="7" t="b">
        <f>ABS(INDEX(טבלה5[[SPPR_1986]:[SPPR_symbolic_full_import_as_DC]],MATCH('השוואת פקטורים'!$B10,טבלה5[עמודה1],0),MATCH($C$4,טבלה5[[#Headers],[SPPR_1986]:[SPPR_symbolic_full_import_as_DC]],0))) &lt; 5</f>
        <v>1</v>
      </c>
      <c r="H10" s="7" t="b">
        <f>INDEX(טבלה3[[SPPR_1986]:[SPPR_symbolic_full_import_as_DC]],MATCH('השוואת פקטורים'!$B10,טבלה3[עמודה1],0),MATCH($C$4,טבלה3[[#Headers],[SPPR_1986]:[SPPR_symbolic_full_import_as_DC]],0))</f>
        <v>1</v>
      </c>
      <c r="I10" s="7" t="b">
        <f t="shared" si="0"/>
        <v>1</v>
      </c>
      <c r="J10" s="13"/>
      <c r="K10" s="9">
        <f>IF($B$4="סהכ",
INDEX(טבלה1[[SPPR_1986]:[SPPR_symbolic_full_import_as_DC]], MATCH('השוואת פקטורים'!$B10, 'PPRs all'!$A$2:$A$108, 0), MATCH('השוואת פקטורים'!K$6, טבלה1[[#Headers],[SPPR_1986]:[SPPR_symbolic_full_import_as_DC]], 0)) / INDEX(טבלה1[[SPPR_1986]:[SPPR_symbolic_full_import_as_DC]], MATCH('השוואת פקטורים'!$B10, 'PPRs all'!$A$2:$A$108, 0), MATCH('השוואת פקטורים'!J$6, טבלה1[[#Headers],[SPPR_1986]:[SPPR_symbolic_full_import_as_DC]], 0)),
INDEX(טבלה2[[SPPR_1986]:[SPPR_symbolic_full_import_as_DC]], MATCH('השוואת פקטורים'!$B10, 'PPRs inner'!$A$2:$A$108, 0), MATCH('השוואת פקטורים'!K$6, טבלה2[[#Headers],[SPPR_1986]:[SPPR_symbolic_full_import_as_DC]], 0)) / INDEX(טבלה2[[SPPR_1986]:[SPPR_symbolic_full_import_as_DC]], MATCH('השוואת פקטורים'!$B10, 'PPRs inner'!$A$2:$A$108, 0), MATCH('השוואת פקטורים'!J$6, טבלה2[[#Headers],[SPPR_1986]:[SPPR_symbolic_full_import_as_DC]], 0))
)</f>
        <v>0.90552414254375269</v>
      </c>
      <c r="L10" s="9">
        <f>IF($B$4="סהכ",
INDEX(טבלה1[[SPPR_1986]:[SPPR_symbolic_full_import_as_DC]], MATCH('השוואת פקטורים'!$B10, 'PPRs all'!$A$2:$A$108, 0), MATCH('השוואת פקטורים'!L$6, טבלה1[[#Headers],[SPPR_1986]:[SPPR_symbolic_full_import_as_DC]], 0)) / INDEX(טבלה1[[SPPR_1986]:[SPPR_symbolic_full_import_as_DC]], MATCH('השוואת פקטורים'!$B10, 'PPRs all'!$A$2:$A$108, 0), MATCH('השוואת פקטורים'!K$6, טבלה1[[#Headers],[SPPR_1986]:[SPPR_symbolic_full_import_as_DC]], 0)),
INDEX(טבלה2[[SPPR_1986]:[SPPR_symbolic_full_import_as_DC]], MATCH('השוואת פקטורים'!$B10, 'PPRs inner'!$A$2:$A$108, 0), MATCH('השוואת פקטורים'!L$6, טבלה2[[#Headers],[SPPR_1986]:[SPPR_symbolic_full_import_as_DC]], 0)) / INDEX(טבלה2[[SPPR_1986]:[SPPR_symbolic_full_import_as_DC]], MATCH('השוואת פקטורים'!$B10, 'PPRs inner'!$A$2:$A$108, 0), MATCH('השוואת פקטורים'!K$6, טבלה2[[#Headers],[SPPR_1986]:[SPPR_symbolic_full_import_as_DC]], 0))
)</f>
        <v>4.5675377802739794</v>
      </c>
      <c r="M10" s="9">
        <f>IF($B$4="סהכ",
INDEX(טבלה1[[SPPR_1986]:[SPPR_symbolic_full_import_as_DC]], MATCH('השוואת פקטורים'!$B10, 'PPRs all'!$A$2:$A$108, 0), MATCH('השוואת פקטורים'!M$6, טבלה1[[#Headers],[SPPR_1986]:[SPPR_symbolic_full_import_as_DC]], 0)) / INDEX(טבלה1[[SPPR_1986]:[SPPR_symbolic_full_import_as_DC]], MATCH('השוואת פקטורים'!$B10, 'PPRs all'!$A$2:$A$108, 0), MATCH('השוואת פקטורים'!L$6, טבלה1[[#Headers],[SPPR_1986]:[SPPR_symbolic_full_import_as_DC]], 0)),
INDEX(טבלה2[[SPPR_1986]:[SPPR_symbolic_full_import_as_DC]], MATCH('השוואת פקטורים'!$B10, 'PPRs inner'!$A$2:$A$108, 0), MATCH('השוואת פקטורים'!M$6, טבלה2[[#Headers],[SPPR_1986]:[SPPR_symbolic_full_import_as_DC]], 0)) / INDEX(טבלה2[[SPPR_1986]:[SPPR_symbolic_full_import_as_DC]], MATCH('השוואת פקטורים'!$B10, 'PPRs inner'!$A$2:$A$108, 0), MATCH('השוואת פקטורים'!L$6, טבלה2[[#Headers],[SPPR_1986]:[SPPR_symbolic_full_import_as_DC]], 0))
)</f>
        <v>6.8435393677378178</v>
      </c>
      <c r="N10" s="9">
        <f>IF($B$4="סהכ",
INDEX(טבלה1[[SPPR_1986]:[SPPR_symbolic_full_import_as_DC]], MATCH('השוואת פקטורים'!$B10, 'PPRs all'!$A$2:$A$108, 0), MATCH('השוואת פקטורים'!N$6, טבלה1[[#Headers],[SPPR_1986]:[SPPR_symbolic_full_import_as_DC]], 0)) / INDEX(טבלה1[[SPPR_1986]:[SPPR_symbolic_full_import_as_DC]], MATCH('השוואת פקטורים'!$B10, 'PPRs all'!$A$2:$A$108, 0), MATCH('השוואת פקטורים'!M$6, טבלה1[[#Headers],[SPPR_1986]:[SPPR_symbolic_full_import_as_DC]], 0)),
INDEX(טבלה2[[SPPR_1986]:[SPPR_symbolic_full_import_as_DC]], MATCH('השוואת פקטורים'!$B10, 'PPRs inner'!$A$2:$A$108, 0), MATCH('השוואת פקטורים'!N$6, טבלה2[[#Headers],[SPPR_1986]:[SPPR_symbolic_full_import_as_DC]], 0)) / INDEX(טבלה2[[SPPR_1986]:[SPPR_symbolic_full_import_as_DC]], MATCH('השוואת פקטורים'!$B10, 'PPRs inner'!$A$2:$A$108, 0), MATCH('השוואת פקטורים'!M$6, טבלה2[[#Headers],[SPPR_1986]:[SPPR_symbolic_full_import_as_DC]], 0))
)</f>
        <v>4.8025785277447719</v>
      </c>
      <c r="O10" s="9">
        <f>IF($B$4="סהכ",
INDEX(טבלה1[[SPPR_1986]:[SPPR_symbolic_full_import_as_DC]], MATCH('השוואת פקטורים'!$B10, 'PPRs all'!$A$2:$A$108, 0), MATCH('השוואת פקטורים'!O$6, טבלה1[[#Headers],[SPPR_1986]:[SPPR_symbolic_full_import_as_DC]], 0)) / INDEX(טבלה1[[SPPR_1986]:[SPPR_symbolic_full_import_as_DC]], MATCH('השוואת פקטורים'!$B10, 'PPRs all'!$A$2:$A$108, 0), MATCH('השוואת פקטורים'!N$6, טבלה1[[#Headers],[SPPR_1986]:[SPPR_symbolic_full_import_as_DC]], 0)),
INDEX(טבלה2[[SPPR_1986]:[SPPR_symbolic_full_import_as_DC]], MATCH('השוואת פקטורים'!$B10, 'PPRs inner'!$A$2:$A$108, 0), MATCH('השוואת פקטורים'!O$6, טבלה2[[#Headers],[SPPR_1986]:[SPPR_symbolic_full_import_as_DC]], 0)) / INDEX(טבלה2[[SPPR_1986]:[SPPR_symbolic_full_import_as_DC]], MATCH('השוואת פקטורים'!$B10, 'PPRs inner'!$A$2:$A$108, 0), MATCH('השוואת פקטורים'!N$6, טבלה2[[#Headers],[SPPR_1986]:[SPPR_symbolic_full_import_as_DC]], 0))
)</f>
        <v>0.99999999999999889</v>
      </c>
      <c r="P10" s="9">
        <f>IF($B$4="סהכ",
INDEX(טבלה1[[SPPR_1986]:[SPPR_symbolic_full_import_as_DC]], MATCH('השוואת פקטורים'!$B10, 'PPRs all'!$A$2:$A$108, 0), MATCH('השוואת פקטורים'!P$6, טבלה1[[#Headers],[SPPR_1986]:[SPPR_symbolic_full_import_as_DC]], 0)) / INDEX(טבלה1[[SPPR_1986]:[SPPR_symbolic_full_import_as_DC]], MATCH('השוואת פקטורים'!$B10, 'PPRs all'!$A$2:$A$108, 0), MATCH('השוואת פקטורים'!O$6, טבלה1[[#Headers],[SPPR_1986]:[SPPR_symbolic_full_import_as_DC]], 0)),
INDEX(טבלה2[[SPPR_1986]:[SPPR_symbolic_full_import_as_DC]], MATCH('השוואת פקטורים'!$B10, 'PPRs inner'!$A$2:$A$108, 0), MATCH('השוואת פקטורים'!P$6, טבלה2[[#Headers],[SPPR_1986]:[SPPR_symbolic_full_import_as_DC]], 0)) / INDEX(טבלה2[[SPPR_1986]:[SPPR_symbolic_full_import_as_DC]], MATCH('השוואת פקטורים'!$B10, 'PPRs inner'!$A$2:$A$108, 0), MATCH('השוואת פקטורים'!O$6, טבלה2[[#Headers],[SPPR_1986]:[SPPR_symbolic_full_import_as_DC]], 0))
)</f>
        <v>0.12521115806073818</v>
      </c>
      <c r="Q10" s="9">
        <f>IF($B$4="סהכ",
INDEX(טבלה1[[SPPR_1986]:[SPPR_symbolic_full_import_as_DC]], MATCH('השוואת פקטורים'!$B10, 'PPRs all'!$A$2:$A$108, 0), MATCH('השוואת פקטורים'!Q$6, טבלה1[[#Headers],[SPPR_1986]:[SPPR_symbolic_full_import_as_DC]], 0)) / INDEX(טבלה1[[SPPR_1986]:[SPPR_symbolic_full_import_as_DC]], MATCH('השוואת פקטורים'!$B10, 'PPRs all'!$A$2:$A$108, 0), MATCH('השוואת פקטורים'!P$6, טבלה1[[#Headers],[SPPR_1986]:[SPPR_symbolic_full_import_as_DC]], 0)),
INDEX(טבלה2[[SPPR_1986]:[SPPR_symbolic_full_import_as_DC]], MATCH('השוואת פקטורים'!$B10, 'PPRs inner'!$A$2:$A$108, 0), MATCH('השוואת פקטורים'!Q$6, טבלה2[[#Headers],[SPPR_1986]:[SPPR_symbolic_full_import_as_DC]], 0)) / INDEX(טבלה2[[SPPR_1986]:[SPPR_symbolic_full_import_as_DC]], MATCH('השוואת פקטורים'!$B10, 'PPRs inner'!$A$2:$A$108, 0), MATCH('השוואת פקטורים'!P$6, טבלה2[[#Headers],[SPPR_1986]:[SPPR_symbolic_full_import_as_DC]], 0))
)</f>
        <v>0.99999999999999323</v>
      </c>
      <c r="R10" s="9">
        <f>IF($B$4="סהכ",
INDEX(טבלה1[[SPPR_1986]:[SPPR_symbolic_full_import_as_DC]], MATCH('השוואת פקטורים'!$B10, 'PPRs all'!$A$2:$A$108, 0), MATCH('השוואת פקטורים'!R$6, טבלה1[[#Headers],[SPPR_1986]:[SPPR_symbolic_full_import_as_DC]], 0)) / INDEX(טבלה1[[SPPR_1986]:[SPPR_symbolic_full_import_as_DC]], MATCH('השוואת פקטורים'!$B10, 'PPRs all'!$A$2:$A$108, 0), MATCH('השוואת פקטורים'!Q$6, טבלה1[[#Headers],[SPPR_1986]:[SPPR_symbolic_full_import_as_DC]], 0)),
INDEX(טבלה2[[SPPR_1986]:[SPPR_symbolic_full_import_as_DC]], MATCH('השוואת פקטורים'!$B10, 'PPRs inner'!$A$2:$A$108, 0), MATCH('השוואת פקטורים'!R$6, טבלה2[[#Headers],[SPPR_1986]:[SPPR_symbolic_full_import_as_DC]], 0)) / INDEX(טבלה2[[SPPR_1986]:[SPPR_symbolic_full_import_as_DC]], MATCH('השוואת פקטורים'!$B10, 'PPRs inner'!$A$2:$A$108, 0), MATCH('השוואת פקטורים'!Q$6, טבלה2[[#Headers],[SPPR_1986]:[SPPR_symbolic_full_import_as_DC]], 0))
)</f>
        <v>1</v>
      </c>
      <c r="S10" s="9">
        <f>IF($B$4="סהכ",
INDEX(טבלה1[[SPPR_1986]:[SPPR_symbolic_full_import_as_DC]], MATCH('השוואת פקטורים'!$B10, 'PPRs all'!$A$2:$A$108, 0), MATCH('השוואת פקטורים'!S$6, טבלה1[[#Headers],[SPPR_1986]:[SPPR_symbolic_full_import_as_DC]], 0)) / INDEX(טבלה1[[SPPR_1986]:[SPPR_symbolic_full_import_as_DC]], MATCH('השוואת פקטורים'!$B10, 'PPRs all'!$A$2:$A$108, 0), MATCH('השוואת פקטורים'!R$6, טבלה1[[#Headers],[SPPR_1986]:[SPPR_symbolic_full_import_as_DC]], 0)),
INDEX(טבלה2[[SPPR_1986]:[SPPR_symbolic_full_import_as_DC]], MATCH('השוואת פקטורים'!$B10, 'PPRs inner'!$A$2:$A$108, 0), MATCH('השוואת פקטורים'!S$6, טבלה2[[#Headers],[SPPR_1986]:[SPPR_symbolic_full_import_as_DC]], 0)) / INDEX(טבלה2[[SPPR_1986]:[SPPR_symbolic_full_import_as_DC]], MATCH('השוואת פקטורים'!$B10, 'PPRs inner'!$A$2:$A$108, 0), MATCH('השוואת פקטורים'!R$6, טבלה2[[#Headers],[SPPR_1986]:[SPPR_symbolic_full_import_as_DC]], 0))
)</f>
        <v>1</v>
      </c>
      <c r="T10" s="9">
        <f>IF($B$4="סהכ",
INDEX(טבלה1[[SPPR_1986]:[SPPR_symbolic_full_import_as_DC]], MATCH('השוואת פקטורים'!$B10, 'PPRs all'!$A$2:$A$108, 0), MATCH('השוואת פקטורים'!T$6, טבלה1[[#Headers],[SPPR_1986]:[SPPR_symbolic_full_import_as_DC]], 0)) / INDEX(טבלה1[[SPPR_1986]:[SPPR_symbolic_full_import_as_DC]], MATCH('השוואת פקטורים'!$B10, 'PPRs all'!$A$2:$A$108, 0), MATCH('השוואת פקטורים'!S$6, טבלה1[[#Headers],[SPPR_1986]:[SPPR_symbolic_full_import_as_DC]], 0)),
INDEX(טבלה2[[SPPR_1986]:[SPPR_symbolic_full_import_as_DC]], MATCH('השוואת פקטורים'!$B10, 'PPRs inner'!$A$2:$A$108, 0), MATCH('השוואת פקטורים'!T$6, טבלה2[[#Headers],[SPPR_1986]:[SPPR_symbolic_full_import_as_DC]], 0)) / INDEX(טבלה2[[SPPR_1986]:[SPPR_symbolic_full_import_as_DC]], MATCH('השוואת פקטורים'!$B10, 'PPRs inner'!$A$2:$A$108, 0), MATCH('השוואת פקטורים'!S$6, טבלה2[[#Headers],[SPPR_1986]:[SPPR_symbolic_full_import_as_DC]], 0))
)</f>
        <v>1</v>
      </c>
      <c r="U10" s="9">
        <f>IF($B$4="סהכ",
INDEX(טבלה1[[SPPR_1986]:[SPPR_symbolic_full_import_as_DC]], MATCH('השוואת פקטורים'!$B10, 'PPRs all'!$A$2:$A$108, 0), MATCH('השוואת פקטורים'!U$6, טבלה1[[#Headers],[SPPR_1986]:[SPPR_symbolic_full_import_as_DC]], 0)) / INDEX(טבלה1[[SPPR_1986]:[SPPR_symbolic_full_import_as_DC]], MATCH('השוואת פקטורים'!$B10, 'PPRs all'!$A$2:$A$108, 0), MATCH('השוואת פקטורים'!T$6, טבלה1[[#Headers],[SPPR_1986]:[SPPR_symbolic_full_import_as_DC]], 0)),
INDEX(טבלה2[[SPPR_1986]:[SPPR_symbolic_full_import_as_DC]], MATCH('השוואת פקטורים'!$B10, 'PPRs inner'!$A$2:$A$108, 0), MATCH('השוואת פקטורים'!U$6, טבלה2[[#Headers],[SPPR_1986]:[SPPR_symbolic_full_import_as_DC]], 0)) / INDEX(טבלה2[[SPPR_1986]:[SPPR_symbolic_full_import_as_DC]], MATCH('השוואת פקטורים'!$B10, 'PPRs inner'!$A$2:$A$108, 0), MATCH('השוואת פקטורים'!T$6, טבלה2[[#Headers],[SPPR_1986]:[SPPR_symbolic_full_import_as_DC]], 0))
)</f>
        <v>1.0000000000000069</v>
      </c>
      <c r="V10" s="9"/>
      <c r="W10" s="9"/>
      <c r="X10" s="14"/>
      <c r="Y10" s="14"/>
      <c r="Z10" s="15">
        <f t="shared" si="2"/>
        <v>17.020819218194223</v>
      </c>
    </row>
    <row r="11" spans="1:27" x14ac:dyDescent="0.3">
      <c r="B11" s="6" t="s">
        <v>25</v>
      </c>
      <c r="C11" s="12" t="b">
        <v>1</v>
      </c>
      <c r="D11" s="12" t="b">
        <v>1</v>
      </c>
      <c r="E11" s="12" t="b">
        <v>1</v>
      </c>
      <c r="F11" s="12" t="b">
        <f t="shared" si="1"/>
        <v>1</v>
      </c>
      <c r="G11" s="7" t="b">
        <f>ABS(INDEX(טבלה5[[SPPR_1986]:[SPPR_symbolic_full_import_as_DC]],MATCH('השוואת פקטורים'!$B11,טבלה5[עמודה1],0),MATCH($C$4,טבלה5[[#Headers],[SPPR_1986]:[SPPR_symbolic_full_import_as_DC]],0))) &lt; 5</f>
        <v>1</v>
      </c>
      <c r="H11" s="7" t="b">
        <f>INDEX(טבלה3[[SPPR_1986]:[SPPR_symbolic_full_import_as_DC]],MATCH('השוואת פקטורים'!$B11,טבלה3[עמודה1],0),MATCH($C$4,טבלה3[[#Headers],[SPPR_1986]:[SPPR_symbolic_full_import_as_DC]],0))</f>
        <v>1</v>
      </c>
      <c r="I11" s="7" t="b">
        <f t="shared" si="0"/>
        <v>1</v>
      </c>
      <c r="J11" s="13"/>
      <c r="K11" s="9">
        <f>IF($B$4="סהכ",
INDEX(טבלה1[[SPPR_1986]:[SPPR_symbolic_full_import_as_DC]], MATCH('השוואת פקטורים'!$B11, 'PPRs all'!$A$2:$A$108, 0), MATCH('השוואת פקטורים'!K$6, טבלה1[[#Headers],[SPPR_1986]:[SPPR_symbolic_full_import_as_DC]], 0)) / INDEX(טבלה1[[SPPR_1986]:[SPPR_symbolic_full_import_as_DC]], MATCH('השוואת פקטורים'!$B11, 'PPRs all'!$A$2:$A$108, 0), MATCH('השוואת פקטורים'!J$6, טבלה1[[#Headers],[SPPR_1986]:[SPPR_symbolic_full_import_as_DC]], 0)),
INDEX(טבלה2[[SPPR_1986]:[SPPR_symbolic_full_import_as_DC]], MATCH('השוואת פקטורים'!$B11, 'PPRs inner'!$A$2:$A$108, 0), MATCH('השוואת פקטורים'!K$6, טבלה2[[#Headers],[SPPR_1986]:[SPPR_symbolic_full_import_as_DC]], 0)) / INDEX(טבלה2[[SPPR_1986]:[SPPR_symbolic_full_import_as_DC]], MATCH('השוואת פקטורים'!$B11, 'PPRs inner'!$A$2:$A$108, 0), MATCH('השוואת פקטורים'!J$6, טבלה2[[#Headers],[SPPR_1986]:[SPPR_symbolic_full_import_as_DC]], 0))
)</f>
        <v>0.48773260211409192</v>
      </c>
      <c r="L11" s="9">
        <f>IF($B$4="סהכ",
INDEX(טבלה1[[SPPR_1986]:[SPPR_symbolic_full_import_as_DC]], MATCH('השוואת פקטורים'!$B11, 'PPRs all'!$A$2:$A$108, 0), MATCH('השוואת פקטורים'!L$6, טבלה1[[#Headers],[SPPR_1986]:[SPPR_symbolic_full_import_as_DC]], 0)) / INDEX(טבלה1[[SPPR_1986]:[SPPR_symbolic_full_import_as_DC]], MATCH('השוואת פקטורים'!$B11, 'PPRs all'!$A$2:$A$108, 0), MATCH('השוואת פקטורים'!K$6, טבלה1[[#Headers],[SPPR_1986]:[SPPR_symbolic_full_import_as_DC]], 0)),
INDEX(טבלה2[[SPPR_1986]:[SPPR_symbolic_full_import_as_DC]], MATCH('השוואת פקטורים'!$B11, 'PPRs inner'!$A$2:$A$108, 0), MATCH('השוואת פקטורים'!L$6, טבלה2[[#Headers],[SPPR_1986]:[SPPR_symbolic_full_import_as_DC]], 0)) / INDEX(טבלה2[[SPPR_1986]:[SPPR_symbolic_full_import_as_DC]], MATCH('השוואת פקטורים'!$B11, 'PPRs inner'!$A$2:$A$108, 0), MATCH('השוואת פקטורים'!K$6, טבלה2[[#Headers],[SPPR_1986]:[SPPR_symbolic_full_import_as_DC]], 0))
)</f>
        <v>3.0612065470585681</v>
      </c>
      <c r="M11" s="9">
        <f>IF($B$4="סהכ",
INDEX(טבלה1[[SPPR_1986]:[SPPR_symbolic_full_import_as_DC]], MATCH('השוואת פקטורים'!$B11, 'PPRs all'!$A$2:$A$108, 0), MATCH('השוואת פקטורים'!M$6, טבלה1[[#Headers],[SPPR_1986]:[SPPR_symbolic_full_import_as_DC]], 0)) / INDEX(טבלה1[[SPPR_1986]:[SPPR_symbolic_full_import_as_DC]], MATCH('השוואת פקטורים'!$B11, 'PPRs all'!$A$2:$A$108, 0), MATCH('השוואת פקטורים'!L$6, טבלה1[[#Headers],[SPPR_1986]:[SPPR_symbolic_full_import_as_DC]], 0)),
INDEX(טבלה2[[SPPR_1986]:[SPPR_symbolic_full_import_as_DC]], MATCH('השוואת פקטורים'!$B11, 'PPRs inner'!$A$2:$A$108, 0), MATCH('השוואת פקטורים'!M$6, טבלה2[[#Headers],[SPPR_1986]:[SPPR_symbolic_full_import_as_DC]], 0)) / INDEX(טבלה2[[SPPR_1986]:[SPPR_symbolic_full_import_as_DC]], MATCH('השוואת פקטורים'!$B11, 'PPRs inner'!$A$2:$A$108, 0), MATCH('השוואת פקטורים'!L$6, טבלה2[[#Headers],[SPPR_1986]:[SPPR_symbolic_full_import_as_DC]], 0))
)</f>
        <v>2.185786424701142</v>
      </c>
      <c r="N11" s="9">
        <f>IF($B$4="סהכ",
INDEX(טבלה1[[SPPR_1986]:[SPPR_symbolic_full_import_as_DC]], MATCH('השוואת פקטורים'!$B11, 'PPRs all'!$A$2:$A$108, 0), MATCH('השוואת פקטורים'!N$6, טבלה1[[#Headers],[SPPR_1986]:[SPPR_symbolic_full_import_as_DC]], 0)) / INDEX(טבלה1[[SPPR_1986]:[SPPR_symbolic_full_import_as_DC]], MATCH('השוואת פקטורים'!$B11, 'PPRs all'!$A$2:$A$108, 0), MATCH('השוואת פקטורים'!M$6, טבלה1[[#Headers],[SPPR_1986]:[SPPR_symbolic_full_import_as_DC]], 0)),
INDEX(טבלה2[[SPPR_1986]:[SPPR_symbolic_full_import_as_DC]], MATCH('השוואת פקטורים'!$B11, 'PPRs inner'!$A$2:$A$108, 0), MATCH('השוואת פקטורים'!N$6, טבלה2[[#Headers],[SPPR_1986]:[SPPR_symbolic_full_import_as_DC]], 0)) / INDEX(טבלה2[[SPPR_1986]:[SPPR_symbolic_full_import_as_DC]], MATCH('השוואת פקטורים'!$B11, 'PPRs inner'!$A$2:$A$108, 0), MATCH('השוואת פקטורים'!M$6, טבלה2[[#Headers],[SPPR_1986]:[SPPR_symbolic_full_import_as_DC]], 0))
)</f>
        <v>1.1220209427501313</v>
      </c>
      <c r="O11" s="9">
        <f>IF($B$4="סהכ",
INDEX(טבלה1[[SPPR_1986]:[SPPR_symbolic_full_import_as_DC]], MATCH('השוואת פקטורים'!$B11, 'PPRs all'!$A$2:$A$108, 0), MATCH('השוואת פקטורים'!O$6, טבלה1[[#Headers],[SPPR_1986]:[SPPR_symbolic_full_import_as_DC]], 0)) / INDEX(טבלה1[[SPPR_1986]:[SPPR_symbolic_full_import_as_DC]], MATCH('השוואת פקטורים'!$B11, 'PPRs all'!$A$2:$A$108, 0), MATCH('השוואת פקטורים'!N$6, טבלה1[[#Headers],[SPPR_1986]:[SPPR_symbolic_full_import_as_DC]], 0)),
INDEX(טבלה2[[SPPR_1986]:[SPPR_symbolic_full_import_as_DC]], MATCH('השוואת פקטורים'!$B11, 'PPRs inner'!$A$2:$A$108, 0), MATCH('השוואת פקטורים'!O$6, טבלה2[[#Headers],[SPPR_1986]:[SPPR_symbolic_full_import_as_DC]], 0)) / INDEX(טבלה2[[SPPR_1986]:[SPPR_symbolic_full_import_as_DC]], MATCH('השוואת פקטורים'!$B11, 'PPRs inner'!$A$2:$A$108, 0), MATCH('השוואת פקטורים'!N$6, טבלה2[[#Headers],[SPPR_1986]:[SPPR_symbolic_full_import_as_DC]], 0))
)</f>
        <v>1.0000000000000033</v>
      </c>
      <c r="P11" s="9">
        <f>IF($B$4="סהכ",
INDEX(טבלה1[[SPPR_1986]:[SPPR_symbolic_full_import_as_DC]], MATCH('השוואת פקטורים'!$B11, 'PPRs all'!$A$2:$A$108, 0), MATCH('השוואת פקטורים'!P$6, טבלה1[[#Headers],[SPPR_1986]:[SPPR_symbolic_full_import_as_DC]], 0)) / INDEX(טבלה1[[SPPR_1986]:[SPPR_symbolic_full_import_as_DC]], MATCH('השוואת פקטורים'!$B11, 'PPRs all'!$A$2:$A$108, 0), MATCH('השוואת פקטורים'!O$6, טבלה1[[#Headers],[SPPR_1986]:[SPPR_symbolic_full_import_as_DC]], 0)),
INDEX(טבלה2[[SPPR_1986]:[SPPR_symbolic_full_import_as_DC]], MATCH('השוואת פקטורים'!$B11, 'PPRs inner'!$A$2:$A$108, 0), MATCH('השוואת פקטורים'!P$6, טבלה2[[#Headers],[SPPR_1986]:[SPPR_symbolic_full_import_as_DC]], 0)) / INDEX(טבלה2[[SPPR_1986]:[SPPR_symbolic_full_import_as_DC]], MATCH('השוואת פקטורים'!$B11, 'PPRs inner'!$A$2:$A$108, 0), MATCH('השוואת פקטורים'!O$6, טבלה2[[#Headers],[SPPR_1986]:[SPPR_symbolic_full_import_as_DC]], 0))
)</f>
        <v>0.23914922362099783</v>
      </c>
      <c r="Q11" s="9">
        <f>IF($B$4="סהכ",
INDEX(טבלה1[[SPPR_1986]:[SPPR_symbolic_full_import_as_DC]], MATCH('השוואת פקטורים'!$B11, 'PPRs all'!$A$2:$A$108, 0), MATCH('השוואת פקטורים'!Q$6, טבלה1[[#Headers],[SPPR_1986]:[SPPR_symbolic_full_import_as_DC]], 0)) / INDEX(טבלה1[[SPPR_1986]:[SPPR_symbolic_full_import_as_DC]], MATCH('השוואת פקטורים'!$B11, 'PPRs all'!$A$2:$A$108, 0), MATCH('השוואת פקטורים'!P$6, טבלה1[[#Headers],[SPPR_1986]:[SPPR_symbolic_full_import_as_DC]], 0)),
INDEX(טבלה2[[SPPR_1986]:[SPPR_symbolic_full_import_as_DC]], MATCH('השוואת פקטורים'!$B11, 'PPRs inner'!$A$2:$A$108, 0), MATCH('השוואת פקטורים'!Q$6, טבלה2[[#Headers],[SPPR_1986]:[SPPR_symbolic_full_import_as_DC]], 0)) / INDEX(טבלה2[[SPPR_1986]:[SPPR_symbolic_full_import_as_DC]], MATCH('השוואת פקטורים'!$B11, 'PPRs inner'!$A$2:$A$108, 0), MATCH('השוואת פקטורים'!P$6, טבלה2[[#Headers],[SPPR_1986]:[SPPR_symbolic_full_import_as_DC]], 0))
)</f>
        <v>1.0000000000000002</v>
      </c>
      <c r="R11" s="9">
        <f>IF($B$4="סהכ",
INDEX(טבלה1[[SPPR_1986]:[SPPR_symbolic_full_import_as_DC]], MATCH('השוואת פקטורים'!$B11, 'PPRs all'!$A$2:$A$108, 0), MATCH('השוואת פקטורים'!R$6, טבלה1[[#Headers],[SPPR_1986]:[SPPR_symbolic_full_import_as_DC]], 0)) / INDEX(טבלה1[[SPPR_1986]:[SPPR_symbolic_full_import_as_DC]], MATCH('השוואת פקטורים'!$B11, 'PPRs all'!$A$2:$A$108, 0), MATCH('השוואת פקטורים'!Q$6, טבלה1[[#Headers],[SPPR_1986]:[SPPR_symbolic_full_import_as_DC]], 0)),
INDEX(טבלה2[[SPPR_1986]:[SPPR_symbolic_full_import_as_DC]], MATCH('השוואת פקטורים'!$B11, 'PPRs inner'!$A$2:$A$108, 0), MATCH('השוואת פקטורים'!R$6, טבלה2[[#Headers],[SPPR_1986]:[SPPR_symbolic_full_import_as_DC]], 0)) / INDEX(טבלה2[[SPPR_1986]:[SPPR_symbolic_full_import_as_DC]], MATCH('השוואת פקטורים'!$B11, 'PPRs inner'!$A$2:$A$108, 0), MATCH('השוואת פקטורים'!Q$6, טבלה2[[#Headers],[SPPR_1986]:[SPPR_symbolic_full_import_as_DC]], 0))
)</f>
        <v>1.0179139685197942</v>
      </c>
      <c r="S11" s="9">
        <f>IF($B$4="סהכ",
INDEX(טבלה1[[SPPR_1986]:[SPPR_symbolic_full_import_as_DC]], MATCH('השוואת פקטורים'!$B11, 'PPRs all'!$A$2:$A$108, 0), MATCH('השוואת פקטורים'!S$6, טבלה1[[#Headers],[SPPR_1986]:[SPPR_symbolic_full_import_as_DC]], 0)) / INDEX(טבלה1[[SPPR_1986]:[SPPR_symbolic_full_import_as_DC]], MATCH('השוואת פקטורים'!$B11, 'PPRs all'!$A$2:$A$108, 0), MATCH('השוואת פקטורים'!R$6, טבלה1[[#Headers],[SPPR_1986]:[SPPR_symbolic_full_import_as_DC]], 0)),
INDEX(טבלה2[[SPPR_1986]:[SPPR_symbolic_full_import_as_DC]], MATCH('השוואת פקטורים'!$B11, 'PPRs inner'!$A$2:$A$108, 0), MATCH('השוואת פקטורים'!S$6, טבלה2[[#Headers],[SPPR_1986]:[SPPR_symbolic_full_import_as_DC]], 0)) / INDEX(טבלה2[[SPPR_1986]:[SPPR_symbolic_full_import_as_DC]], MATCH('השוואת פקטורים'!$B11, 'PPRs inner'!$A$2:$A$108, 0), MATCH('השוואת פקטורים'!R$6, טבלה2[[#Headers],[SPPR_1986]:[SPPR_symbolic_full_import_as_DC]], 0))
)</f>
        <v>0.98240129414291855</v>
      </c>
      <c r="T11" s="9">
        <f>IF($B$4="סהכ",
INDEX(טבלה1[[SPPR_1986]:[SPPR_symbolic_full_import_as_DC]], MATCH('השוואת פקטורים'!$B11, 'PPRs all'!$A$2:$A$108, 0), MATCH('השוואת פקטורים'!T$6, טבלה1[[#Headers],[SPPR_1986]:[SPPR_symbolic_full_import_as_DC]], 0)) / INDEX(טבלה1[[SPPR_1986]:[SPPR_symbolic_full_import_as_DC]], MATCH('השוואת פקטורים'!$B11, 'PPRs all'!$A$2:$A$108, 0), MATCH('השוואת פקטורים'!S$6, טבלה1[[#Headers],[SPPR_1986]:[SPPR_symbolic_full_import_as_DC]], 0)),
INDEX(טבלה2[[SPPR_1986]:[SPPR_symbolic_full_import_as_DC]], MATCH('השוואת פקטורים'!$B11, 'PPRs inner'!$A$2:$A$108, 0), MATCH('השוואת פקטורים'!T$6, טבלה2[[#Headers],[SPPR_1986]:[SPPR_symbolic_full_import_as_DC]], 0)) / INDEX(טבלה2[[SPPR_1986]:[SPPR_symbolic_full_import_as_DC]], MATCH('השוואת פקטורים'!$B11, 'PPRs inner'!$A$2:$A$108, 0), MATCH('השוואת פקטורים'!S$6, טבלה2[[#Headers],[SPPR_1986]:[SPPR_symbolic_full_import_as_DC]], 0))
)</f>
        <v>1.0179139685197942</v>
      </c>
      <c r="U11" s="9">
        <f>IF($B$4="סהכ",
INDEX(טבלה1[[SPPR_1986]:[SPPR_symbolic_full_import_as_DC]], MATCH('השוואת פקטורים'!$B11, 'PPRs all'!$A$2:$A$108, 0), MATCH('השוואת פקטורים'!U$6, טבלה1[[#Headers],[SPPR_1986]:[SPPR_symbolic_full_import_as_DC]], 0)) / INDEX(טבלה1[[SPPR_1986]:[SPPR_symbolic_full_import_as_DC]], MATCH('השוואת פקטורים'!$B11, 'PPRs all'!$A$2:$A$108, 0), MATCH('השוואת פקטורים'!T$6, טבלה1[[#Headers],[SPPR_1986]:[SPPR_symbolic_full_import_as_DC]], 0)),
INDEX(טבלה2[[SPPR_1986]:[SPPR_symbolic_full_import_as_DC]], MATCH('השוואת פקטורים'!$B11, 'PPRs inner'!$A$2:$A$108, 0), MATCH('השוואת פקטורים'!U$6, טבלה2[[#Headers],[SPPR_1986]:[SPPR_symbolic_full_import_as_DC]], 0)) / INDEX(טבלה2[[SPPR_1986]:[SPPR_symbolic_full_import_as_DC]], MATCH('השוואת פקטורים'!$B11, 'PPRs inner'!$A$2:$A$108, 0), MATCH('השוואת פקטורים'!T$6, טבלה2[[#Headers],[SPPR_1986]:[SPPR_symbolic_full_import_as_DC]], 0))
)</f>
        <v>0.98240129414291832</v>
      </c>
      <c r="V11" s="9"/>
      <c r="W11" s="9"/>
      <c r="X11" s="14"/>
      <c r="Y11" s="14"/>
      <c r="Z11" s="15">
        <f t="shared" si="2"/>
        <v>0.87569341310177762</v>
      </c>
    </row>
    <row r="12" spans="1:27" x14ac:dyDescent="0.3">
      <c r="B12" s="6" t="s">
        <v>26</v>
      </c>
      <c r="C12" s="12" t="b">
        <v>1</v>
      </c>
      <c r="D12" s="12" t="b">
        <v>1</v>
      </c>
      <c r="E12" s="12" t="b">
        <v>1</v>
      </c>
      <c r="F12" s="12" t="b">
        <f t="shared" si="1"/>
        <v>1</v>
      </c>
      <c r="G12" s="7" t="b">
        <f>ABS(INDEX(טבלה5[[SPPR_1986]:[SPPR_symbolic_full_import_as_DC]],MATCH('השוואת פקטורים'!$B12,טבלה5[עמודה1],0),MATCH($C$4,טבלה5[[#Headers],[SPPR_1986]:[SPPR_symbolic_full_import_as_DC]],0))) &lt; 5</f>
        <v>1</v>
      </c>
      <c r="H12" s="7" t="b">
        <f>INDEX(טבלה3[[SPPR_1986]:[SPPR_symbolic_full_import_as_DC]],MATCH('השוואת פקטורים'!$B12,טבלה3[עמודה1],0),MATCH($C$4,טבלה3[[#Headers],[SPPR_1986]:[SPPR_symbolic_full_import_as_DC]],0))</f>
        <v>1</v>
      </c>
      <c r="I12" s="7" t="b">
        <f t="shared" si="0"/>
        <v>1</v>
      </c>
      <c r="J12" s="13"/>
      <c r="K12" s="9">
        <f>IF($B$4="סהכ",
INDEX(טבלה1[[SPPR_1986]:[SPPR_symbolic_full_import_as_DC]], MATCH('השוואת פקטורים'!$B12, 'PPRs all'!$A$2:$A$108, 0), MATCH('השוואת פקטורים'!K$6, טבלה1[[#Headers],[SPPR_1986]:[SPPR_symbolic_full_import_as_DC]], 0)) / INDEX(טבלה1[[SPPR_1986]:[SPPR_symbolic_full_import_as_DC]], MATCH('השוואת פקטורים'!$B12, 'PPRs all'!$A$2:$A$108, 0), MATCH('השוואת פקטורים'!J$6, טבלה1[[#Headers],[SPPR_1986]:[SPPR_symbolic_full_import_as_DC]], 0)),
INDEX(טבלה2[[SPPR_1986]:[SPPR_symbolic_full_import_as_DC]], MATCH('השוואת פקטורים'!$B12, 'PPRs inner'!$A$2:$A$108, 0), MATCH('השוואת פקטורים'!K$6, טבלה2[[#Headers],[SPPR_1986]:[SPPR_symbolic_full_import_as_DC]], 0)) / INDEX(טבלה2[[SPPR_1986]:[SPPR_symbolic_full_import_as_DC]], MATCH('השוואת פקטורים'!$B12, 'PPRs inner'!$A$2:$A$108, 0), MATCH('השוואת פקטורים'!J$6, טבלה2[[#Headers],[SPPR_1986]:[SPPR_symbolic_full_import_as_DC]], 0))
)</f>
        <v>2.8779297056360758</v>
      </c>
      <c r="L12" s="9">
        <f>IF($B$4="סהכ",
INDEX(טבלה1[[SPPR_1986]:[SPPR_symbolic_full_import_as_DC]], MATCH('השוואת פקטורים'!$B12, 'PPRs all'!$A$2:$A$108, 0), MATCH('השוואת פקטורים'!L$6, טבלה1[[#Headers],[SPPR_1986]:[SPPR_symbolic_full_import_as_DC]], 0)) / INDEX(טבלה1[[SPPR_1986]:[SPPR_symbolic_full_import_as_DC]], MATCH('השוואת פקטורים'!$B12, 'PPRs all'!$A$2:$A$108, 0), MATCH('השוואת פקטורים'!K$6, טבלה1[[#Headers],[SPPR_1986]:[SPPR_symbolic_full_import_as_DC]], 0)),
INDEX(טבלה2[[SPPR_1986]:[SPPR_symbolic_full_import_as_DC]], MATCH('השוואת פקטורים'!$B12, 'PPRs inner'!$A$2:$A$108, 0), MATCH('השוואת פקטורים'!L$6, טבלה2[[#Headers],[SPPR_1986]:[SPPR_symbolic_full_import_as_DC]], 0)) / INDEX(טבלה2[[SPPR_1986]:[SPPR_symbolic_full_import_as_DC]], MATCH('השוואת פקטורים'!$B12, 'PPRs inner'!$A$2:$A$108, 0), MATCH('השוואת פקטורים'!K$6, טבלה2[[#Headers],[SPPR_1986]:[SPPR_symbolic_full_import_as_DC]], 0))
)</f>
        <v>7.2128471259833944</v>
      </c>
      <c r="M12" s="9">
        <f>IF($B$4="סהכ",
INDEX(טבלה1[[SPPR_1986]:[SPPR_symbolic_full_import_as_DC]], MATCH('השוואת פקטורים'!$B12, 'PPRs all'!$A$2:$A$108, 0), MATCH('השוואת פקטורים'!M$6, טבלה1[[#Headers],[SPPR_1986]:[SPPR_symbolic_full_import_as_DC]], 0)) / INDEX(טבלה1[[SPPR_1986]:[SPPR_symbolic_full_import_as_DC]], MATCH('השוואת פקטורים'!$B12, 'PPRs all'!$A$2:$A$108, 0), MATCH('השוואת פקטורים'!L$6, טבלה1[[#Headers],[SPPR_1986]:[SPPR_symbolic_full_import_as_DC]], 0)),
INDEX(טבלה2[[SPPR_1986]:[SPPR_symbolic_full_import_as_DC]], MATCH('השוואת פקטורים'!$B12, 'PPRs inner'!$A$2:$A$108, 0), MATCH('השוואת פקטורים'!M$6, טבלה2[[#Headers],[SPPR_1986]:[SPPR_symbolic_full_import_as_DC]], 0)) / INDEX(טבלה2[[SPPR_1986]:[SPPR_symbolic_full_import_as_DC]], MATCH('השוואת פקטורים'!$B12, 'PPRs inner'!$A$2:$A$108, 0), MATCH('השוואת פקטורים'!L$6, טבלה2[[#Headers],[SPPR_1986]:[SPPR_symbolic_full_import_as_DC]], 0))
)</f>
        <v>0.23031709354423033</v>
      </c>
      <c r="N12" s="9">
        <f>IF($B$4="סהכ",
INDEX(טבלה1[[SPPR_1986]:[SPPR_symbolic_full_import_as_DC]], MATCH('השוואת פקטורים'!$B12, 'PPRs all'!$A$2:$A$108, 0), MATCH('השוואת פקטורים'!N$6, טבלה1[[#Headers],[SPPR_1986]:[SPPR_symbolic_full_import_as_DC]], 0)) / INDEX(טבלה1[[SPPR_1986]:[SPPR_symbolic_full_import_as_DC]], MATCH('השוואת פקטורים'!$B12, 'PPRs all'!$A$2:$A$108, 0), MATCH('השוואת פקטורים'!M$6, טבלה1[[#Headers],[SPPR_1986]:[SPPR_symbolic_full_import_as_DC]], 0)),
INDEX(טבלה2[[SPPR_1986]:[SPPR_symbolic_full_import_as_DC]], MATCH('השוואת פקטורים'!$B12, 'PPRs inner'!$A$2:$A$108, 0), MATCH('השוואת פקטורים'!N$6, טבלה2[[#Headers],[SPPR_1986]:[SPPR_symbolic_full_import_as_DC]], 0)) / INDEX(טבלה2[[SPPR_1986]:[SPPR_symbolic_full_import_as_DC]], MATCH('השוואת פקטורים'!$B12, 'PPRs inner'!$A$2:$A$108, 0), MATCH('השוואת פקטורים'!M$6, טבלה2[[#Headers],[SPPR_1986]:[SPPR_symbolic_full_import_as_DC]], 0))
)</f>
        <v>1.3749173395316134</v>
      </c>
      <c r="O12" s="9">
        <f>IF($B$4="סהכ",
INDEX(טבלה1[[SPPR_1986]:[SPPR_symbolic_full_import_as_DC]], MATCH('השוואת פקטורים'!$B12, 'PPRs all'!$A$2:$A$108, 0), MATCH('השוואת פקטורים'!O$6, טבלה1[[#Headers],[SPPR_1986]:[SPPR_symbolic_full_import_as_DC]], 0)) / INDEX(טבלה1[[SPPR_1986]:[SPPR_symbolic_full_import_as_DC]], MATCH('השוואת פקטורים'!$B12, 'PPRs all'!$A$2:$A$108, 0), MATCH('השוואת פקטורים'!N$6, טבלה1[[#Headers],[SPPR_1986]:[SPPR_symbolic_full_import_as_DC]], 0)),
INDEX(טבלה2[[SPPR_1986]:[SPPR_symbolic_full_import_as_DC]], MATCH('השוואת פקטורים'!$B12, 'PPRs inner'!$A$2:$A$108, 0), MATCH('השוואת פקטורים'!O$6, טבלה2[[#Headers],[SPPR_1986]:[SPPR_symbolic_full_import_as_DC]], 0)) / INDEX(טבלה2[[SPPR_1986]:[SPPR_symbolic_full_import_as_DC]], MATCH('השוואת פקטורים'!$B12, 'PPRs inner'!$A$2:$A$108, 0), MATCH('השוואת פקטורים'!N$6, טבלה2[[#Headers],[SPPR_1986]:[SPPR_symbolic_full_import_as_DC]], 0))
)</f>
        <v>0.99999999999999822</v>
      </c>
      <c r="P12" s="9">
        <f>IF($B$4="סהכ",
INDEX(טבלה1[[SPPR_1986]:[SPPR_symbolic_full_import_as_DC]], MATCH('השוואת פקטורים'!$B12, 'PPRs all'!$A$2:$A$108, 0), MATCH('השוואת פקטורים'!P$6, טבלה1[[#Headers],[SPPR_1986]:[SPPR_symbolic_full_import_as_DC]], 0)) / INDEX(טבלה1[[SPPR_1986]:[SPPR_symbolic_full_import_as_DC]], MATCH('השוואת פקטורים'!$B12, 'PPRs all'!$A$2:$A$108, 0), MATCH('השוואת פקטורים'!O$6, טבלה1[[#Headers],[SPPR_1986]:[SPPR_symbolic_full_import_as_DC]], 0)),
INDEX(טבלה2[[SPPR_1986]:[SPPR_symbolic_full_import_as_DC]], MATCH('השוואת פקטורים'!$B12, 'PPRs inner'!$A$2:$A$108, 0), MATCH('השוואת פקטורים'!P$6, טבלה2[[#Headers],[SPPR_1986]:[SPPR_symbolic_full_import_as_DC]], 0)) / INDEX(טבלה2[[SPPR_1986]:[SPPR_symbolic_full_import_as_DC]], MATCH('השוואת פקטורים'!$B12, 'PPRs inner'!$A$2:$A$108, 0), MATCH('השוואת פקטורים'!O$6, טבלה2[[#Headers],[SPPR_1986]:[SPPR_symbolic_full_import_as_DC]], 0))
)</f>
        <v>0.36195577432524823</v>
      </c>
      <c r="Q12" s="9">
        <f>IF($B$4="סהכ",
INDEX(טבלה1[[SPPR_1986]:[SPPR_symbolic_full_import_as_DC]], MATCH('השוואת פקטורים'!$B12, 'PPRs all'!$A$2:$A$108, 0), MATCH('השוואת פקטורים'!Q$6, טבלה1[[#Headers],[SPPR_1986]:[SPPR_symbolic_full_import_as_DC]], 0)) / INDEX(טבלה1[[SPPR_1986]:[SPPR_symbolic_full_import_as_DC]], MATCH('השוואת פקטורים'!$B12, 'PPRs all'!$A$2:$A$108, 0), MATCH('השוואת פקטורים'!P$6, טבלה1[[#Headers],[SPPR_1986]:[SPPR_symbolic_full_import_as_DC]], 0)),
INDEX(טבלה2[[SPPR_1986]:[SPPR_symbolic_full_import_as_DC]], MATCH('השוואת פקטורים'!$B12, 'PPRs inner'!$A$2:$A$108, 0), MATCH('השוואת פקטורים'!Q$6, טבלה2[[#Headers],[SPPR_1986]:[SPPR_symbolic_full_import_as_DC]], 0)) / INDEX(טבלה2[[SPPR_1986]:[SPPR_symbolic_full_import_as_DC]], MATCH('השוואת פקטורים'!$B12, 'PPRs inner'!$A$2:$A$108, 0), MATCH('השוואת פקטורים'!P$6, טבלה2[[#Headers],[SPPR_1986]:[SPPR_symbolic_full_import_as_DC]], 0))
)</f>
        <v>1.0000000000000033</v>
      </c>
      <c r="R12" s="9">
        <f>IF($B$4="סהכ",
INDEX(טבלה1[[SPPR_1986]:[SPPR_symbolic_full_import_as_DC]], MATCH('השוואת פקטורים'!$B12, 'PPRs all'!$A$2:$A$108, 0), MATCH('השוואת פקטורים'!R$6, טבלה1[[#Headers],[SPPR_1986]:[SPPR_symbolic_full_import_as_DC]], 0)) / INDEX(טבלה1[[SPPR_1986]:[SPPR_symbolic_full_import_as_DC]], MATCH('השוואת פקטורים'!$B12, 'PPRs all'!$A$2:$A$108, 0), MATCH('השוואת פקטורים'!Q$6, טבלה1[[#Headers],[SPPR_1986]:[SPPR_symbolic_full_import_as_DC]], 0)),
INDEX(טבלה2[[SPPR_1986]:[SPPR_symbolic_full_import_as_DC]], MATCH('השוואת פקטורים'!$B12, 'PPRs inner'!$A$2:$A$108, 0), MATCH('השוואת פקטורים'!R$6, טבלה2[[#Headers],[SPPR_1986]:[SPPR_symbolic_full_import_as_DC]], 0)) / INDEX(טבלה2[[SPPR_1986]:[SPPR_symbolic_full_import_as_DC]], MATCH('השוואת פקטורים'!$B12, 'PPRs inner'!$A$2:$A$108, 0), MATCH('השוואת פקטורים'!Q$6, טבלה2[[#Headers],[SPPR_1986]:[SPPR_symbolic_full_import_as_DC]], 0))
)</f>
        <v>1.0467443630087376</v>
      </c>
      <c r="S12" s="9">
        <f>IF($B$4="סהכ",
INDEX(טבלה1[[SPPR_1986]:[SPPR_symbolic_full_import_as_DC]], MATCH('השוואת פקטורים'!$B12, 'PPRs all'!$A$2:$A$108, 0), MATCH('השוואת פקטורים'!S$6, טבלה1[[#Headers],[SPPR_1986]:[SPPR_symbolic_full_import_as_DC]], 0)) / INDEX(טבלה1[[SPPR_1986]:[SPPR_symbolic_full_import_as_DC]], MATCH('השוואת פקטורים'!$B12, 'PPRs all'!$A$2:$A$108, 0), MATCH('השוואת פקטורים'!R$6, טבלה1[[#Headers],[SPPR_1986]:[SPPR_symbolic_full_import_as_DC]], 0)),
INDEX(טבלה2[[SPPR_1986]:[SPPR_symbolic_full_import_as_DC]], MATCH('השוואת פקטורים'!$B12, 'PPRs inner'!$A$2:$A$108, 0), MATCH('השוואת פקטורים'!S$6, טבלה2[[#Headers],[SPPR_1986]:[SPPR_symbolic_full_import_as_DC]], 0)) / INDEX(טבלה2[[SPPR_1986]:[SPPR_symbolic_full_import_as_DC]], MATCH('השוואת פקטורים'!$B12, 'PPRs inner'!$A$2:$A$108, 0), MATCH('השוואת פקטורים'!R$6, טבלה2[[#Headers],[SPPR_1986]:[SPPR_symbolic_full_import_as_DC]], 0))
)</f>
        <v>0.95534309554400021</v>
      </c>
      <c r="T12" s="9">
        <f>IF($B$4="סהכ",
INDEX(טבלה1[[SPPR_1986]:[SPPR_symbolic_full_import_as_DC]], MATCH('השוואת פקטורים'!$B12, 'PPRs all'!$A$2:$A$108, 0), MATCH('השוואת פקטורים'!T$6, טבלה1[[#Headers],[SPPR_1986]:[SPPR_symbolic_full_import_as_DC]], 0)) / INDEX(טבלה1[[SPPR_1986]:[SPPR_symbolic_full_import_as_DC]], MATCH('השוואת פקטורים'!$B12, 'PPRs all'!$A$2:$A$108, 0), MATCH('השוואת פקטורים'!S$6, טבלה1[[#Headers],[SPPR_1986]:[SPPR_symbolic_full_import_as_DC]], 0)),
INDEX(טבלה2[[SPPR_1986]:[SPPR_symbolic_full_import_as_DC]], MATCH('השוואת פקטורים'!$B12, 'PPRs inner'!$A$2:$A$108, 0), MATCH('השוואת פקטורים'!T$6, טבלה2[[#Headers],[SPPR_1986]:[SPPR_symbolic_full_import_as_DC]], 0)) / INDEX(טבלה2[[SPPR_1986]:[SPPR_symbolic_full_import_as_DC]], MATCH('השוואת פקטורים'!$B12, 'PPRs inner'!$A$2:$A$108, 0), MATCH('השוואת פקטורים'!S$6, טבלה2[[#Headers],[SPPR_1986]:[SPPR_symbolic_full_import_as_DC]], 0))
)</f>
        <v>1.0467443630087376</v>
      </c>
      <c r="U12" s="9">
        <f>IF($B$4="סהכ",
INDEX(טבלה1[[SPPR_1986]:[SPPR_symbolic_full_import_as_DC]], MATCH('השוואת פקטורים'!$B12, 'PPRs all'!$A$2:$A$108, 0), MATCH('השוואת פקטורים'!U$6, טבלה1[[#Headers],[SPPR_1986]:[SPPR_symbolic_full_import_as_DC]], 0)) / INDEX(טבלה1[[SPPR_1986]:[SPPR_symbolic_full_import_as_DC]], MATCH('השוואת פקטורים'!$B12, 'PPRs all'!$A$2:$A$108, 0), MATCH('השוואת פקטורים'!T$6, טבלה1[[#Headers],[SPPR_1986]:[SPPR_symbolic_full_import_as_DC]], 0)),
INDEX(טבלה2[[SPPR_1986]:[SPPR_symbolic_full_import_as_DC]], MATCH('השוואת פקטורים'!$B12, 'PPRs inner'!$A$2:$A$108, 0), MATCH('השוואת פקטורים'!U$6, טבלה2[[#Headers],[SPPR_1986]:[SPPR_symbolic_full_import_as_DC]], 0)) / INDEX(טבלה2[[SPPR_1986]:[SPPR_symbolic_full_import_as_DC]], MATCH('השוואת פקטורים'!$B12, 'PPRs inner'!$A$2:$A$108, 0), MATCH('השוואת פקטורים'!T$6, טבלה2[[#Headers],[SPPR_1986]:[SPPR_symbolic_full_import_as_DC]], 0))
)</f>
        <v>0.9553430955439971</v>
      </c>
      <c r="V12" s="9"/>
      <c r="W12" s="9"/>
      <c r="X12" s="14"/>
      <c r="Y12" s="14"/>
      <c r="Z12" s="15">
        <f t="shared" si="2"/>
        <v>2.3792779472675596</v>
      </c>
    </row>
    <row r="13" spans="1:27" x14ac:dyDescent="0.3">
      <c r="B13" s="6" t="s">
        <v>27</v>
      </c>
      <c r="C13" s="12" t="b">
        <v>1</v>
      </c>
      <c r="D13" s="12" t="b">
        <v>1</v>
      </c>
      <c r="E13" s="12" t="b">
        <v>1</v>
      </c>
      <c r="F13" s="12" t="b">
        <f t="shared" si="1"/>
        <v>1</v>
      </c>
      <c r="G13" s="7" t="b">
        <f>ABS(INDEX(טבלה5[[SPPR_1986]:[SPPR_symbolic_full_import_as_DC]],MATCH('השוואת פקטורים'!$B13,טבלה5[עמודה1],0),MATCH($C$4,טבלה5[[#Headers],[SPPR_1986]:[SPPR_symbolic_full_import_as_DC]],0))) &lt; 5</f>
        <v>1</v>
      </c>
      <c r="H13" s="7" t="b">
        <f>INDEX(טבלה3[[SPPR_1986]:[SPPR_symbolic_full_import_as_DC]],MATCH('השוואת פקטורים'!$B13,טבלה3[עמודה1],0),MATCH($C$4,טבלה3[[#Headers],[SPPR_1986]:[SPPR_symbolic_full_import_as_DC]],0))</f>
        <v>1</v>
      </c>
      <c r="I13" s="7" t="b">
        <f t="shared" si="0"/>
        <v>1</v>
      </c>
      <c r="J13" s="13"/>
      <c r="K13" s="9">
        <f>IF($B$4="סהכ",
INDEX(טבלה1[[SPPR_1986]:[SPPR_symbolic_full_import_as_DC]], MATCH('השוואת פקטורים'!$B13, 'PPRs all'!$A$2:$A$108, 0), MATCH('השוואת פקטורים'!K$6, טבלה1[[#Headers],[SPPR_1986]:[SPPR_symbolic_full_import_as_DC]], 0)) / INDEX(טבלה1[[SPPR_1986]:[SPPR_symbolic_full_import_as_DC]], MATCH('השוואת פקטורים'!$B13, 'PPRs all'!$A$2:$A$108, 0), MATCH('השוואת פקטורים'!J$6, טבלה1[[#Headers],[SPPR_1986]:[SPPR_symbolic_full_import_as_DC]], 0)),
INDEX(טבלה2[[SPPR_1986]:[SPPR_symbolic_full_import_as_DC]], MATCH('השוואת פקטורים'!$B13, 'PPRs inner'!$A$2:$A$108, 0), MATCH('השוואת פקטורים'!K$6, טבלה2[[#Headers],[SPPR_1986]:[SPPR_symbolic_full_import_as_DC]], 0)) / INDEX(טבלה2[[SPPR_1986]:[SPPR_symbolic_full_import_as_DC]], MATCH('השוואת פקטורים'!$B13, 'PPRs inner'!$A$2:$A$108, 0), MATCH('השוואת פקטורים'!J$6, טבלה2[[#Headers],[SPPR_1986]:[SPPR_symbolic_full_import_as_DC]], 0))
)</f>
        <v>2.0428645163483727</v>
      </c>
      <c r="L13" s="9">
        <f>IF($B$4="סהכ",
INDEX(טבלה1[[SPPR_1986]:[SPPR_symbolic_full_import_as_DC]], MATCH('השוואת פקטורים'!$B13, 'PPRs all'!$A$2:$A$108, 0), MATCH('השוואת פקטורים'!L$6, טבלה1[[#Headers],[SPPR_1986]:[SPPR_symbolic_full_import_as_DC]], 0)) / INDEX(טבלה1[[SPPR_1986]:[SPPR_symbolic_full_import_as_DC]], MATCH('השוואת פקטורים'!$B13, 'PPRs all'!$A$2:$A$108, 0), MATCH('השוואת פקטורים'!K$6, טבלה1[[#Headers],[SPPR_1986]:[SPPR_symbolic_full_import_as_DC]], 0)),
INDEX(טבלה2[[SPPR_1986]:[SPPR_symbolic_full_import_as_DC]], MATCH('השוואת פקטורים'!$B13, 'PPRs inner'!$A$2:$A$108, 0), MATCH('השוואת פקטורים'!L$6, טבלה2[[#Headers],[SPPR_1986]:[SPPR_symbolic_full_import_as_DC]], 0)) / INDEX(טבלה2[[SPPR_1986]:[SPPR_symbolic_full_import_as_DC]], MATCH('השוואת פקטורים'!$B13, 'PPRs inner'!$A$2:$A$108, 0), MATCH('השוואת פקטורים'!K$6, טבלה2[[#Headers],[SPPR_1986]:[SPPR_symbolic_full_import_as_DC]], 0))
)</f>
        <v>8.642080174902528</v>
      </c>
      <c r="M13" s="9">
        <f>IF($B$4="סהכ",
INDEX(טבלה1[[SPPR_1986]:[SPPR_symbolic_full_import_as_DC]], MATCH('השוואת פקטורים'!$B13, 'PPRs all'!$A$2:$A$108, 0), MATCH('השוואת פקטורים'!M$6, טבלה1[[#Headers],[SPPR_1986]:[SPPR_symbolic_full_import_as_DC]], 0)) / INDEX(טבלה1[[SPPR_1986]:[SPPR_symbolic_full_import_as_DC]], MATCH('השוואת פקטורים'!$B13, 'PPRs all'!$A$2:$A$108, 0), MATCH('השוואת פקטורים'!L$6, טבלה1[[#Headers],[SPPR_1986]:[SPPR_symbolic_full_import_as_DC]], 0)),
INDEX(טבלה2[[SPPR_1986]:[SPPR_symbolic_full_import_as_DC]], MATCH('השוואת פקטורים'!$B13, 'PPRs inner'!$A$2:$A$108, 0), MATCH('השוואת פקטורים'!M$6, טבלה2[[#Headers],[SPPR_1986]:[SPPR_symbolic_full_import_as_DC]], 0)) / INDEX(טבלה2[[SPPR_1986]:[SPPR_symbolic_full_import_as_DC]], MATCH('השוואת פקטורים'!$B13, 'PPRs inner'!$A$2:$A$108, 0), MATCH('השוואת פקטורים'!L$6, טבלה2[[#Headers],[SPPR_1986]:[SPPR_symbolic_full_import_as_DC]], 0))
)</f>
        <v>9.2907643607769208E-2</v>
      </c>
      <c r="N13" s="9">
        <f>IF($B$4="סהכ",
INDEX(טבלה1[[SPPR_1986]:[SPPR_symbolic_full_import_as_DC]], MATCH('השוואת פקטורים'!$B13, 'PPRs all'!$A$2:$A$108, 0), MATCH('השוואת פקטורים'!N$6, טבלה1[[#Headers],[SPPR_1986]:[SPPR_symbolic_full_import_as_DC]], 0)) / INDEX(טבלה1[[SPPR_1986]:[SPPR_symbolic_full_import_as_DC]], MATCH('השוואת פקטורים'!$B13, 'PPRs all'!$A$2:$A$108, 0), MATCH('השוואת פקטורים'!M$6, טבלה1[[#Headers],[SPPR_1986]:[SPPR_symbolic_full_import_as_DC]], 0)),
INDEX(טבלה2[[SPPR_1986]:[SPPR_symbolic_full_import_as_DC]], MATCH('השוואת פקטורים'!$B13, 'PPRs inner'!$A$2:$A$108, 0), MATCH('השוואת פקטורים'!N$6, טבלה2[[#Headers],[SPPR_1986]:[SPPR_symbolic_full_import_as_DC]], 0)) / INDEX(טבלה2[[SPPR_1986]:[SPPR_symbolic_full_import_as_DC]], MATCH('השוואת פקטורים'!$B13, 'PPRs inner'!$A$2:$A$108, 0), MATCH('השוואת פקטורים'!M$6, טבלה2[[#Headers],[SPPR_1986]:[SPPR_symbolic_full_import_as_DC]], 0))
)</f>
        <v>2.3693583053894676</v>
      </c>
      <c r="O13" s="9">
        <f>IF($B$4="סהכ",
INDEX(טבלה1[[SPPR_1986]:[SPPR_symbolic_full_import_as_DC]], MATCH('השוואת פקטורים'!$B13, 'PPRs all'!$A$2:$A$108, 0), MATCH('השוואת פקטורים'!O$6, טבלה1[[#Headers],[SPPR_1986]:[SPPR_symbolic_full_import_as_DC]], 0)) / INDEX(טבלה1[[SPPR_1986]:[SPPR_symbolic_full_import_as_DC]], MATCH('השוואת פקטורים'!$B13, 'PPRs all'!$A$2:$A$108, 0), MATCH('השוואת פקטורים'!N$6, טבלה1[[#Headers],[SPPR_1986]:[SPPR_symbolic_full_import_as_DC]], 0)),
INDEX(טבלה2[[SPPR_1986]:[SPPR_symbolic_full_import_as_DC]], MATCH('השוואת פקטורים'!$B13, 'PPRs inner'!$A$2:$A$108, 0), MATCH('השוואת פקטורים'!O$6, טבלה2[[#Headers],[SPPR_1986]:[SPPR_symbolic_full_import_as_DC]], 0)) / INDEX(טבלה2[[SPPR_1986]:[SPPR_symbolic_full_import_as_DC]], MATCH('השוואת פקטורים'!$B13, 'PPRs inner'!$A$2:$A$108, 0), MATCH('השוואת פקטורים'!N$6, טבלה2[[#Headers],[SPPR_1986]:[SPPR_symbolic_full_import_as_DC]], 0))
)</f>
        <v>1.0000000000000002</v>
      </c>
      <c r="P13" s="9">
        <f>IF($B$4="סהכ",
INDEX(טבלה1[[SPPR_1986]:[SPPR_symbolic_full_import_as_DC]], MATCH('השוואת פקטורים'!$B13, 'PPRs all'!$A$2:$A$108, 0), MATCH('השוואת פקטורים'!P$6, טבלה1[[#Headers],[SPPR_1986]:[SPPR_symbolic_full_import_as_DC]], 0)) / INDEX(טבלה1[[SPPR_1986]:[SPPR_symbolic_full_import_as_DC]], MATCH('השוואת פקטורים'!$B13, 'PPRs all'!$A$2:$A$108, 0), MATCH('השוואת פקטורים'!O$6, טבלה1[[#Headers],[SPPR_1986]:[SPPR_symbolic_full_import_as_DC]], 0)),
INDEX(טבלה2[[SPPR_1986]:[SPPR_symbolic_full_import_as_DC]], MATCH('השוואת פקטורים'!$B13, 'PPRs inner'!$A$2:$A$108, 0), MATCH('השוואת פקטורים'!P$6, טבלה2[[#Headers],[SPPR_1986]:[SPPR_symbolic_full_import_as_DC]], 0)) / INDEX(טבלה2[[SPPR_1986]:[SPPR_symbolic_full_import_as_DC]], MATCH('השוואת פקטורים'!$B13, 'PPRs inner'!$A$2:$A$108, 0), MATCH('השוואת פקטורים'!O$6, טבלה2[[#Headers],[SPPR_1986]:[SPPR_symbolic_full_import_as_DC]], 0))
)</f>
        <v>0.55981453729991171</v>
      </c>
      <c r="Q13" s="9">
        <f>IF($B$4="סהכ",
INDEX(טבלה1[[SPPR_1986]:[SPPR_symbolic_full_import_as_DC]], MATCH('השוואת פקטורים'!$B13, 'PPRs all'!$A$2:$A$108, 0), MATCH('השוואת פקטורים'!Q$6, טבלה1[[#Headers],[SPPR_1986]:[SPPR_symbolic_full_import_as_DC]], 0)) / INDEX(טבלה1[[SPPR_1986]:[SPPR_symbolic_full_import_as_DC]], MATCH('השוואת פקטורים'!$B13, 'PPRs all'!$A$2:$A$108, 0), MATCH('השוואת פקטורים'!P$6, טבלה1[[#Headers],[SPPR_1986]:[SPPR_symbolic_full_import_as_DC]], 0)),
INDEX(טבלה2[[SPPR_1986]:[SPPR_symbolic_full_import_as_DC]], MATCH('השוואת פקטורים'!$B13, 'PPRs inner'!$A$2:$A$108, 0), MATCH('השוואת פקטורים'!Q$6, טבלה2[[#Headers],[SPPR_1986]:[SPPR_symbolic_full_import_as_DC]], 0)) / INDEX(טבלה2[[SPPR_1986]:[SPPR_symbolic_full_import_as_DC]], MATCH('השוואת פקטורים'!$B13, 'PPRs inner'!$A$2:$A$108, 0), MATCH('השוואת פקטורים'!P$6, טבלה2[[#Headers],[SPPR_1986]:[SPPR_symbolic_full_import_as_DC]], 0))
)</f>
        <v>0.99999999999999922</v>
      </c>
      <c r="R13" s="9">
        <f>IF($B$4="סהכ",
INDEX(טבלה1[[SPPR_1986]:[SPPR_symbolic_full_import_as_DC]], MATCH('השוואת פקטורים'!$B13, 'PPRs all'!$A$2:$A$108, 0), MATCH('השוואת פקטורים'!R$6, טבלה1[[#Headers],[SPPR_1986]:[SPPR_symbolic_full_import_as_DC]], 0)) / INDEX(טבלה1[[SPPR_1986]:[SPPR_symbolic_full_import_as_DC]], MATCH('השוואת פקטורים'!$B13, 'PPRs all'!$A$2:$A$108, 0), MATCH('השוואת פקטורים'!Q$6, טבלה1[[#Headers],[SPPR_1986]:[SPPR_symbolic_full_import_as_DC]], 0)),
INDEX(טבלה2[[SPPR_1986]:[SPPR_symbolic_full_import_as_DC]], MATCH('השוואת פקטורים'!$B13, 'PPRs inner'!$A$2:$A$108, 0), MATCH('השוואת פקטורים'!R$6, טבלה2[[#Headers],[SPPR_1986]:[SPPR_symbolic_full_import_as_DC]], 0)) / INDEX(טבלה2[[SPPR_1986]:[SPPR_symbolic_full_import_as_DC]], MATCH('השוואת פקטורים'!$B13, 'PPRs inner'!$A$2:$A$108, 0), MATCH('השוואת פקטורים'!Q$6, טבלה2[[#Headers],[SPPR_1986]:[SPPR_symbolic_full_import_as_DC]], 0))
)</f>
        <v>1</v>
      </c>
      <c r="S13" s="9">
        <f>IF($B$4="סהכ",
INDEX(טבלה1[[SPPR_1986]:[SPPR_symbolic_full_import_as_DC]], MATCH('השוואת פקטורים'!$B13, 'PPRs all'!$A$2:$A$108, 0), MATCH('השוואת פקטורים'!S$6, טבלה1[[#Headers],[SPPR_1986]:[SPPR_symbolic_full_import_as_DC]], 0)) / INDEX(טבלה1[[SPPR_1986]:[SPPR_symbolic_full_import_as_DC]], MATCH('השוואת פקטורים'!$B13, 'PPRs all'!$A$2:$A$108, 0), MATCH('השוואת פקטורים'!R$6, טבלה1[[#Headers],[SPPR_1986]:[SPPR_symbolic_full_import_as_DC]], 0)),
INDEX(טבלה2[[SPPR_1986]:[SPPR_symbolic_full_import_as_DC]], MATCH('השוואת פקטורים'!$B13, 'PPRs inner'!$A$2:$A$108, 0), MATCH('השוואת פקטורים'!S$6, טבלה2[[#Headers],[SPPR_1986]:[SPPR_symbolic_full_import_as_DC]], 0)) / INDEX(טבלה2[[SPPR_1986]:[SPPR_symbolic_full_import_as_DC]], MATCH('השוואת פקטורים'!$B13, 'PPRs inner'!$A$2:$A$108, 0), MATCH('השוואת פקטורים'!R$6, טבלה2[[#Headers],[SPPR_1986]:[SPPR_symbolic_full_import_as_DC]], 0))
)</f>
        <v>1</v>
      </c>
      <c r="T13" s="9">
        <f>IF($B$4="סהכ",
INDEX(טבלה1[[SPPR_1986]:[SPPR_symbolic_full_import_as_DC]], MATCH('השוואת פקטורים'!$B13, 'PPRs all'!$A$2:$A$108, 0), MATCH('השוואת פקטורים'!T$6, טבלה1[[#Headers],[SPPR_1986]:[SPPR_symbolic_full_import_as_DC]], 0)) / INDEX(טבלה1[[SPPR_1986]:[SPPR_symbolic_full_import_as_DC]], MATCH('השוואת פקטורים'!$B13, 'PPRs all'!$A$2:$A$108, 0), MATCH('השוואת פקטורים'!S$6, טבלה1[[#Headers],[SPPR_1986]:[SPPR_symbolic_full_import_as_DC]], 0)),
INDEX(טבלה2[[SPPR_1986]:[SPPR_symbolic_full_import_as_DC]], MATCH('השוואת פקטורים'!$B13, 'PPRs inner'!$A$2:$A$108, 0), MATCH('השוואת פקטורים'!T$6, טבלה2[[#Headers],[SPPR_1986]:[SPPR_symbolic_full_import_as_DC]], 0)) / INDEX(טבלה2[[SPPR_1986]:[SPPR_symbolic_full_import_as_DC]], MATCH('השוואת פקטורים'!$B13, 'PPRs inner'!$A$2:$A$108, 0), MATCH('השוואת פקטורים'!S$6, טבלה2[[#Headers],[SPPR_1986]:[SPPR_symbolic_full_import_as_DC]], 0))
)</f>
        <v>1</v>
      </c>
      <c r="U13" s="9">
        <f>IF($B$4="סהכ",
INDEX(טבלה1[[SPPR_1986]:[SPPR_symbolic_full_import_as_DC]], MATCH('השוואת פקטורים'!$B13, 'PPRs all'!$A$2:$A$108, 0), MATCH('השוואת פקטורים'!U$6, טבלה1[[#Headers],[SPPR_1986]:[SPPR_symbolic_full_import_as_DC]], 0)) / INDEX(טבלה1[[SPPR_1986]:[SPPR_symbolic_full_import_as_DC]], MATCH('השוואת פקטורים'!$B13, 'PPRs all'!$A$2:$A$108, 0), MATCH('השוואת פקטורים'!T$6, טבלה1[[#Headers],[SPPR_1986]:[SPPR_symbolic_full_import_as_DC]], 0)),
INDEX(טבלה2[[SPPR_1986]:[SPPR_symbolic_full_import_as_DC]], MATCH('השוואת פקטורים'!$B13, 'PPRs inner'!$A$2:$A$108, 0), MATCH('השוואת פקטורים'!U$6, טבלה2[[#Headers],[SPPR_1986]:[SPPR_symbolic_full_import_as_DC]], 0)) / INDEX(טבלה2[[SPPR_1986]:[SPPR_symbolic_full_import_as_DC]], MATCH('השוואת פקטורים'!$B13, 'PPRs inner'!$A$2:$A$108, 0), MATCH('השוואת פקטורים'!T$6, טבלה2[[#Headers],[SPPR_1986]:[SPPR_symbolic_full_import_as_DC]], 0))
)</f>
        <v>1.0000000000000007</v>
      </c>
      <c r="V13" s="9"/>
      <c r="W13" s="9"/>
      <c r="X13" s="14"/>
      <c r="Y13" s="14"/>
      <c r="Z13" s="15">
        <f t="shared" si="2"/>
        <v>2.1756258743075882</v>
      </c>
    </row>
    <row r="14" spans="1:27" x14ac:dyDescent="0.3">
      <c r="B14" s="6" t="s">
        <v>28</v>
      </c>
      <c r="C14" s="12" t="b">
        <v>1</v>
      </c>
      <c r="D14" s="12" t="b">
        <v>1</v>
      </c>
      <c r="E14" s="12" t="b">
        <v>1</v>
      </c>
      <c r="F14" s="12" t="b">
        <f t="shared" si="1"/>
        <v>1</v>
      </c>
      <c r="G14" s="7" t="b">
        <f>ABS(INDEX(טבלה5[[SPPR_1986]:[SPPR_symbolic_full_import_as_DC]],MATCH('השוואת פקטורים'!$B14,טבלה5[עמודה1],0),MATCH($C$4,טבלה5[[#Headers],[SPPR_1986]:[SPPR_symbolic_full_import_as_DC]],0))) &lt; 5</f>
        <v>1</v>
      </c>
      <c r="H14" s="7" t="b">
        <f>INDEX(טבלה3[[SPPR_1986]:[SPPR_symbolic_full_import_as_DC]],MATCH('השוואת פקטורים'!$B14,טבלה3[עמודה1],0),MATCH($C$4,טבלה3[[#Headers],[SPPR_1986]:[SPPR_symbolic_full_import_as_DC]],0))</f>
        <v>1</v>
      </c>
      <c r="I14" s="7" t="b">
        <f t="shared" si="0"/>
        <v>1</v>
      </c>
      <c r="J14" s="13"/>
      <c r="K14" s="9">
        <f>IF($B$4="סהכ",
INDEX(טבלה1[[SPPR_1986]:[SPPR_symbolic_full_import_as_DC]], MATCH('השוואת פקטורים'!$B14, 'PPRs all'!$A$2:$A$108, 0), MATCH('השוואת פקטורים'!K$6, טבלה1[[#Headers],[SPPR_1986]:[SPPR_symbolic_full_import_as_DC]], 0)) / INDEX(טבלה1[[SPPR_1986]:[SPPR_symbolic_full_import_as_DC]], MATCH('השוואת פקטורים'!$B14, 'PPRs all'!$A$2:$A$108, 0), MATCH('השוואת פקטורים'!J$6, טבלה1[[#Headers],[SPPR_1986]:[SPPR_symbolic_full_import_as_DC]], 0)),
INDEX(טבלה2[[SPPR_1986]:[SPPR_symbolic_full_import_as_DC]], MATCH('השוואת פקטורים'!$B14, 'PPRs inner'!$A$2:$A$108, 0), MATCH('השוואת פקטורים'!K$6, טבלה2[[#Headers],[SPPR_1986]:[SPPR_symbolic_full_import_as_DC]], 0)) / INDEX(טבלה2[[SPPR_1986]:[SPPR_symbolic_full_import_as_DC]], MATCH('השוואת פקטורים'!$B14, 'PPRs inner'!$A$2:$A$108, 0), MATCH('השוואת פקטורים'!J$6, טבלה2[[#Headers],[SPPR_1986]:[SPPR_symbolic_full_import_as_DC]], 0))
)</f>
        <v>9.9346934199621664E-2</v>
      </c>
      <c r="L14" s="9">
        <f>IF($B$4="סהכ",
INDEX(טבלה1[[SPPR_1986]:[SPPR_symbolic_full_import_as_DC]], MATCH('השוואת פקטורים'!$B14, 'PPRs all'!$A$2:$A$108, 0), MATCH('השוואת פקטורים'!L$6, טבלה1[[#Headers],[SPPR_1986]:[SPPR_symbolic_full_import_as_DC]], 0)) / INDEX(טבלה1[[SPPR_1986]:[SPPR_symbolic_full_import_as_DC]], MATCH('השוואת פקטורים'!$B14, 'PPRs all'!$A$2:$A$108, 0), MATCH('השוואת פקטורים'!K$6, טבלה1[[#Headers],[SPPR_1986]:[SPPR_symbolic_full_import_as_DC]], 0)),
INDEX(טבלה2[[SPPR_1986]:[SPPR_symbolic_full_import_as_DC]], MATCH('השוואת פקטורים'!$B14, 'PPRs inner'!$A$2:$A$108, 0), MATCH('השוואת פקטורים'!L$6, טבלה2[[#Headers],[SPPR_1986]:[SPPR_symbolic_full_import_as_DC]], 0)) / INDEX(טבלה2[[SPPR_1986]:[SPPR_symbolic_full_import_as_DC]], MATCH('השוואת פקטורים'!$B14, 'PPRs inner'!$A$2:$A$108, 0), MATCH('השוואת פקטורים'!K$6, טבלה2[[#Headers],[SPPR_1986]:[SPPR_symbolic_full_import_as_DC]], 0))
)</f>
        <v>1.1559904526233198</v>
      </c>
      <c r="M14" s="9">
        <f>IF($B$4="סהכ",
INDEX(טבלה1[[SPPR_1986]:[SPPR_symbolic_full_import_as_DC]], MATCH('השוואת פקטורים'!$B14, 'PPRs all'!$A$2:$A$108, 0), MATCH('השוואת פקטורים'!M$6, טבלה1[[#Headers],[SPPR_1986]:[SPPR_symbolic_full_import_as_DC]], 0)) / INDEX(טבלה1[[SPPR_1986]:[SPPR_symbolic_full_import_as_DC]], MATCH('השוואת פקטורים'!$B14, 'PPRs all'!$A$2:$A$108, 0), MATCH('השוואת פקטורים'!L$6, טבלה1[[#Headers],[SPPR_1986]:[SPPR_symbolic_full_import_as_DC]], 0)),
INDEX(טבלה2[[SPPR_1986]:[SPPR_symbolic_full_import_as_DC]], MATCH('השוואת פקטורים'!$B14, 'PPRs inner'!$A$2:$A$108, 0), MATCH('השוואת פקטורים'!M$6, טבלה2[[#Headers],[SPPR_1986]:[SPPR_symbolic_full_import_as_DC]], 0)) / INDEX(טבלה2[[SPPR_1986]:[SPPR_symbolic_full_import_as_DC]], MATCH('השוואת פקטורים'!$B14, 'PPRs inner'!$A$2:$A$108, 0), MATCH('השוואת פקטורים'!L$6, טבלה2[[#Headers],[SPPR_1986]:[SPPR_symbolic_full_import_as_DC]], 0))
)</f>
        <v>5.6210760744834447</v>
      </c>
      <c r="N14" s="9">
        <f>IF($B$4="סהכ",
INDEX(טבלה1[[SPPR_1986]:[SPPR_symbolic_full_import_as_DC]], MATCH('השוואת פקטורים'!$B14, 'PPRs all'!$A$2:$A$108, 0), MATCH('השוואת פקטורים'!N$6, טבלה1[[#Headers],[SPPR_1986]:[SPPR_symbolic_full_import_as_DC]], 0)) / INDEX(טבלה1[[SPPR_1986]:[SPPR_symbolic_full_import_as_DC]], MATCH('השוואת פקטורים'!$B14, 'PPRs all'!$A$2:$A$108, 0), MATCH('השוואת פקטורים'!M$6, טבלה1[[#Headers],[SPPR_1986]:[SPPR_symbolic_full_import_as_DC]], 0)),
INDEX(טבלה2[[SPPR_1986]:[SPPR_symbolic_full_import_as_DC]], MATCH('השוואת פקטורים'!$B14, 'PPRs inner'!$A$2:$A$108, 0), MATCH('השוואת פקטורים'!N$6, טבלה2[[#Headers],[SPPR_1986]:[SPPR_symbolic_full_import_as_DC]], 0)) / INDEX(טבלה2[[SPPR_1986]:[SPPR_symbolic_full_import_as_DC]], MATCH('השוואת פקטורים'!$B14, 'PPRs inner'!$A$2:$A$108, 0), MATCH('השוואת פקטורים'!M$6, טבלה2[[#Headers],[SPPR_1986]:[SPPR_symbolic_full_import_as_DC]], 0))
)</f>
        <v>1.168597929720919</v>
      </c>
      <c r="O14" s="9">
        <f>IF($B$4="סהכ",
INDEX(טבלה1[[SPPR_1986]:[SPPR_symbolic_full_import_as_DC]], MATCH('השוואת פקטורים'!$B14, 'PPRs all'!$A$2:$A$108, 0), MATCH('השוואת פקטורים'!O$6, טבלה1[[#Headers],[SPPR_1986]:[SPPR_symbolic_full_import_as_DC]], 0)) / INDEX(טבלה1[[SPPR_1986]:[SPPR_symbolic_full_import_as_DC]], MATCH('השוואת פקטורים'!$B14, 'PPRs all'!$A$2:$A$108, 0), MATCH('השוואת פקטורים'!N$6, טבלה1[[#Headers],[SPPR_1986]:[SPPR_symbolic_full_import_as_DC]], 0)),
INDEX(טבלה2[[SPPR_1986]:[SPPR_symbolic_full_import_as_DC]], MATCH('השוואת פקטורים'!$B14, 'PPRs inner'!$A$2:$A$108, 0), MATCH('השוואת פקטורים'!O$6, טבלה2[[#Headers],[SPPR_1986]:[SPPR_symbolic_full_import_as_DC]], 0)) / INDEX(טבלה2[[SPPR_1986]:[SPPR_symbolic_full_import_as_DC]], MATCH('השוואת פקטורים'!$B14, 'PPRs inner'!$A$2:$A$108, 0), MATCH('השוואת פקטורים'!N$6, טבלה2[[#Headers],[SPPR_1986]:[SPPR_symbolic_full_import_as_DC]], 0))
)</f>
        <v>1</v>
      </c>
      <c r="P14" s="9">
        <f>IF($B$4="סהכ",
INDEX(טבלה1[[SPPR_1986]:[SPPR_symbolic_full_import_as_DC]], MATCH('השוואת פקטורים'!$B14, 'PPRs all'!$A$2:$A$108, 0), MATCH('השוואת פקטורים'!P$6, טבלה1[[#Headers],[SPPR_1986]:[SPPR_symbolic_full_import_as_DC]], 0)) / INDEX(טבלה1[[SPPR_1986]:[SPPR_symbolic_full_import_as_DC]], MATCH('השוואת פקטורים'!$B14, 'PPRs all'!$A$2:$A$108, 0), MATCH('השוואת פקטורים'!O$6, טבלה1[[#Headers],[SPPR_1986]:[SPPR_symbolic_full_import_as_DC]], 0)),
INDEX(טבלה2[[SPPR_1986]:[SPPR_symbolic_full_import_as_DC]], MATCH('השוואת פקטורים'!$B14, 'PPRs inner'!$A$2:$A$108, 0), MATCH('השוואת פקטורים'!P$6, טבלה2[[#Headers],[SPPR_1986]:[SPPR_symbolic_full_import_as_DC]], 0)) / INDEX(טבלה2[[SPPR_1986]:[SPPR_symbolic_full_import_as_DC]], MATCH('השוואת פקטורים'!$B14, 'PPRs inner'!$A$2:$A$108, 0), MATCH('השוואת פקטורים'!O$6, טבלה2[[#Headers],[SPPR_1986]:[SPPR_symbolic_full_import_as_DC]], 0))
)</f>
        <v>0.53993311138879163</v>
      </c>
      <c r="Q14" s="9">
        <f>IF($B$4="סהכ",
INDEX(טבלה1[[SPPR_1986]:[SPPR_symbolic_full_import_as_DC]], MATCH('השוואת פקטורים'!$B14, 'PPRs all'!$A$2:$A$108, 0), MATCH('השוואת פקטורים'!Q$6, טבלה1[[#Headers],[SPPR_1986]:[SPPR_symbolic_full_import_as_DC]], 0)) / INDEX(טבלה1[[SPPR_1986]:[SPPR_symbolic_full_import_as_DC]], MATCH('השוואת פקטורים'!$B14, 'PPRs all'!$A$2:$A$108, 0), MATCH('השוואת פקטורים'!P$6, טבלה1[[#Headers],[SPPR_1986]:[SPPR_symbolic_full_import_as_DC]], 0)),
INDEX(טבלה2[[SPPR_1986]:[SPPR_symbolic_full_import_as_DC]], MATCH('השוואת פקטורים'!$B14, 'PPRs inner'!$A$2:$A$108, 0), MATCH('השוואת פקטורים'!Q$6, טבלה2[[#Headers],[SPPR_1986]:[SPPR_symbolic_full_import_as_DC]], 0)) / INDEX(טבלה2[[SPPR_1986]:[SPPR_symbolic_full_import_as_DC]], MATCH('השוואת פקטורים'!$B14, 'PPRs inner'!$A$2:$A$108, 0), MATCH('השוואת פקטורים'!P$6, טבלה2[[#Headers],[SPPR_1986]:[SPPR_symbolic_full_import_as_DC]], 0))
)</f>
        <v>1.0000000000000007</v>
      </c>
      <c r="R14" s="9">
        <f>IF($B$4="סהכ",
INDEX(טבלה1[[SPPR_1986]:[SPPR_symbolic_full_import_as_DC]], MATCH('השוואת פקטורים'!$B14, 'PPRs all'!$A$2:$A$108, 0), MATCH('השוואת פקטורים'!R$6, טבלה1[[#Headers],[SPPR_1986]:[SPPR_symbolic_full_import_as_DC]], 0)) / INDEX(טבלה1[[SPPR_1986]:[SPPR_symbolic_full_import_as_DC]], MATCH('השוואת פקטורים'!$B14, 'PPRs all'!$A$2:$A$108, 0), MATCH('השוואת פקטורים'!Q$6, טבלה1[[#Headers],[SPPR_1986]:[SPPR_symbolic_full_import_as_DC]], 0)),
INDEX(טבלה2[[SPPR_1986]:[SPPR_symbolic_full_import_as_DC]], MATCH('השוואת פקטורים'!$B14, 'PPRs inner'!$A$2:$A$108, 0), MATCH('השוואת פקטורים'!R$6, טבלה2[[#Headers],[SPPR_1986]:[SPPR_symbolic_full_import_as_DC]], 0)) / INDEX(טבלה2[[SPPR_1986]:[SPPR_symbolic_full_import_as_DC]], MATCH('השוואת פקטורים'!$B14, 'PPRs inner'!$A$2:$A$108, 0), MATCH('השוואת פקטורים'!Q$6, טבלה2[[#Headers],[SPPR_1986]:[SPPR_symbolic_full_import_as_DC]], 0))
)</f>
        <v>1</v>
      </c>
      <c r="S14" s="9">
        <f>IF($B$4="סהכ",
INDEX(טבלה1[[SPPR_1986]:[SPPR_symbolic_full_import_as_DC]], MATCH('השוואת פקטורים'!$B14, 'PPRs all'!$A$2:$A$108, 0), MATCH('השוואת פקטורים'!S$6, טבלה1[[#Headers],[SPPR_1986]:[SPPR_symbolic_full_import_as_DC]], 0)) / INDEX(טבלה1[[SPPR_1986]:[SPPR_symbolic_full_import_as_DC]], MATCH('השוואת פקטורים'!$B14, 'PPRs all'!$A$2:$A$108, 0), MATCH('השוואת פקטורים'!R$6, טבלה1[[#Headers],[SPPR_1986]:[SPPR_symbolic_full_import_as_DC]], 0)),
INDEX(טבלה2[[SPPR_1986]:[SPPR_symbolic_full_import_as_DC]], MATCH('השוואת פקטורים'!$B14, 'PPRs inner'!$A$2:$A$108, 0), MATCH('השוואת פקטורים'!S$6, טבלה2[[#Headers],[SPPR_1986]:[SPPR_symbolic_full_import_as_DC]], 0)) / INDEX(טבלה2[[SPPR_1986]:[SPPR_symbolic_full_import_as_DC]], MATCH('השוואת פקטורים'!$B14, 'PPRs inner'!$A$2:$A$108, 0), MATCH('השוואת פקטורים'!R$6, טבלה2[[#Headers],[SPPR_1986]:[SPPR_symbolic_full_import_as_DC]], 0))
)</f>
        <v>1</v>
      </c>
      <c r="T14" s="9">
        <f>IF($B$4="סהכ",
INDEX(טבלה1[[SPPR_1986]:[SPPR_symbolic_full_import_as_DC]], MATCH('השוואת פקטורים'!$B14, 'PPRs all'!$A$2:$A$108, 0), MATCH('השוואת פקטורים'!T$6, טבלה1[[#Headers],[SPPR_1986]:[SPPR_symbolic_full_import_as_DC]], 0)) / INDEX(טבלה1[[SPPR_1986]:[SPPR_symbolic_full_import_as_DC]], MATCH('השוואת פקטורים'!$B14, 'PPRs all'!$A$2:$A$108, 0), MATCH('השוואת פקטורים'!S$6, טבלה1[[#Headers],[SPPR_1986]:[SPPR_symbolic_full_import_as_DC]], 0)),
INDEX(טבלה2[[SPPR_1986]:[SPPR_symbolic_full_import_as_DC]], MATCH('השוואת פקטורים'!$B14, 'PPRs inner'!$A$2:$A$108, 0), MATCH('השוואת פקטורים'!T$6, טבלה2[[#Headers],[SPPR_1986]:[SPPR_symbolic_full_import_as_DC]], 0)) / INDEX(טבלה2[[SPPR_1986]:[SPPR_symbolic_full_import_as_DC]], MATCH('השוואת פקטורים'!$B14, 'PPRs inner'!$A$2:$A$108, 0), MATCH('השוואת פקטורים'!S$6, טבלה2[[#Headers],[SPPR_1986]:[SPPR_symbolic_full_import_as_DC]], 0))
)</f>
        <v>1</v>
      </c>
      <c r="U14" s="9">
        <f>IF($B$4="סהכ",
INDEX(טבלה1[[SPPR_1986]:[SPPR_symbolic_full_import_as_DC]], MATCH('השוואת פקטורים'!$B14, 'PPRs all'!$A$2:$A$108, 0), MATCH('השוואת פקטורים'!U$6, טבלה1[[#Headers],[SPPR_1986]:[SPPR_symbolic_full_import_as_DC]], 0)) / INDEX(טבלה1[[SPPR_1986]:[SPPR_symbolic_full_import_as_DC]], MATCH('השוואת פקטורים'!$B14, 'PPRs all'!$A$2:$A$108, 0), MATCH('השוואת פקטורים'!T$6, טבלה1[[#Headers],[SPPR_1986]:[SPPR_symbolic_full_import_as_DC]], 0)),
INDEX(טבלה2[[SPPR_1986]:[SPPR_symbolic_full_import_as_DC]], MATCH('השוואת פקטורים'!$B14, 'PPRs inner'!$A$2:$A$108, 0), MATCH('השוואת פקטורים'!U$6, טבלה2[[#Headers],[SPPR_1986]:[SPPR_symbolic_full_import_as_DC]], 0)) / INDEX(טבלה2[[SPPR_1986]:[SPPR_symbolic_full_import_as_DC]], MATCH('השוואת פקטורים'!$B14, 'PPRs inner'!$A$2:$A$108, 0), MATCH('השוואת פקטורים'!T$6, טבלה2[[#Headers],[SPPR_1986]:[SPPR_symbolic_full_import_as_DC]], 0))
)</f>
        <v>0.99999999999999933</v>
      </c>
      <c r="V14" s="9"/>
      <c r="W14" s="9"/>
      <c r="X14" s="14"/>
      <c r="Y14" s="14"/>
      <c r="Z14" s="15">
        <f t="shared" si="2"/>
        <v>0.40731767275587138</v>
      </c>
    </row>
    <row r="15" spans="1:27" x14ac:dyDescent="0.3">
      <c r="B15" s="6" t="s">
        <v>29</v>
      </c>
      <c r="C15" s="12" t="b">
        <v>1</v>
      </c>
      <c r="D15" s="12" t="b">
        <v>1</v>
      </c>
      <c r="E15" s="12" t="b">
        <v>1</v>
      </c>
      <c r="F15" s="12" t="b">
        <f t="shared" si="1"/>
        <v>1</v>
      </c>
      <c r="G15" s="7" t="b">
        <f>ABS(INDEX(טבלה5[[SPPR_1986]:[SPPR_symbolic_full_import_as_DC]],MATCH('השוואת פקטורים'!$B15,טבלה5[עמודה1],0),MATCH($C$4,טבלה5[[#Headers],[SPPR_1986]:[SPPR_symbolic_full_import_as_DC]],0))) &lt; 5</f>
        <v>1</v>
      </c>
      <c r="H15" s="7" t="b">
        <f>INDEX(טבלה3[[SPPR_1986]:[SPPR_symbolic_full_import_as_DC]],MATCH('השוואת פקטורים'!$B15,טבלה3[עמודה1],0),MATCH($C$4,טבלה3[[#Headers],[SPPR_1986]:[SPPR_symbolic_full_import_as_DC]],0))</f>
        <v>1</v>
      </c>
      <c r="I15" s="7" t="b">
        <f t="shared" si="0"/>
        <v>1</v>
      </c>
      <c r="J15" s="13"/>
      <c r="K15" s="9">
        <f>IF($B$4="סהכ",
INDEX(טבלה1[[SPPR_1986]:[SPPR_symbolic_full_import_as_DC]], MATCH('השוואת פקטורים'!$B15, 'PPRs all'!$A$2:$A$108, 0), MATCH('השוואת פקטורים'!K$6, טבלה1[[#Headers],[SPPR_1986]:[SPPR_symbolic_full_import_as_DC]], 0)) / INDEX(טבלה1[[SPPR_1986]:[SPPR_symbolic_full_import_as_DC]], MATCH('השוואת פקטורים'!$B15, 'PPRs all'!$A$2:$A$108, 0), MATCH('השוואת פקטורים'!J$6, טבלה1[[#Headers],[SPPR_1986]:[SPPR_symbolic_full_import_as_DC]], 0)),
INDEX(טבלה2[[SPPR_1986]:[SPPR_symbolic_full_import_as_DC]], MATCH('השוואת פקטורים'!$B15, 'PPRs inner'!$A$2:$A$108, 0), MATCH('השוואת פקטורים'!K$6, טבלה2[[#Headers],[SPPR_1986]:[SPPR_symbolic_full_import_as_DC]], 0)) / INDEX(טבלה2[[SPPR_1986]:[SPPR_symbolic_full_import_as_DC]], MATCH('השוואת פקטורים'!$B15, 'PPRs inner'!$A$2:$A$108, 0), MATCH('השוואת פקטורים'!J$6, טבלה2[[#Headers],[SPPR_1986]:[SPPR_symbolic_full_import_as_DC]], 0))
)</f>
        <v>1.3828193799703208</v>
      </c>
      <c r="L15" s="9">
        <f>IF($B$4="סהכ",
INDEX(טבלה1[[SPPR_1986]:[SPPR_symbolic_full_import_as_DC]], MATCH('השוואת פקטורים'!$B15, 'PPRs all'!$A$2:$A$108, 0), MATCH('השוואת פקטורים'!L$6, טבלה1[[#Headers],[SPPR_1986]:[SPPR_symbolic_full_import_as_DC]], 0)) / INDEX(טבלה1[[SPPR_1986]:[SPPR_symbolic_full_import_as_DC]], MATCH('השוואת פקטורים'!$B15, 'PPRs all'!$A$2:$A$108, 0), MATCH('השוואת פקטורים'!K$6, טבלה1[[#Headers],[SPPR_1986]:[SPPR_symbolic_full_import_as_DC]], 0)),
INDEX(טבלה2[[SPPR_1986]:[SPPR_symbolic_full_import_as_DC]], MATCH('השוואת פקטורים'!$B15, 'PPRs inner'!$A$2:$A$108, 0), MATCH('השוואת פקטורים'!L$6, טבלה2[[#Headers],[SPPR_1986]:[SPPR_symbolic_full_import_as_DC]], 0)) / INDEX(טבלה2[[SPPR_1986]:[SPPR_symbolic_full_import_as_DC]], MATCH('השוואת פקטורים'!$B15, 'PPRs inner'!$A$2:$A$108, 0), MATCH('השוואת פקטורים'!K$6, טבלה2[[#Headers],[SPPR_1986]:[SPPR_symbolic_full_import_as_DC]], 0))
)</f>
        <v>4.1763398258632733</v>
      </c>
      <c r="M15" s="9">
        <f>IF($B$4="סהכ",
INDEX(טבלה1[[SPPR_1986]:[SPPR_symbolic_full_import_as_DC]], MATCH('השוואת פקטורים'!$B15, 'PPRs all'!$A$2:$A$108, 0), MATCH('השוואת פקטורים'!M$6, טבלה1[[#Headers],[SPPR_1986]:[SPPR_symbolic_full_import_as_DC]], 0)) / INDEX(טבלה1[[SPPR_1986]:[SPPR_symbolic_full_import_as_DC]], MATCH('השוואת פקטורים'!$B15, 'PPRs all'!$A$2:$A$108, 0), MATCH('השוואת פקטורים'!L$6, טבלה1[[#Headers],[SPPR_1986]:[SPPR_symbolic_full_import_as_DC]], 0)),
INDEX(טבלה2[[SPPR_1986]:[SPPR_symbolic_full_import_as_DC]], MATCH('השוואת פקטורים'!$B15, 'PPRs inner'!$A$2:$A$108, 0), MATCH('השוואת פקטורים'!M$6, טבלה2[[#Headers],[SPPR_1986]:[SPPR_symbolic_full_import_as_DC]], 0)) / INDEX(טבלה2[[SPPR_1986]:[SPPR_symbolic_full_import_as_DC]], MATCH('השוואת פקטורים'!$B15, 'PPRs inner'!$A$2:$A$108, 0), MATCH('השוואת פקטורים'!L$6, טבלה2[[#Headers],[SPPR_1986]:[SPPR_symbolic_full_import_as_DC]], 0))
)</f>
        <v>0.66382339265469648</v>
      </c>
      <c r="N15" s="9">
        <f>IF($B$4="סהכ",
INDEX(טבלה1[[SPPR_1986]:[SPPR_symbolic_full_import_as_DC]], MATCH('השוואת פקטורים'!$B15, 'PPRs all'!$A$2:$A$108, 0), MATCH('השוואת פקטורים'!N$6, טבלה1[[#Headers],[SPPR_1986]:[SPPR_symbolic_full_import_as_DC]], 0)) / INDEX(טבלה1[[SPPR_1986]:[SPPR_symbolic_full_import_as_DC]], MATCH('השוואת פקטורים'!$B15, 'PPRs all'!$A$2:$A$108, 0), MATCH('השוואת פקטורים'!M$6, טבלה1[[#Headers],[SPPR_1986]:[SPPR_symbolic_full_import_as_DC]], 0)),
INDEX(טבלה2[[SPPR_1986]:[SPPR_symbolic_full_import_as_DC]], MATCH('השוואת פקטורים'!$B15, 'PPRs inner'!$A$2:$A$108, 0), MATCH('השוואת פקטורים'!N$6, טבלה2[[#Headers],[SPPR_1986]:[SPPR_symbolic_full_import_as_DC]], 0)) / INDEX(טבלה2[[SPPR_1986]:[SPPR_symbolic_full_import_as_DC]], MATCH('השוואת פקטורים'!$B15, 'PPRs inner'!$A$2:$A$108, 0), MATCH('השוואת פקטורים'!M$6, טבלה2[[#Headers],[SPPR_1986]:[SPPR_symbolic_full_import_as_DC]], 0))
)</f>
        <v>1.8292184384776584</v>
      </c>
      <c r="O15" s="9">
        <f>IF($B$4="סהכ",
INDEX(טבלה1[[SPPR_1986]:[SPPR_symbolic_full_import_as_DC]], MATCH('השוואת פקטורים'!$B15, 'PPRs all'!$A$2:$A$108, 0), MATCH('השוואת פקטורים'!O$6, טבלה1[[#Headers],[SPPR_1986]:[SPPR_symbolic_full_import_as_DC]], 0)) / INDEX(טבלה1[[SPPR_1986]:[SPPR_symbolic_full_import_as_DC]], MATCH('השוואת פקטורים'!$B15, 'PPRs all'!$A$2:$A$108, 0), MATCH('השוואת פקטורים'!N$6, טבלה1[[#Headers],[SPPR_1986]:[SPPR_symbolic_full_import_as_DC]], 0)),
INDEX(טבלה2[[SPPR_1986]:[SPPR_symbolic_full_import_as_DC]], MATCH('השוואת פקטורים'!$B15, 'PPRs inner'!$A$2:$A$108, 0), MATCH('השוואת פקטורים'!O$6, טבלה2[[#Headers],[SPPR_1986]:[SPPR_symbolic_full_import_as_DC]], 0)) / INDEX(טבלה2[[SPPR_1986]:[SPPR_symbolic_full_import_as_DC]], MATCH('השוואת פקטורים'!$B15, 'PPRs inner'!$A$2:$A$108, 0), MATCH('השוואת פקטורים'!N$6, טבלה2[[#Headers],[SPPR_1986]:[SPPR_symbolic_full_import_as_DC]], 0))
)</f>
        <v>0.99999999999999978</v>
      </c>
      <c r="P15" s="9">
        <f>IF($B$4="סהכ",
INDEX(טבלה1[[SPPR_1986]:[SPPR_symbolic_full_import_as_DC]], MATCH('השוואת פקטורים'!$B15, 'PPRs all'!$A$2:$A$108, 0), MATCH('השוואת פקטורים'!P$6, טבלה1[[#Headers],[SPPR_1986]:[SPPR_symbolic_full_import_as_DC]], 0)) / INDEX(טבלה1[[SPPR_1986]:[SPPR_symbolic_full_import_as_DC]], MATCH('השוואת פקטורים'!$B15, 'PPRs all'!$A$2:$A$108, 0), MATCH('השוואת פקטורים'!O$6, טבלה1[[#Headers],[SPPR_1986]:[SPPR_symbolic_full_import_as_DC]], 0)),
INDEX(טבלה2[[SPPR_1986]:[SPPR_symbolic_full_import_as_DC]], MATCH('השוואת פקטורים'!$B15, 'PPRs inner'!$A$2:$A$108, 0), MATCH('השוואת פקטורים'!P$6, טבלה2[[#Headers],[SPPR_1986]:[SPPR_symbolic_full_import_as_DC]], 0)) / INDEX(טבלה2[[SPPR_1986]:[SPPR_symbolic_full_import_as_DC]], MATCH('השוואת פקטורים'!$B15, 'PPRs inner'!$A$2:$A$108, 0), MATCH('השוואת פקטורים'!O$6, טבלה2[[#Headers],[SPPR_1986]:[SPPR_symbolic_full_import_as_DC]], 0))
)</f>
        <v>0.61492033316658046</v>
      </c>
      <c r="Q15" s="9">
        <f>IF($B$4="סהכ",
INDEX(טבלה1[[SPPR_1986]:[SPPR_symbolic_full_import_as_DC]], MATCH('השוואת פקטורים'!$B15, 'PPRs all'!$A$2:$A$108, 0), MATCH('השוואת פקטורים'!Q$6, טבלה1[[#Headers],[SPPR_1986]:[SPPR_symbolic_full_import_as_DC]], 0)) / INDEX(טבלה1[[SPPR_1986]:[SPPR_symbolic_full_import_as_DC]], MATCH('השוואת פקטורים'!$B15, 'PPRs all'!$A$2:$A$108, 0), MATCH('השוואת פקטורים'!P$6, טבלה1[[#Headers],[SPPR_1986]:[SPPR_symbolic_full_import_as_DC]], 0)),
INDEX(טבלה2[[SPPR_1986]:[SPPR_symbolic_full_import_as_DC]], MATCH('השוואת פקטורים'!$B15, 'PPRs inner'!$A$2:$A$108, 0), MATCH('השוואת פקטורים'!Q$6, טבלה2[[#Headers],[SPPR_1986]:[SPPR_symbolic_full_import_as_DC]], 0)) / INDEX(טבלה2[[SPPR_1986]:[SPPR_symbolic_full_import_as_DC]], MATCH('השוואת פקטורים'!$B15, 'PPRs inner'!$A$2:$A$108, 0), MATCH('השוואת פקטורים'!P$6, טבלה2[[#Headers],[SPPR_1986]:[SPPR_symbolic_full_import_as_DC]], 0))
)</f>
        <v>0.999999999999998</v>
      </c>
      <c r="R15" s="9">
        <f>IF($B$4="סהכ",
INDEX(טבלה1[[SPPR_1986]:[SPPR_symbolic_full_import_as_DC]], MATCH('השוואת פקטורים'!$B15, 'PPRs all'!$A$2:$A$108, 0), MATCH('השוואת פקטורים'!R$6, טבלה1[[#Headers],[SPPR_1986]:[SPPR_symbolic_full_import_as_DC]], 0)) / INDEX(טבלה1[[SPPR_1986]:[SPPR_symbolic_full_import_as_DC]], MATCH('השוואת פקטורים'!$B15, 'PPRs all'!$A$2:$A$108, 0), MATCH('השוואת פקטורים'!Q$6, טבלה1[[#Headers],[SPPR_1986]:[SPPR_symbolic_full_import_as_DC]], 0)),
INDEX(טבלה2[[SPPR_1986]:[SPPR_symbolic_full_import_as_DC]], MATCH('השוואת פקטורים'!$B15, 'PPRs inner'!$A$2:$A$108, 0), MATCH('השוואת פקטורים'!R$6, טבלה2[[#Headers],[SPPR_1986]:[SPPR_symbolic_full_import_as_DC]], 0)) / INDEX(טבלה2[[SPPR_1986]:[SPPR_symbolic_full_import_as_DC]], MATCH('השוואת פקטורים'!$B15, 'PPRs inner'!$A$2:$A$108, 0), MATCH('השוואת פקטורים'!Q$6, טבלה2[[#Headers],[SPPR_1986]:[SPPR_symbolic_full_import_as_DC]], 0))
)</f>
        <v>1</v>
      </c>
      <c r="S15" s="9">
        <f>IF($B$4="סהכ",
INDEX(טבלה1[[SPPR_1986]:[SPPR_symbolic_full_import_as_DC]], MATCH('השוואת פקטורים'!$B15, 'PPRs all'!$A$2:$A$108, 0), MATCH('השוואת פקטורים'!S$6, טבלה1[[#Headers],[SPPR_1986]:[SPPR_symbolic_full_import_as_DC]], 0)) / INDEX(טבלה1[[SPPR_1986]:[SPPR_symbolic_full_import_as_DC]], MATCH('השוואת פקטורים'!$B15, 'PPRs all'!$A$2:$A$108, 0), MATCH('השוואת פקטורים'!R$6, טבלה1[[#Headers],[SPPR_1986]:[SPPR_symbolic_full_import_as_DC]], 0)),
INDEX(טבלה2[[SPPR_1986]:[SPPR_symbolic_full_import_as_DC]], MATCH('השוואת פקטורים'!$B15, 'PPRs inner'!$A$2:$A$108, 0), MATCH('השוואת פקטורים'!S$6, טבלה2[[#Headers],[SPPR_1986]:[SPPR_symbolic_full_import_as_DC]], 0)) / INDEX(טבלה2[[SPPR_1986]:[SPPR_symbolic_full_import_as_DC]], MATCH('השוואת פקטורים'!$B15, 'PPRs inner'!$A$2:$A$108, 0), MATCH('השוואת פקטורים'!R$6, טבלה2[[#Headers],[SPPR_1986]:[SPPR_symbolic_full_import_as_DC]], 0))
)</f>
        <v>1</v>
      </c>
      <c r="T15" s="9">
        <f>IF($B$4="סהכ",
INDEX(טבלה1[[SPPR_1986]:[SPPR_symbolic_full_import_as_DC]], MATCH('השוואת פקטורים'!$B15, 'PPRs all'!$A$2:$A$108, 0), MATCH('השוואת פקטורים'!T$6, טבלה1[[#Headers],[SPPR_1986]:[SPPR_symbolic_full_import_as_DC]], 0)) / INDEX(טבלה1[[SPPR_1986]:[SPPR_symbolic_full_import_as_DC]], MATCH('השוואת פקטורים'!$B15, 'PPRs all'!$A$2:$A$108, 0), MATCH('השוואת פקטורים'!S$6, טבלה1[[#Headers],[SPPR_1986]:[SPPR_symbolic_full_import_as_DC]], 0)),
INDEX(טבלה2[[SPPR_1986]:[SPPR_symbolic_full_import_as_DC]], MATCH('השוואת פקטורים'!$B15, 'PPRs inner'!$A$2:$A$108, 0), MATCH('השוואת פקטורים'!T$6, טבלה2[[#Headers],[SPPR_1986]:[SPPR_symbolic_full_import_as_DC]], 0)) / INDEX(טבלה2[[SPPR_1986]:[SPPR_symbolic_full_import_as_DC]], MATCH('השוואת פקטורים'!$B15, 'PPRs inner'!$A$2:$A$108, 0), MATCH('השוואת פקטורים'!S$6, טבלה2[[#Headers],[SPPR_1986]:[SPPR_symbolic_full_import_as_DC]], 0))
)</f>
        <v>1</v>
      </c>
      <c r="U15" s="9">
        <f>IF($B$4="סהכ",
INDEX(טבלה1[[SPPR_1986]:[SPPR_symbolic_full_import_as_DC]], MATCH('השוואת פקטורים'!$B15, 'PPRs all'!$A$2:$A$108, 0), MATCH('השוואת פקטורים'!U$6, טבלה1[[#Headers],[SPPR_1986]:[SPPR_symbolic_full_import_as_DC]], 0)) / INDEX(טבלה1[[SPPR_1986]:[SPPR_symbolic_full_import_as_DC]], MATCH('השוואת פקטורים'!$B15, 'PPRs all'!$A$2:$A$108, 0), MATCH('השוואת פקטורים'!T$6, טבלה1[[#Headers],[SPPR_1986]:[SPPR_symbolic_full_import_as_DC]], 0)),
INDEX(טבלה2[[SPPR_1986]:[SPPR_symbolic_full_import_as_DC]], MATCH('השוואת פקטורים'!$B15, 'PPRs inner'!$A$2:$A$108, 0), MATCH('השוואת פקטורים'!U$6, טבלה2[[#Headers],[SPPR_1986]:[SPPR_symbolic_full_import_as_DC]], 0)) / INDEX(טבלה2[[SPPR_1986]:[SPPR_symbolic_full_import_as_DC]], MATCH('השוואת פקטורים'!$B15, 'PPRs inner'!$A$2:$A$108, 0), MATCH('השוואת פקטורים'!T$6, טבלה2[[#Headers],[SPPR_1986]:[SPPR_symbolic_full_import_as_DC]], 0))
)</f>
        <v>1.000000000000002</v>
      </c>
      <c r="V15" s="9"/>
      <c r="W15" s="9"/>
      <c r="X15" s="14"/>
      <c r="Y15" s="14"/>
      <c r="Z15" s="15">
        <f t="shared" si="2"/>
        <v>4.3121937316019379</v>
      </c>
    </row>
    <row r="16" spans="1:27" x14ac:dyDescent="0.3">
      <c r="B16" s="6" t="s">
        <v>30</v>
      </c>
      <c r="C16" s="12" t="b">
        <v>1</v>
      </c>
      <c r="D16" s="12" t="b">
        <v>0</v>
      </c>
      <c r="E16" s="12" t="b">
        <v>1</v>
      </c>
      <c r="F16" s="12" t="b">
        <f t="shared" si="1"/>
        <v>0</v>
      </c>
      <c r="G16" s="7" t="b">
        <f>ABS(INDEX(טבלה5[[SPPR_1986]:[SPPR_symbolic_full_import_as_DC]],MATCH('השוואת פקטורים'!$B16,טבלה5[עמודה1],0),MATCH($C$4,טבלה5[[#Headers],[SPPR_1986]:[SPPR_symbolic_full_import_as_DC]],0))) &lt; 5</f>
        <v>1</v>
      </c>
      <c r="H16" s="7" t="b">
        <f>INDEX(טבלה3[[SPPR_1986]:[SPPR_symbolic_full_import_as_DC]],MATCH('השוואת פקטורים'!$B16,טבלה3[עמודה1],0),MATCH($C$4,טבלה3[[#Headers],[SPPR_1986]:[SPPR_symbolic_full_import_as_DC]],0))</f>
        <v>1</v>
      </c>
      <c r="I16" s="7" t="b">
        <f t="shared" si="0"/>
        <v>0</v>
      </c>
      <c r="J16" s="13"/>
      <c r="K16" s="9">
        <f>IF($B$4="סהכ",
INDEX(טבלה1[[SPPR_1986]:[SPPR_symbolic_full_import_as_DC]], MATCH('השוואת פקטורים'!$B16, 'PPRs all'!$A$2:$A$108, 0), MATCH('השוואת פקטורים'!K$6, טבלה1[[#Headers],[SPPR_1986]:[SPPR_symbolic_full_import_as_DC]], 0)) / INDEX(טבלה1[[SPPR_1986]:[SPPR_symbolic_full_import_as_DC]], MATCH('השוואת פקטורים'!$B16, 'PPRs all'!$A$2:$A$108, 0), MATCH('השוואת פקטורים'!J$6, טבלה1[[#Headers],[SPPR_1986]:[SPPR_symbolic_full_import_as_DC]], 0)),
INDEX(טבלה2[[SPPR_1986]:[SPPR_symbolic_full_import_as_DC]], MATCH('השוואת פקטורים'!$B16, 'PPRs inner'!$A$2:$A$108, 0), MATCH('השוואת פקטורים'!K$6, טבלה2[[#Headers],[SPPR_1986]:[SPPR_symbolic_full_import_as_DC]], 0)) / INDEX(טבלה2[[SPPR_1986]:[SPPR_symbolic_full_import_as_DC]], MATCH('השוואת פקטורים'!$B16, 'PPRs inner'!$A$2:$A$108, 0), MATCH('השוואת פקטורים'!J$6, טבלה2[[#Headers],[SPPR_1986]:[SPPR_symbolic_full_import_as_DC]], 0))
)</f>
        <v>0.47691491930263796</v>
      </c>
      <c r="L16" s="9">
        <f>IF($B$4="סהכ",
INDEX(טבלה1[[SPPR_1986]:[SPPR_symbolic_full_import_as_DC]], MATCH('השוואת פקטורים'!$B16, 'PPRs all'!$A$2:$A$108, 0), MATCH('השוואת פקטורים'!L$6, טבלה1[[#Headers],[SPPR_1986]:[SPPR_symbolic_full_import_as_DC]], 0)) / INDEX(טבלה1[[SPPR_1986]:[SPPR_symbolic_full_import_as_DC]], MATCH('השוואת פקטורים'!$B16, 'PPRs all'!$A$2:$A$108, 0), MATCH('השוואת פקטורים'!K$6, טבלה1[[#Headers],[SPPR_1986]:[SPPR_symbolic_full_import_as_DC]], 0)),
INDEX(טבלה2[[SPPR_1986]:[SPPR_symbolic_full_import_as_DC]], MATCH('השוואת פקטורים'!$B16, 'PPRs inner'!$A$2:$A$108, 0), MATCH('השוואת פקטורים'!L$6, טבלה2[[#Headers],[SPPR_1986]:[SPPR_symbolic_full_import_as_DC]], 0)) / INDEX(טבלה2[[SPPR_1986]:[SPPR_symbolic_full_import_as_DC]], MATCH('השוואת פקטורים'!$B16, 'PPRs inner'!$A$2:$A$108, 0), MATCH('השוואת פקטורים'!K$6, טבלה2[[#Headers],[SPPR_1986]:[SPPR_symbolic_full_import_as_DC]], 0))
)</f>
        <v>2.4640630632811509</v>
      </c>
      <c r="M16" s="9">
        <f>IF($B$4="סהכ",
INDEX(טבלה1[[SPPR_1986]:[SPPR_symbolic_full_import_as_DC]], MATCH('השוואת פקטורים'!$B16, 'PPRs all'!$A$2:$A$108, 0), MATCH('השוואת פקטורים'!M$6, טבלה1[[#Headers],[SPPR_1986]:[SPPR_symbolic_full_import_as_DC]], 0)) / INDEX(טבלה1[[SPPR_1986]:[SPPR_symbolic_full_import_as_DC]], MATCH('השוואת פקטורים'!$B16, 'PPRs all'!$A$2:$A$108, 0), MATCH('השוואת פקטורים'!L$6, טבלה1[[#Headers],[SPPR_1986]:[SPPR_symbolic_full_import_as_DC]], 0)),
INDEX(טבלה2[[SPPR_1986]:[SPPR_symbolic_full_import_as_DC]], MATCH('השוואת פקטורים'!$B16, 'PPRs inner'!$A$2:$A$108, 0), MATCH('השוואת פקטורים'!M$6, טבלה2[[#Headers],[SPPR_1986]:[SPPR_symbolic_full_import_as_DC]], 0)) / INDEX(טבלה2[[SPPR_1986]:[SPPR_symbolic_full_import_as_DC]], MATCH('השוואת פקטורים'!$B16, 'PPRs inner'!$A$2:$A$108, 0), MATCH('השוואת פקטורים'!L$6, טבלה2[[#Headers],[SPPR_1986]:[SPPR_symbolic_full_import_as_DC]], 0))
)</f>
        <v>1.2274217673452184</v>
      </c>
      <c r="N16" s="9">
        <f>IF($B$4="סהכ",
INDEX(טבלה1[[SPPR_1986]:[SPPR_symbolic_full_import_as_DC]], MATCH('השוואת פקטורים'!$B16, 'PPRs all'!$A$2:$A$108, 0), MATCH('השוואת פקטורים'!N$6, טבלה1[[#Headers],[SPPR_1986]:[SPPR_symbolic_full_import_as_DC]], 0)) / INDEX(טבלה1[[SPPR_1986]:[SPPR_symbolic_full_import_as_DC]], MATCH('השוואת פקטורים'!$B16, 'PPRs all'!$A$2:$A$108, 0), MATCH('השוואת פקטורים'!M$6, טבלה1[[#Headers],[SPPR_1986]:[SPPR_symbolic_full_import_as_DC]], 0)),
INDEX(טבלה2[[SPPR_1986]:[SPPR_symbolic_full_import_as_DC]], MATCH('השוואת פקטורים'!$B16, 'PPRs inner'!$A$2:$A$108, 0), MATCH('השוואת פקטורים'!N$6, טבלה2[[#Headers],[SPPR_1986]:[SPPR_symbolic_full_import_as_DC]], 0)) / INDEX(טבלה2[[SPPR_1986]:[SPPR_symbolic_full_import_as_DC]], MATCH('השוואת פקטורים'!$B16, 'PPRs inner'!$A$2:$A$108, 0), MATCH('השוואת פקטורים'!M$6, טבלה2[[#Headers],[SPPR_1986]:[SPPR_symbolic_full_import_as_DC]], 0))
)</f>
        <v>1.016857344617403</v>
      </c>
      <c r="O16" s="9">
        <f>IF($B$4="סהכ",
INDEX(טבלה1[[SPPR_1986]:[SPPR_symbolic_full_import_as_DC]], MATCH('השוואת פקטורים'!$B16, 'PPRs all'!$A$2:$A$108, 0), MATCH('השוואת פקטורים'!O$6, טבלה1[[#Headers],[SPPR_1986]:[SPPR_symbolic_full_import_as_DC]], 0)) / INDEX(טבלה1[[SPPR_1986]:[SPPR_symbolic_full_import_as_DC]], MATCH('השוואת פקטורים'!$B16, 'PPRs all'!$A$2:$A$108, 0), MATCH('השוואת פקטורים'!N$6, טבלה1[[#Headers],[SPPR_1986]:[SPPR_symbolic_full_import_as_DC]], 0)),
INDEX(טבלה2[[SPPR_1986]:[SPPR_symbolic_full_import_as_DC]], MATCH('השוואת פקטורים'!$B16, 'PPRs inner'!$A$2:$A$108, 0), MATCH('השוואת פקטורים'!O$6, טבלה2[[#Headers],[SPPR_1986]:[SPPR_symbolic_full_import_as_DC]], 0)) / INDEX(טבלה2[[SPPR_1986]:[SPPR_symbolic_full_import_as_DC]], MATCH('השוואת פקטורים'!$B16, 'PPRs inner'!$A$2:$A$108, 0), MATCH('השוואת פקטורים'!N$6, טבלה2[[#Headers],[SPPR_1986]:[SPPR_symbolic_full_import_as_DC]], 0))
)</f>
        <v>0.99999999999999944</v>
      </c>
      <c r="P16" s="9">
        <f>IF($B$4="סהכ",
INDEX(טבלה1[[SPPR_1986]:[SPPR_symbolic_full_import_as_DC]], MATCH('השוואת פקטורים'!$B16, 'PPRs all'!$A$2:$A$108, 0), MATCH('השוואת פקטורים'!P$6, טבלה1[[#Headers],[SPPR_1986]:[SPPR_symbolic_full_import_as_DC]], 0)) / INDEX(טבלה1[[SPPR_1986]:[SPPR_symbolic_full_import_as_DC]], MATCH('השוואת פקטורים'!$B16, 'PPRs all'!$A$2:$A$108, 0), MATCH('השוואת פקטורים'!O$6, טבלה1[[#Headers],[SPPR_1986]:[SPPR_symbolic_full_import_as_DC]], 0)),
INDEX(טבלה2[[SPPR_1986]:[SPPR_symbolic_full_import_as_DC]], MATCH('השוואת פקטורים'!$B16, 'PPRs inner'!$A$2:$A$108, 0), MATCH('השוואת פקטורים'!P$6, טבלה2[[#Headers],[SPPR_1986]:[SPPR_symbolic_full_import_as_DC]], 0)) / INDEX(טבלה2[[SPPR_1986]:[SPPR_symbolic_full_import_as_DC]], MATCH('השוואת פקטורים'!$B16, 'PPRs inner'!$A$2:$A$108, 0), MATCH('השוואת פקטורים'!O$6, טבלה2[[#Headers],[SPPR_1986]:[SPPR_symbolic_full_import_as_DC]], 0))
)</f>
        <v>0.30267785181773432</v>
      </c>
      <c r="Q16" s="9">
        <f>IF($B$4="סהכ",
INDEX(טבלה1[[SPPR_1986]:[SPPR_symbolic_full_import_as_DC]], MATCH('השוואת פקטורים'!$B16, 'PPRs all'!$A$2:$A$108, 0), MATCH('השוואת פקטורים'!Q$6, טבלה1[[#Headers],[SPPR_1986]:[SPPR_symbolic_full_import_as_DC]], 0)) / INDEX(טבלה1[[SPPR_1986]:[SPPR_symbolic_full_import_as_DC]], MATCH('השוואת פקטורים'!$B16, 'PPRs all'!$A$2:$A$108, 0), MATCH('השוואת פקטורים'!P$6, טבלה1[[#Headers],[SPPR_1986]:[SPPR_symbolic_full_import_as_DC]], 0)),
INDEX(טבלה2[[SPPR_1986]:[SPPR_symbolic_full_import_as_DC]], MATCH('השוואת פקטורים'!$B16, 'PPRs inner'!$A$2:$A$108, 0), MATCH('השוואת פקטורים'!Q$6, טבלה2[[#Headers],[SPPR_1986]:[SPPR_symbolic_full_import_as_DC]], 0)) / INDEX(טבלה2[[SPPR_1986]:[SPPR_symbolic_full_import_as_DC]], MATCH('השוואת פקטורים'!$B16, 'PPRs inner'!$A$2:$A$108, 0), MATCH('השוואת פקטורים'!P$6, טבלה2[[#Headers],[SPPR_1986]:[SPPR_symbolic_full_import_as_DC]], 0))
)</f>
        <v>1.0000000000000033</v>
      </c>
      <c r="R16" s="9">
        <f>IF($B$4="סהכ",
INDEX(טבלה1[[SPPR_1986]:[SPPR_symbolic_full_import_as_DC]], MATCH('השוואת פקטורים'!$B16, 'PPRs all'!$A$2:$A$108, 0), MATCH('השוואת פקטורים'!R$6, טבלה1[[#Headers],[SPPR_1986]:[SPPR_symbolic_full_import_as_DC]], 0)) / INDEX(טבלה1[[SPPR_1986]:[SPPR_symbolic_full_import_as_DC]], MATCH('השוואת פקטורים'!$B16, 'PPRs all'!$A$2:$A$108, 0), MATCH('השוואת פקטורים'!Q$6, טבלה1[[#Headers],[SPPR_1986]:[SPPR_symbolic_full_import_as_DC]], 0)),
INDEX(טבלה2[[SPPR_1986]:[SPPR_symbolic_full_import_as_DC]], MATCH('השוואת פקטורים'!$B16, 'PPRs inner'!$A$2:$A$108, 0), MATCH('השוואת פקטורים'!R$6, טבלה2[[#Headers],[SPPR_1986]:[SPPR_symbolic_full_import_as_DC]], 0)) / INDEX(טבלה2[[SPPR_1986]:[SPPR_symbolic_full_import_as_DC]], MATCH('השוואת פקטורים'!$B16, 'PPRs inner'!$A$2:$A$108, 0), MATCH('השוואת פקטורים'!Q$6, טבלה2[[#Headers],[SPPR_1986]:[SPPR_symbolic_full_import_as_DC]], 0))
)</f>
        <v>1</v>
      </c>
      <c r="S16" s="9">
        <f>IF($B$4="סהכ",
INDEX(טבלה1[[SPPR_1986]:[SPPR_symbolic_full_import_as_DC]], MATCH('השוואת פקטורים'!$B16, 'PPRs all'!$A$2:$A$108, 0), MATCH('השוואת פקטורים'!S$6, טבלה1[[#Headers],[SPPR_1986]:[SPPR_symbolic_full_import_as_DC]], 0)) / INDEX(טבלה1[[SPPR_1986]:[SPPR_symbolic_full_import_as_DC]], MATCH('השוואת פקטורים'!$B16, 'PPRs all'!$A$2:$A$108, 0), MATCH('השוואת פקטורים'!R$6, טבלה1[[#Headers],[SPPR_1986]:[SPPR_symbolic_full_import_as_DC]], 0)),
INDEX(טבלה2[[SPPR_1986]:[SPPR_symbolic_full_import_as_DC]], MATCH('השוואת פקטורים'!$B16, 'PPRs inner'!$A$2:$A$108, 0), MATCH('השוואת פקטורים'!S$6, טבלה2[[#Headers],[SPPR_1986]:[SPPR_symbolic_full_import_as_DC]], 0)) / INDEX(טבלה2[[SPPR_1986]:[SPPR_symbolic_full_import_as_DC]], MATCH('השוואת פקטורים'!$B16, 'PPRs inner'!$A$2:$A$108, 0), MATCH('השוואת פקטורים'!R$6, טבלה2[[#Headers],[SPPR_1986]:[SPPR_symbolic_full_import_as_DC]], 0))
)</f>
        <v>1</v>
      </c>
      <c r="T16" s="9">
        <f>IF($B$4="סהכ",
INDEX(טבלה1[[SPPR_1986]:[SPPR_symbolic_full_import_as_DC]], MATCH('השוואת פקטורים'!$B16, 'PPRs all'!$A$2:$A$108, 0), MATCH('השוואת פקטורים'!T$6, טבלה1[[#Headers],[SPPR_1986]:[SPPR_symbolic_full_import_as_DC]], 0)) / INDEX(טבלה1[[SPPR_1986]:[SPPR_symbolic_full_import_as_DC]], MATCH('השוואת פקטורים'!$B16, 'PPRs all'!$A$2:$A$108, 0), MATCH('השוואת פקטורים'!S$6, טבלה1[[#Headers],[SPPR_1986]:[SPPR_symbolic_full_import_as_DC]], 0)),
INDEX(טבלה2[[SPPR_1986]:[SPPR_symbolic_full_import_as_DC]], MATCH('השוואת פקטורים'!$B16, 'PPRs inner'!$A$2:$A$108, 0), MATCH('השוואת פקטורים'!T$6, טבלה2[[#Headers],[SPPR_1986]:[SPPR_symbolic_full_import_as_DC]], 0)) / INDEX(טבלה2[[SPPR_1986]:[SPPR_symbolic_full_import_as_DC]], MATCH('השוואת פקטורים'!$B16, 'PPRs inner'!$A$2:$A$108, 0), MATCH('השוואת פקטורים'!S$6, טבלה2[[#Headers],[SPPR_1986]:[SPPR_symbolic_full_import_as_DC]], 0))
)</f>
        <v>1</v>
      </c>
      <c r="U16" s="9">
        <f>IF($B$4="סהכ",
INDEX(טבלה1[[SPPR_1986]:[SPPR_symbolic_full_import_as_DC]], MATCH('השוואת פקטורים'!$B16, 'PPRs all'!$A$2:$A$108, 0), MATCH('השוואת פקטורים'!U$6, טבלה1[[#Headers],[SPPR_1986]:[SPPR_symbolic_full_import_as_DC]], 0)) / INDEX(טבלה1[[SPPR_1986]:[SPPR_symbolic_full_import_as_DC]], MATCH('השוואת פקטורים'!$B16, 'PPRs all'!$A$2:$A$108, 0), MATCH('השוואת פקטורים'!T$6, טבלה1[[#Headers],[SPPR_1986]:[SPPR_symbolic_full_import_as_DC]], 0)),
INDEX(טבלה2[[SPPR_1986]:[SPPR_symbolic_full_import_as_DC]], MATCH('השוואת פקטורים'!$B16, 'PPRs inner'!$A$2:$A$108, 0), MATCH('השוואת פקטורים'!U$6, טבלה2[[#Headers],[SPPR_1986]:[SPPR_symbolic_full_import_as_DC]], 0)) / INDEX(טבלה2[[SPPR_1986]:[SPPR_symbolic_full_import_as_DC]], MATCH('השוואת פקטורים'!$B16, 'PPRs inner'!$A$2:$A$108, 0), MATCH('השוואת פקטורים'!T$6, טבלה2[[#Headers],[SPPR_1986]:[SPPR_symbolic_full_import_as_DC]], 0))
)</f>
        <v>0.99999999999999678</v>
      </c>
      <c r="V16" s="9"/>
      <c r="W16" s="9"/>
      <c r="X16" s="14"/>
      <c r="Y16" s="14"/>
      <c r="Z16" s="15">
        <f t="shared" si="2"/>
        <v>0.44394300866832354</v>
      </c>
    </row>
    <row r="17" spans="2:26" x14ac:dyDescent="0.3">
      <c r="B17" s="6" t="s">
        <v>31</v>
      </c>
      <c r="C17" s="12" t="b">
        <v>1</v>
      </c>
      <c r="D17" s="12" t="b">
        <v>1</v>
      </c>
      <c r="E17" s="12" t="b">
        <v>1</v>
      </c>
      <c r="F17" s="12" t="b">
        <f t="shared" si="1"/>
        <v>1</v>
      </c>
      <c r="G17" s="7" t="b">
        <f>ABS(INDEX(טבלה5[[SPPR_1986]:[SPPR_symbolic_full_import_as_DC]],MATCH('השוואת פקטורים'!$B17,טבלה5[עמודה1],0),MATCH($C$4,טבלה5[[#Headers],[SPPR_1986]:[SPPR_symbolic_full_import_as_DC]],0))) &lt; 5</f>
        <v>1</v>
      </c>
      <c r="H17" s="7" t="b">
        <f>INDEX(טבלה3[[SPPR_1986]:[SPPR_symbolic_full_import_as_DC]],MATCH('השוואת פקטורים'!$B17,טבלה3[עמודה1],0),MATCH($C$4,טבלה3[[#Headers],[SPPR_1986]:[SPPR_symbolic_full_import_as_DC]],0))</f>
        <v>1</v>
      </c>
      <c r="I17" s="7" t="b">
        <f t="shared" si="0"/>
        <v>1</v>
      </c>
      <c r="J17" s="13"/>
      <c r="K17" s="9">
        <f>IF($B$4="סהכ",
INDEX(טבלה1[[SPPR_1986]:[SPPR_symbolic_full_import_as_DC]], MATCH('השוואת פקטורים'!$B17, 'PPRs all'!$A$2:$A$108, 0), MATCH('השוואת פקטורים'!K$6, טבלה1[[#Headers],[SPPR_1986]:[SPPR_symbolic_full_import_as_DC]], 0)) / INDEX(טבלה1[[SPPR_1986]:[SPPR_symbolic_full_import_as_DC]], MATCH('השוואת פקטורים'!$B17, 'PPRs all'!$A$2:$A$108, 0), MATCH('השוואת פקטורים'!J$6, טבלה1[[#Headers],[SPPR_1986]:[SPPR_symbolic_full_import_as_DC]], 0)),
INDEX(טבלה2[[SPPR_1986]:[SPPR_symbolic_full_import_as_DC]], MATCH('השוואת פקטורים'!$B17, 'PPRs inner'!$A$2:$A$108, 0), MATCH('השוואת פקטורים'!K$6, טבלה2[[#Headers],[SPPR_1986]:[SPPR_symbolic_full_import_as_DC]], 0)) / INDEX(טבלה2[[SPPR_1986]:[SPPR_symbolic_full_import_as_DC]], MATCH('השוואת פקטורים'!$B17, 'PPRs inner'!$A$2:$A$108, 0), MATCH('השוואת פקטורים'!J$6, טבלה2[[#Headers],[SPPR_1986]:[SPPR_symbolic_full_import_as_DC]], 0))
)</f>
        <v>0.37111752367671003</v>
      </c>
      <c r="L17" s="9">
        <f>IF($B$4="סהכ",
INDEX(טבלה1[[SPPR_1986]:[SPPR_symbolic_full_import_as_DC]], MATCH('השוואת פקטורים'!$B17, 'PPRs all'!$A$2:$A$108, 0), MATCH('השוואת פקטורים'!L$6, טבלה1[[#Headers],[SPPR_1986]:[SPPR_symbolic_full_import_as_DC]], 0)) / INDEX(טבלה1[[SPPR_1986]:[SPPR_symbolic_full_import_as_DC]], MATCH('השוואת פקטורים'!$B17, 'PPRs all'!$A$2:$A$108, 0), MATCH('השוואת פקטורים'!K$6, טבלה1[[#Headers],[SPPR_1986]:[SPPR_symbolic_full_import_as_DC]], 0)),
INDEX(טבלה2[[SPPR_1986]:[SPPR_symbolic_full_import_as_DC]], MATCH('השוואת פקטורים'!$B17, 'PPRs inner'!$A$2:$A$108, 0), MATCH('השוואת פקטורים'!L$6, טבלה2[[#Headers],[SPPR_1986]:[SPPR_symbolic_full_import_as_DC]], 0)) / INDEX(טבלה2[[SPPR_1986]:[SPPR_symbolic_full_import_as_DC]], MATCH('השוואת פקטורים'!$B17, 'PPRs inner'!$A$2:$A$108, 0), MATCH('השוואת פקטורים'!K$6, טבלה2[[#Headers],[SPPR_1986]:[SPPR_symbolic_full_import_as_DC]], 0))
)</f>
        <v>2.8295927269432171</v>
      </c>
      <c r="M17" s="9">
        <f>IF($B$4="סהכ",
INDEX(טבלה1[[SPPR_1986]:[SPPR_symbolic_full_import_as_DC]], MATCH('השוואת פקטורים'!$B17, 'PPRs all'!$A$2:$A$108, 0), MATCH('השוואת פקטורים'!M$6, טבלה1[[#Headers],[SPPR_1986]:[SPPR_symbolic_full_import_as_DC]], 0)) / INDEX(טבלה1[[SPPR_1986]:[SPPR_symbolic_full_import_as_DC]], MATCH('השוואת פקטורים'!$B17, 'PPRs all'!$A$2:$A$108, 0), MATCH('השוואת פקטורים'!L$6, טבלה1[[#Headers],[SPPR_1986]:[SPPR_symbolic_full_import_as_DC]], 0)),
INDEX(טבלה2[[SPPR_1986]:[SPPR_symbolic_full_import_as_DC]], MATCH('השוואת פקטורים'!$B17, 'PPRs inner'!$A$2:$A$108, 0), MATCH('השוואת פקטורים'!M$6, טבלה2[[#Headers],[SPPR_1986]:[SPPR_symbolic_full_import_as_DC]], 0)) / INDEX(טבלה2[[SPPR_1986]:[SPPR_symbolic_full_import_as_DC]], MATCH('השוואת פקטורים'!$B17, 'PPRs inner'!$A$2:$A$108, 0), MATCH('השוואת פקטורים'!L$6, טבלה2[[#Headers],[SPPR_1986]:[SPPR_symbolic_full_import_as_DC]], 0))
)</f>
        <v>12.763062982983806</v>
      </c>
      <c r="N17" s="9">
        <f>IF($B$4="סהכ",
INDEX(טבלה1[[SPPR_1986]:[SPPR_symbolic_full_import_as_DC]], MATCH('השוואת פקטורים'!$B17, 'PPRs all'!$A$2:$A$108, 0), MATCH('השוואת פקטורים'!N$6, טבלה1[[#Headers],[SPPR_1986]:[SPPR_symbolic_full_import_as_DC]], 0)) / INDEX(טבלה1[[SPPR_1986]:[SPPR_symbolic_full_import_as_DC]], MATCH('השוואת פקטורים'!$B17, 'PPRs all'!$A$2:$A$108, 0), MATCH('השוואת פקטורים'!M$6, טבלה1[[#Headers],[SPPR_1986]:[SPPR_symbolic_full_import_as_DC]], 0)),
INDEX(טבלה2[[SPPR_1986]:[SPPR_symbolic_full_import_as_DC]], MATCH('השוואת פקטורים'!$B17, 'PPRs inner'!$A$2:$A$108, 0), MATCH('השוואת פקטורים'!N$6, טבלה2[[#Headers],[SPPR_1986]:[SPPR_symbolic_full_import_as_DC]], 0)) / INDEX(טבלה2[[SPPR_1986]:[SPPR_symbolic_full_import_as_DC]], MATCH('השוואת פקטורים'!$B17, 'PPRs inner'!$A$2:$A$108, 0), MATCH('השוואת פקטורים'!M$6, טבלה2[[#Headers],[SPPR_1986]:[SPPR_symbolic_full_import_as_DC]], 0))
)</f>
        <v>0.86278711399867547</v>
      </c>
      <c r="O17" s="9">
        <f>IF($B$4="סהכ",
INDEX(טבלה1[[SPPR_1986]:[SPPR_symbolic_full_import_as_DC]], MATCH('השוואת פקטורים'!$B17, 'PPRs all'!$A$2:$A$108, 0), MATCH('השוואת פקטורים'!O$6, טבלה1[[#Headers],[SPPR_1986]:[SPPR_symbolic_full_import_as_DC]], 0)) / INDEX(טבלה1[[SPPR_1986]:[SPPR_symbolic_full_import_as_DC]], MATCH('השוואת פקטורים'!$B17, 'PPRs all'!$A$2:$A$108, 0), MATCH('השוואת פקטורים'!N$6, טבלה1[[#Headers],[SPPR_1986]:[SPPR_symbolic_full_import_as_DC]], 0)),
INDEX(טבלה2[[SPPR_1986]:[SPPR_symbolic_full_import_as_DC]], MATCH('השוואת פקטורים'!$B17, 'PPRs inner'!$A$2:$A$108, 0), MATCH('השוואת פקטורים'!O$6, טבלה2[[#Headers],[SPPR_1986]:[SPPR_symbolic_full_import_as_DC]], 0)) / INDEX(טבלה2[[SPPR_1986]:[SPPR_symbolic_full_import_as_DC]], MATCH('השוואת פקטורים'!$B17, 'PPRs inner'!$A$2:$A$108, 0), MATCH('השוואת פקטורים'!N$6, טבלה2[[#Headers],[SPPR_1986]:[SPPR_symbolic_full_import_as_DC]], 0))
)</f>
        <v>1.0000000000000053</v>
      </c>
      <c r="P17" s="9">
        <f>IF($B$4="סהכ",
INDEX(טבלה1[[SPPR_1986]:[SPPR_symbolic_full_import_as_DC]], MATCH('השוואת פקטורים'!$B17, 'PPRs all'!$A$2:$A$108, 0), MATCH('השוואת פקטורים'!P$6, טבלה1[[#Headers],[SPPR_1986]:[SPPR_symbolic_full_import_as_DC]], 0)) / INDEX(טבלה1[[SPPR_1986]:[SPPR_symbolic_full_import_as_DC]], MATCH('השוואת פקטורים'!$B17, 'PPRs all'!$A$2:$A$108, 0), MATCH('השוואת פקטורים'!O$6, טבלה1[[#Headers],[SPPR_1986]:[SPPR_symbolic_full_import_as_DC]], 0)),
INDEX(טבלה2[[SPPR_1986]:[SPPR_symbolic_full_import_as_DC]], MATCH('השוואת פקטורים'!$B17, 'PPRs inner'!$A$2:$A$108, 0), MATCH('השוואת פקטורים'!P$6, טבלה2[[#Headers],[SPPR_1986]:[SPPR_symbolic_full_import_as_DC]], 0)) / INDEX(טבלה2[[SPPR_1986]:[SPPR_symbolic_full_import_as_DC]], MATCH('השוואת פקטורים'!$B17, 'PPRs inner'!$A$2:$A$108, 0), MATCH('השוואת פקטורים'!O$6, טבלה2[[#Headers],[SPPR_1986]:[SPPR_symbolic_full_import_as_DC]], 0))
)</f>
        <v>0.23522919850245097</v>
      </c>
      <c r="Q17" s="9">
        <f>IF($B$4="סהכ",
INDEX(טבלה1[[SPPR_1986]:[SPPR_symbolic_full_import_as_DC]], MATCH('השוואת פקטורים'!$B17, 'PPRs all'!$A$2:$A$108, 0), MATCH('השוואת פקטורים'!Q$6, טבלה1[[#Headers],[SPPR_1986]:[SPPR_symbolic_full_import_as_DC]], 0)) / INDEX(טבלה1[[SPPR_1986]:[SPPR_symbolic_full_import_as_DC]], MATCH('השוואת פקטורים'!$B17, 'PPRs all'!$A$2:$A$108, 0), MATCH('השוואת פקטורים'!P$6, טבלה1[[#Headers],[SPPR_1986]:[SPPR_symbolic_full_import_as_DC]], 0)),
INDEX(טבלה2[[SPPR_1986]:[SPPR_symbolic_full_import_as_DC]], MATCH('השוואת פקטורים'!$B17, 'PPRs inner'!$A$2:$A$108, 0), MATCH('השוואת פקטורים'!Q$6, טבלה2[[#Headers],[SPPR_1986]:[SPPR_symbolic_full_import_as_DC]], 0)) / INDEX(טבלה2[[SPPR_1986]:[SPPR_symbolic_full_import_as_DC]], MATCH('השוואת פקטורים'!$B17, 'PPRs inner'!$A$2:$A$108, 0), MATCH('השוואת פקטורים'!P$6, טבלה2[[#Headers],[SPPR_1986]:[SPPR_symbolic_full_import_as_DC]], 0))
)</f>
        <v>1.0000000000000011</v>
      </c>
      <c r="R17" s="9">
        <f>IF($B$4="סהכ",
INDEX(טבלה1[[SPPR_1986]:[SPPR_symbolic_full_import_as_DC]], MATCH('השוואת פקטורים'!$B17, 'PPRs all'!$A$2:$A$108, 0), MATCH('השוואת פקטורים'!R$6, טבלה1[[#Headers],[SPPR_1986]:[SPPR_symbolic_full_import_as_DC]], 0)) / INDEX(טבלה1[[SPPR_1986]:[SPPR_symbolic_full_import_as_DC]], MATCH('השוואת פקטורים'!$B17, 'PPRs all'!$A$2:$A$108, 0), MATCH('השוואת פקטורים'!Q$6, טבלה1[[#Headers],[SPPR_1986]:[SPPR_symbolic_full_import_as_DC]], 0)),
INDEX(טבלה2[[SPPR_1986]:[SPPR_symbolic_full_import_as_DC]], MATCH('השוואת פקטורים'!$B17, 'PPRs inner'!$A$2:$A$108, 0), MATCH('השוואת פקטורים'!R$6, טבלה2[[#Headers],[SPPR_1986]:[SPPR_symbolic_full_import_as_DC]], 0)) / INDEX(טבלה2[[SPPR_1986]:[SPPR_symbolic_full_import_as_DC]], MATCH('השוואת פקטורים'!$B17, 'PPRs inner'!$A$2:$A$108, 0), MATCH('השוואת פקטורים'!Q$6, טבלה2[[#Headers],[SPPR_1986]:[SPPR_symbolic_full_import_as_DC]], 0))
)</f>
        <v>1</v>
      </c>
      <c r="S17" s="9">
        <f>IF($B$4="סהכ",
INDEX(טבלה1[[SPPR_1986]:[SPPR_symbolic_full_import_as_DC]], MATCH('השוואת פקטורים'!$B17, 'PPRs all'!$A$2:$A$108, 0), MATCH('השוואת פקטורים'!S$6, טבלה1[[#Headers],[SPPR_1986]:[SPPR_symbolic_full_import_as_DC]], 0)) / INDEX(טבלה1[[SPPR_1986]:[SPPR_symbolic_full_import_as_DC]], MATCH('השוואת פקטורים'!$B17, 'PPRs all'!$A$2:$A$108, 0), MATCH('השוואת פקטורים'!R$6, טבלה1[[#Headers],[SPPR_1986]:[SPPR_symbolic_full_import_as_DC]], 0)),
INDEX(טבלה2[[SPPR_1986]:[SPPR_symbolic_full_import_as_DC]], MATCH('השוואת פקטורים'!$B17, 'PPRs inner'!$A$2:$A$108, 0), MATCH('השוואת פקטורים'!S$6, טבלה2[[#Headers],[SPPR_1986]:[SPPR_symbolic_full_import_as_DC]], 0)) / INDEX(טבלה2[[SPPR_1986]:[SPPR_symbolic_full_import_as_DC]], MATCH('השוואת פקטורים'!$B17, 'PPRs inner'!$A$2:$A$108, 0), MATCH('השוואת פקטורים'!R$6, טבלה2[[#Headers],[SPPR_1986]:[SPPR_symbolic_full_import_as_DC]], 0))
)</f>
        <v>1</v>
      </c>
      <c r="T17" s="9">
        <f>IF($B$4="סהכ",
INDEX(טבלה1[[SPPR_1986]:[SPPR_symbolic_full_import_as_DC]], MATCH('השוואת פקטורים'!$B17, 'PPRs all'!$A$2:$A$108, 0), MATCH('השוואת פקטורים'!T$6, טבלה1[[#Headers],[SPPR_1986]:[SPPR_symbolic_full_import_as_DC]], 0)) / INDEX(טבלה1[[SPPR_1986]:[SPPR_symbolic_full_import_as_DC]], MATCH('השוואת פקטורים'!$B17, 'PPRs all'!$A$2:$A$108, 0), MATCH('השוואת פקטורים'!S$6, טבלה1[[#Headers],[SPPR_1986]:[SPPR_symbolic_full_import_as_DC]], 0)),
INDEX(טבלה2[[SPPR_1986]:[SPPR_symbolic_full_import_as_DC]], MATCH('השוואת פקטורים'!$B17, 'PPRs inner'!$A$2:$A$108, 0), MATCH('השוואת פקטורים'!T$6, טבלה2[[#Headers],[SPPR_1986]:[SPPR_symbolic_full_import_as_DC]], 0)) / INDEX(טבלה2[[SPPR_1986]:[SPPR_symbolic_full_import_as_DC]], MATCH('השוואת פקטורים'!$B17, 'PPRs inner'!$A$2:$A$108, 0), MATCH('השוואת פקטורים'!S$6, טבלה2[[#Headers],[SPPR_1986]:[SPPR_symbolic_full_import_as_DC]], 0))
)</f>
        <v>1</v>
      </c>
      <c r="U17" s="9">
        <f>IF($B$4="סהכ",
INDEX(טבלה1[[SPPR_1986]:[SPPR_symbolic_full_import_as_DC]], MATCH('השוואת פקטורים'!$B17, 'PPRs all'!$A$2:$A$108, 0), MATCH('השוואת פקטורים'!U$6, טבלה1[[#Headers],[SPPR_1986]:[SPPR_symbolic_full_import_as_DC]], 0)) / INDEX(טבלה1[[SPPR_1986]:[SPPR_symbolic_full_import_as_DC]], MATCH('השוואת פקטורים'!$B17, 'PPRs all'!$A$2:$A$108, 0), MATCH('השוואת פקטורים'!T$6, טבלה1[[#Headers],[SPPR_1986]:[SPPR_symbolic_full_import_as_DC]], 0)),
INDEX(טבלה2[[SPPR_1986]:[SPPR_symbolic_full_import_as_DC]], MATCH('השוואת פקטורים'!$B17, 'PPRs inner'!$A$2:$A$108, 0), MATCH('השוואת פקטורים'!U$6, טבלה2[[#Headers],[SPPR_1986]:[SPPR_symbolic_full_import_as_DC]], 0)) / INDEX(טבלה2[[SPPR_1986]:[SPPR_symbolic_full_import_as_DC]], MATCH('השוואת פקטורים'!$B17, 'PPRs inner'!$A$2:$A$108, 0), MATCH('השוואת פקטורים'!T$6, טבלה2[[#Headers],[SPPR_1986]:[SPPR_symbolic_full_import_as_DC]], 0))
)</f>
        <v>0.999999999999999</v>
      </c>
      <c r="V17" s="9"/>
      <c r="W17" s="9"/>
      <c r="X17" s="14"/>
      <c r="Y17" s="14"/>
      <c r="Z17" s="15">
        <f t="shared" si="2"/>
        <v>2.7201019607702897</v>
      </c>
    </row>
    <row r="18" spans="2:26" x14ac:dyDescent="0.3">
      <c r="B18" s="6" t="s">
        <v>32</v>
      </c>
      <c r="C18" s="12" t="b">
        <v>1</v>
      </c>
      <c r="D18" s="12" t="b">
        <v>1</v>
      </c>
      <c r="E18" s="12" t="b">
        <v>1</v>
      </c>
      <c r="F18" s="12" t="b">
        <f t="shared" si="1"/>
        <v>1</v>
      </c>
      <c r="G18" s="7" t="b">
        <f>ABS(INDEX(טבלה5[[SPPR_1986]:[SPPR_symbolic_full_import_as_DC]],MATCH('השוואת פקטורים'!$B18,טבלה5[עמודה1],0),MATCH($C$4,טבלה5[[#Headers],[SPPR_1986]:[SPPR_symbolic_full_import_as_DC]],0))) &lt; 5</f>
        <v>1</v>
      </c>
      <c r="H18" s="7" t="b">
        <f>INDEX(טבלה3[[SPPR_1986]:[SPPR_symbolic_full_import_as_DC]],MATCH('השוואת פקטורים'!$B18,טבלה3[עמודה1],0),MATCH($C$4,טבלה3[[#Headers],[SPPR_1986]:[SPPR_symbolic_full_import_as_DC]],0))</f>
        <v>1</v>
      </c>
      <c r="I18" s="7" t="b">
        <f t="shared" si="0"/>
        <v>1</v>
      </c>
      <c r="J18" s="13"/>
      <c r="K18" s="9">
        <f>IF($B$4="סהכ",
INDEX(טבלה1[[SPPR_1986]:[SPPR_symbolic_full_import_as_DC]], MATCH('השוואת פקטורים'!$B18, 'PPRs all'!$A$2:$A$108, 0), MATCH('השוואת פקטורים'!K$6, טבלה1[[#Headers],[SPPR_1986]:[SPPR_symbolic_full_import_as_DC]], 0)) / INDEX(טבלה1[[SPPR_1986]:[SPPR_symbolic_full_import_as_DC]], MATCH('השוואת פקטורים'!$B18, 'PPRs all'!$A$2:$A$108, 0), MATCH('השוואת פקטורים'!J$6, טבלה1[[#Headers],[SPPR_1986]:[SPPR_symbolic_full_import_as_DC]], 0)),
INDEX(טבלה2[[SPPR_1986]:[SPPR_symbolic_full_import_as_DC]], MATCH('השוואת פקטורים'!$B18, 'PPRs inner'!$A$2:$A$108, 0), MATCH('השוואת פקטורים'!K$6, טבלה2[[#Headers],[SPPR_1986]:[SPPR_symbolic_full_import_as_DC]], 0)) / INDEX(טבלה2[[SPPR_1986]:[SPPR_symbolic_full_import_as_DC]], MATCH('השוואת פקטורים'!$B18, 'PPRs inner'!$A$2:$A$108, 0), MATCH('השוואת פקטורים'!J$6, טבלה2[[#Headers],[SPPR_1986]:[SPPR_symbolic_full_import_as_DC]], 0))
)</f>
        <v>0.25988425031470092</v>
      </c>
      <c r="L18" s="9">
        <f>IF($B$4="סהכ",
INDEX(טבלה1[[SPPR_1986]:[SPPR_symbolic_full_import_as_DC]], MATCH('השוואת פקטורים'!$B18, 'PPRs all'!$A$2:$A$108, 0), MATCH('השוואת פקטורים'!L$6, טבלה1[[#Headers],[SPPR_1986]:[SPPR_symbolic_full_import_as_DC]], 0)) / INDEX(טבלה1[[SPPR_1986]:[SPPR_symbolic_full_import_as_DC]], MATCH('השוואת פקטורים'!$B18, 'PPRs all'!$A$2:$A$108, 0), MATCH('השוואת פקטורים'!K$6, טבלה1[[#Headers],[SPPR_1986]:[SPPR_symbolic_full_import_as_DC]], 0)),
INDEX(טבלה2[[SPPR_1986]:[SPPR_symbolic_full_import_as_DC]], MATCH('השוואת פקטורים'!$B18, 'PPRs inner'!$A$2:$A$108, 0), MATCH('השוואת פקטורים'!L$6, טבלה2[[#Headers],[SPPR_1986]:[SPPR_symbolic_full_import_as_DC]], 0)) / INDEX(טבלה2[[SPPR_1986]:[SPPR_symbolic_full_import_as_DC]], MATCH('השוואת פקטורים'!$B18, 'PPRs inner'!$A$2:$A$108, 0), MATCH('השוואת פקטורים'!K$6, טבלה2[[#Headers],[SPPR_1986]:[SPPR_symbolic_full_import_as_DC]], 0))
)</f>
        <v>2.8355115219772014</v>
      </c>
      <c r="M18" s="9">
        <f>IF($B$4="סהכ",
INDEX(טבלה1[[SPPR_1986]:[SPPR_symbolic_full_import_as_DC]], MATCH('השוואת פקטורים'!$B18, 'PPRs all'!$A$2:$A$108, 0), MATCH('השוואת פקטורים'!M$6, טבלה1[[#Headers],[SPPR_1986]:[SPPR_symbolic_full_import_as_DC]], 0)) / INDEX(טבלה1[[SPPR_1986]:[SPPR_symbolic_full_import_as_DC]], MATCH('השוואת פקטורים'!$B18, 'PPRs all'!$A$2:$A$108, 0), MATCH('השוואת פקטורים'!L$6, טבלה1[[#Headers],[SPPR_1986]:[SPPR_symbolic_full_import_as_DC]], 0)),
INDEX(טבלה2[[SPPR_1986]:[SPPR_symbolic_full_import_as_DC]], MATCH('השוואת פקטורים'!$B18, 'PPRs inner'!$A$2:$A$108, 0), MATCH('השוואת פקטורים'!M$6, טבלה2[[#Headers],[SPPR_1986]:[SPPR_symbolic_full_import_as_DC]], 0)) / INDEX(טבלה2[[SPPR_1986]:[SPPR_symbolic_full_import_as_DC]], MATCH('השוואת פקטורים'!$B18, 'PPRs inner'!$A$2:$A$108, 0), MATCH('השוואת פקטורים'!L$6, טבלה2[[#Headers],[SPPR_1986]:[SPPR_symbolic_full_import_as_DC]], 0))
)</f>
        <v>95.666116089472538</v>
      </c>
      <c r="N18" s="9">
        <f>IF($B$4="סהכ",
INDEX(טבלה1[[SPPR_1986]:[SPPR_symbolic_full_import_as_DC]], MATCH('השוואת פקטורים'!$B18, 'PPRs all'!$A$2:$A$108, 0), MATCH('השוואת פקטורים'!N$6, טבלה1[[#Headers],[SPPR_1986]:[SPPR_symbolic_full_import_as_DC]], 0)) / INDEX(טבלה1[[SPPR_1986]:[SPPR_symbolic_full_import_as_DC]], MATCH('השוואת פקטורים'!$B18, 'PPRs all'!$A$2:$A$108, 0), MATCH('השוואת פקטורים'!M$6, טבלה1[[#Headers],[SPPR_1986]:[SPPR_symbolic_full_import_as_DC]], 0)),
INDEX(טבלה2[[SPPR_1986]:[SPPR_symbolic_full_import_as_DC]], MATCH('השוואת פקטורים'!$B18, 'PPRs inner'!$A$2:$A$108, 0), MATCH('השוואת פקטורים'!N$6, טבלה2[[#Headers],[SPPR_1986]:[SPPR_symbolic_full_import_as_DC]], 0)) / INDEX(טבלה2[[SPPR_1986]:[SPPR_symbolic_full_import_as_DC]], MATCH('השוואת פקטורים'!$B18, 'PPRs inner'!$A$2:$A$108, 0), MATCH('השוואת פקטורים'!M$6, טבלה2[[#Headers],[SPPR_1986]:[SPPR_symbolic_full_import_as_DC]], 0))
)</f>
        <v>3.3060284759532528</v>
      </c>
      <c r="O18" s="9">
        <f>IF($B$4="סהכ",
INDEX(טבלה1[[SPPR_1986]:[SPPR_symbolic_full_import_as_DC]], MATCH('השוואת פקטורים'!$B18, 'PPRs all'!$A$2:$A$108, 0), MATCH('השוואת פקטורים'!O$6, טבלה1[[#Headers],[SPPR_1986]:[SPPR_symbolic_full_import_as_DC]], 0)) / INDEX(טבלה1[[SPPR_1986]:[SPPR_symbolic_full_import_as_DC]], MATCH('השוואת פקטורים'!$B18, 'PPRs all'!$A$2:$A$108, 0), MATCH('השוואת פקטורים'!N$6, טבלה1[[#Headers],[SPPR_1986]:[SPPR_symbolic_full_import_as_DC]], 0)),
INDEX(טבלה2[[SPPR_1986]:[SPPR_symbolic_full_import_as_DC]], MATCH('השוואת פקטורים'!$B18, 'PPRs inner'!$A$2:$A$108, 0), MATCH('השוואת פקטורים'!O$6, טבלה2[[#Headers],[SPPR_1986]:[SPPR_symbolic_full_import_as_DC]], 0)) / INDEX(טבלה2[[SPPR_1986]:[SPPR_symbolic_full_import_as_DC]], MATCH('השוואת פקטורים'!$B18, 'PPRs inner'!$A$2:$A$108, 0), MATCH('השוואת פקטורים'!N$6, טבלה2[[#Headers],[SPPR_1986]:[SPPR_symbolic_full_import_as_DC]], 0))
)</f>
        <v>1.0000000000000004</v>
      </c>
      <c r="P18" s="9">
        <f>IF($B$4="סהכ",
INDEX(טבלה1[[SPPR_1986]:[SPPR_symbolic_full_import_as_DC]], MATCH('השוואת פקטורים'!$B18, 'PPRs all'!$A$2:$A$108, 0), MATCH('השוואת פקטורים'!P$6, טבלה1[[#Headers],[SPPR_1986]:[SPPR_symbolic_full_import_as_DC]], 0)) / INDEX(טבלה1[[SPPR_1986]:[SPPR_symbolic_full_import_as_DC]], MATCH('השוואת פקטורים'!$B18, 'PPRs all'!$A$2:$A$108, 0), MATCH('השוואת פקטורים'!O$6, טבלה1[[#Headers],[SPPR_1986]:[SPPR_symbolic_full_import_as_DC]], 0)),
INDEX(טבלה2[[SPPR_1986]:[SPPR_symbolic_full_import_as_DC]], MATCH('השוואת פקטורים'!$B18, 'PPRs inner'!$A$2:$A$108, 0), MATCH('השוואת פקטורים'!P$6, טבלה2[[#Headers],[SPPR_1986]:[SPPR_symbolic_full_import_as_DC]], 0)) / INDEX(טבלה2[[SPPR_1986]:[SPPR_symbolic_full_import_as_DC]], MATCH('השוואת פקטורים'!$B18, 'PPRs inner'!$A$2:$A$108, 0), MATCH('השוואת פקטורים'!O$6, טבלה2[[#Headers],[SPPR_1986]:[SPPR_symbolic_full_import_as_DC]], 0))
)</f>
        <v>9.9508637938001271E-2</v>
      </c>
      <c r="Q18" s="9">
        <f>IF($B$4="סהכ",
INDEX(טבלה1[[SPPR_1986]:[SPPR_symbolic_full_import_as_DC]], MATCH('השוואת פקטורים'!$B18, 'PPRs all'!$A$2:$A$108, 0), MATCH('השוואת פקטורים'!Q$6, טבלה1[[#Headers],[SPPR_1986]:[SPPR_symbolic_full_import_as_DC]], 0)) / INDEX(טבלה1[[SPPR_1986]:[SPPR_symbolic_full_import_as_DC]], MATCH('השוואת פקטורים'!$B18, 'PPRs all'!$A$2:$A$108, 0), MATCH('השוואת פקטורים'!P$6, טבלה1[[#Headers],[SPPR_1986]:[SPPR_symbolic_full_import_as_DC]], 0)),
INDEX(טבלה2[[SPPR_1986]:[SPPR_symbolic_full_import_as_DC]], MATCH('השוואת פקטורים'!$B18, 'PPRs inner'!$A$2:$A$108, 0), MATCH('השוואת פקטורים'!Q$6, טבלה2[[#Headers],[SPPR_1986]:[SPPR_symbolic_full_import_as_DC]], 0)) / INDEX(טבלה2[[SPPR_1986]:[SPPR_symbolic_full_import_as_DC]], MATCH('השוואת פקטורים'!$B18, 'PPRs inner'!$A$2:$A$108, 0), MATCH('השוואת פקטורים'!P$6, טבלה2[[#Headers],[SPPR_1986]:[SPPR_symbolic_full_import_as_DC]], 0))
)</f>
        <v>1.0000000000000033</v>
      </c>
      <c r="R18" s="9">
        <f>IF($B$4="סהכ",
INDEX(טבלה1[[SPPR_1986]:[SPPR_symbolic_full_import_as_DC]], MATCH('השוואת פקטורים'!$B18, 'PPRs all'!$A$2:$A$108, 0), MATCH('השוואת פקטורים'!R$6, טבלה1[[#Headers],[SPPR_1986]:[SPPR_symbolic_full_import_as_DC]], 0)) / INDEX(טבלה1[[SPPR_1986]:[SPPR_symbolic_full_import_as_DC]], MATCH('השוואת פקטורים'!$B18, 'PPRs all'!$A$2:$A$108, 0), MATCH('השוואת פקטורים'!Q$6, טבלה1[[#Headers],[SPPR_1986]:[SPPR_symbolic_full_import_as_DC]], 0)),
INDEX(טבלה2[[SPPR_1986]:[SPPR_symbolic_full_import_as_DC]], MATCH('השוואת פקטורים'!$B18, 'PPRs inner'!$A$2:$A$108, 0), MATCH('השוואת פקטורים'!R$6, טבלה2[[#Headers],[SPPR_1986]:[SPPR_symbolic_full_import_as_DC]], 0)) / INDEX(טבלה2[[SPPR_1986]:[SPPR_symbolic_full_import_as_DC]], MATCH('השוואת פקטורים'!$B18, 'PPRs inner'!$A$2:$A$108, 0), MATCH('השוואת פקטורים'!Q$6, טבלה2[[#Headers],[SPPR_1986]:[SPPR_symbolic_full_import_as_DC]], 0))
)</f>
        <v>1</v>
      </c>
      <c r="S18" s="9">
        <f>IF($B$4="סהכ",
INDEX(טבלה1[[SPPR_1986]:[SPPR_symbolic_full_import_as_DC]], MATCH('השוואת פקטורים'!$B18, 'PPRs all'!$A$2:$A$108, 0), MATCH('השוואת פקטורים'!S$6, טבלה1[[#Headers],[SPPR_1986]:[SPPR_symbolic_full_import_as_DC]], 0)) / INDEX(טבלה1[[SPPR_1986]:[SPPR_symbolic_full_import_as_DC]], MATCH('השוואת פקטורים'!$B18, 'PPRs all'!$A$2:$A$108, 0), MATCH('השוואת פקטורים'!R$6, טבלה1[[#Headers],[SPPR_1986]:[SPPR_symbolic_full_import_as_DC]], 0)),
INDEX(טבלה2[[SPPR_1986]:[SPPR_symbolic_full_import_as_DC]], MATCH('השוואת פקטורים'!$B18, 'PPRs inner'!$A$2:$A$108, 0), MATCH('השוואת פקטורים'!S$6, טבלה2[[#Headers],[SPPR_1986]:[SPPR_symbolic_full_import_as_DC]], 0)) / INDEX(טבלה2[[SPPR_1986]:[SPPR_symbolic_full_import_as_DC]], MATCH('השוואת פקטורים'!$B18, 'PPRs inner'!$A$2:$A$108, 0), MATCH('השוואת פקטורים'!R$6, טבלה2[[#Headers],[SPPR_1986]:[SPPR_symbolic_full_import_as_DC]], 0))
)</f>
        <v>1</v>
      </c>
      <c r="T18" s="9">
        <f>IF($B$4="סהכ",
INDEX(טבלה1[[SPPR_1986]:[SPPR_symbolic_full_import_as_DC]], MATCH('השוואת פקטורים'!$B18, 'PPRs all'!$A$2:$A$108, 0), MATCH('השוואת פקטורים'!T$6, טבלה1[[#Headers],[SPPR_1986]:[SPPR_symbolic_full_import_as_DC]], 0)) / INDEX(טבלה1[[SPPR_1986]:[SPPR_symbolic_full_import_as_DC]], MATCH('השוואת פקטורים'!$B18, 'PPRs all'!$A$2:$A$108, 0), MATCH('השוואת פקטורים'!S$6, טבלה1[[#Headers],[SPPR_1986]:[SPPR_symbolic_full_import_as_DC]], 0)),
INDEX(טבלה2[[SPPR_1986]:[SPPR_symbolic_full_import_as_DC]], MATCH('השוואת פקטורים'!$B18, 'PPRs inner'!$A$2:$A$108, 0), MATCH('השוואת פקטורים'!T$6, טבלה2[[#Headers],[SPPR_1986]:[SPPR_symbolic_full_import_as_DC]], 0)) / INDEX(טבלה2[[SPPR_1986]:[SPPR_symbolic_full_import_as_DC]], MATCH('השוואת פקטורים'!$B18, 'PPRs inner'!$A$2:$A$108, 0), MATCH('השוואת פקטורים'!S$6, טבלה2[[#Headers],[SPPR_1986]:[SPPR_symbolic_full_import_as_DC]], 0))
)</f>
        <v>1</v>
      </c>
      <c r="U18" s="9">
        <f>IF($B$4="סהכ",
INDEX(טבלה1[[SPPR_1986]:[SPPR_symbolic_full_import_as_DC]], MATCH('השוואת פקטורים'!$B18, 'PPRs all'!$A$2:$A$108, 0), MATCH('השוואת פקטורים'!U$6, טבלה1[[#Headers],[SPPR_1986]:[SPPR_symbolic_full_import_as_DC]], 0)) / INDEX(טבלה1[[SPPR_1986]:[SPPR_symbolic_full_import_as_DC]], MATCH('השוואת פקטורים'!$B18, 'PPRs all'!$A$2:$A$108, 0), MATCH('השוואת פקטורים'!T$6, טבלה1[[#Headers],[SPPR_1986]:[SPPR_symbolic_full_import_as_DC]], 0)),
INDEX(טבלה2[[SPPR_1986]:[SPPR_symbolic_full_import_as_DC]], MATCH('השוואת פקטורים'!$B18, 'PPRs inner'!$A$2:$A$108, 0), MATCH('השוואת פקטורים'!U$6, טבלה2[[#Headers],[SPPR_1986]:[SPPR_symbolic_full_import_as_DC]], 0)) / INDEX(טבלה2[[SPPR_1986]:[SPPR_symbolic_full_import_as_DC]], MATCH('השוואת פקטורים'!$B18, 'PPRs inner'!$A$2:$A$108, 0), MATCH('השוואת פקטורים'!T$6, טבלה2[[#Headers],[SPPR_1986]:[SPPR_symbolic_full_import_as_DC]], 0))
)</f>
        <v>0.99999999999999656</v>
      </c>
      <c r="V18" s="9"/>
      <c r="W18" s="9"/>
      <c r="X18" s="14"/>
      <c r="Y18" s="14"/>
      <c r="Z18" s="15">
        <f t="shared" si="2"/>
        <v>23.191929999187106</v>
      </c>
    </row>
    <row r="19" spans="2:26" x14ac:dyDescent="0.3">
      <c r="B19" s="6" t="s">
        <v>33</v>
      </c>
      <c r="C19" s="12" t="b">
        <v>1</v>
      </c>
      <c r="D19" s="12" t="b">
        <v>1</v>
      </c>
      <c r="E19" s="12" t="b">
        <v>1</v>
      </c>
      <c r="F19" s="12" t="b">
        <f t="shared" si="1"/>
        <v>1</v>
      </c>
      <c r="G19" s="7" t="b">
        <f>ABS(INDEX(טבלה5[[SPPR_1986]:[SPPR_symbolic_full_import_as_DC]],MATCH('השוואת פקטורים'!$B19,טבלה5[עמודה1],0),MATCH($C$4,טבלה5[[#Headers],[SPPR_1986]:[SPPR_symbolic_full_import_as_DC]],0))) &lt; 5</f>
        <v>1</v>
      </c>
      <c r="H19" s="7" t="b">
        <f>INDEX(טבלה3[[SPPR_1986]:[SPPR_symbolic_full_import_as_DC]],MATCH('השוואת פקטורים'!$B19,טבלה3[עמודה1],0),MATCH($C$4,טבלה3[[#Headers],[SPPR_1986]:[SPPR_symbolic_full_import_as_DC]],0))</f>
        <v>1</v>
      </c>
      <c r="I19" s="7" t="b">
        <f t="shared" si="0"/>
        <v>1</v>
      </c>
      <c r="J19" s="13"/>
      <c r="K19" s="9">
        <f>IF($B$4="סהכ",
INDEX(טבלה1[[SPPR_1986]:[SPPR_symbolic_full_import_as_DC]], MATCH('השוואת פקטורים'!$B19, 'PPRs all'!$A$2:$A$108, 0), MATCH('השוואת פקטורים'!K$6, טבלה1[[#Headers],[SPPR_1986]:[SPPR_symbolic_full_import_as_DC]], 0)) / INDEX(טבלה1[[SPPR_1986]:[SPPR_symbolic_full_import_as_DC]], MATCH('השוואת פקטורים'!$B19, 'PPRs all'!$A$2:$A$108, 0), MATCH('השוואת פקטורים'!J$6, טבלה1[[#Headers],[SPPR_1986]:[SPPR_symbolic_full_import_as_DC]], 0)),
INDEX(טבלה2[[SPPR_1986]:[SPPR_symbolic_full_import_as_DC]], MATCH('השוואת פקטורים'!$B19, 'PPRs inner'!$A$2:$A$108, 0), MATCH('השוואת פקטורים'!K$6, טבלה2[[#Headers],[SPPR_1986]:[SPPR_symbolic_full_import_as_DC]], 0)) / INDEX(טבלה2[[SPPR_1986]:[SPPR_symbolic_full_import_as_DC]], MATCH('השוואת פקטורים'!$B19, 'PPRs inner'!$A$2:$A$108, 0), MATCH('השוואת פקטורים'!J$6, טבלה2[[#Headers],[SPPR_1986]:[SPPR_symbolic_full_import_as_DC]], 0))
)</f>
        <v>5.5531507262988659E-2</v>
      </c>
      <c r="L19" s="9">
        <f>IF($B$4="סהכ",
INDEX(טבלה1[[SPPR_1986]:[SPPR_symbolic_full_import_as_DC]], MATCH('השוואת פקטורים'!$B19, 'PPRs all'!$A$2:$A$108, 0), MATCH('השוואת פקטורים'!L$6, טבלה1[[#Headers],[SPPR_1986]:[SPPR_symbolic_full_import_as_DC]], 0)) / INDEX(טבלה1[[SPPR_1986]:[SPPR_symbolic_full_import_as_DC]], MATCH('השוואת פקטורים'!$B19, 'PPRs all'!$A$2:$A$108, 0), MATCH('השוואת פקטורים'!K$6, טבלה1[[#Headers],[SPPR_1986]:[SPPR_symbolic_full_import_as_DC]], 0)),
INDEX(טבלה2[[SPPR_1986]:[SPPR_symbolic_full_import_as_DC]], MATCH('השוואת פקטורים'!$B19, 'PPRs inner'!$A$2:$A$108, 0), MATCH('השוואת פקטורים'!L$6, טבלה2[[#Headers],[SPPR_1986]:[SPPR_symbolic_full_import_as_DC]], 0)) / INDEX(טבלה2[[SPPR_1986]:[SPPR_symbolic_full_import_as_DC]], MATCH('השוואת פקטורים'!$B19, 'PPRs inner'!$A$2:$A$108, 0), MATCH('השוואת פקטורים'!K$6, טבלה2[[#Headers],[SPPR_1986]:[SPPR_symbolic_full_import_as_DC]], 0))
)</f>
        <v>1.7234927523972865</v>
      </c>
      <c r="M19" s="9">
        <f>IF($B$4="סהכ",
INDEX(טבלה1[[SPPR_1986]:[SPPR_symbolic_full_import_as_DC]], MATCH('השוואת פקטורים'!$B19, 'PPRs all'!$A$2:$A$108, 0), MATCH('השוואת פקטורים'!M$6, טבלה1[[#Headers],[SPPR_1986]:[SPPR_symbolic_full_import_as_DC]], 0)) / INDEX(טבלה1[[SPPR_1986]:[SPPR_symbolic_full_import_as_DC]], MATCH('השוואת פקטורים'!$B19, 'PPRs all'!$A$2:$A$108, 0), MATCH('השוואת פקטורים'!L$6, טבלה1[[#Headers],[SPPR_1986]:[SPPR_symbolic_full_import_as_DC]], 0)),
INDEX(טבלה2[[SPPR_1986]:[SPPR_symbolic_full_import_as_DC]], MATCH('השוואת פקטורים'!$B19, 'PPRs inner'!$A$2:$A$108, 0), MATCH('השוואת פקטורים'!M$6, טבלה2[[#Headers],[SPPR_1986]:[SPPR_symbolic_full_import_as_DC]], 0)) / INDEX(טבלה2[[SPPR_1986]:[SPPR_symbolic_full_import_as_DC]], MATCH('השוואת פקטורים'!$B19, 'PPRs inner'!$A$2:$A$108, 0), MATCH('השוואת פקטורים'!L$6, טבלה2[[#Headers],[SPPR_1986]:[SPPR_symbolic_full_import_as_DC]], 0))
)</f>
        <v>302.98892637061249</v>
      </c>
      <c r="N19" s="9">
        <f>IF($B$4="סהכ",
INDEX(טבלה1[[SPPR_1986]:[SPPR_symbolic_full_import_as_DC]], MATCH('השוואת פקטורים'!$B19, 'PPRs all'!$A$2:$A$108, 0), MATCH('השוואת פקטורים'!N$6, טבלה1[[#Headers],[SPPR_1986]:[SPPR_symbolic_full_import_as_DC]], 0)) / INDEX(טבלה1[[SPPR_1986]:[SPPR_symbolic_full_import_as_DC]], MATCH('השוואת פקטורים'!$B19, 'PPRs all'!$A$2:$A$108, 0), MATCH('השוואת פקטורים'!M$6, טבלה1[[#Headers],[SPPR_1986]:[SPPR_symbolic_full_import_as_DC]], 0)),
INDEX(טבלה2[[SPPR_1986]:[SPPR_symbolic_full_import_as_DC]], MATCH('השוואת פקטורים'!$B19, 'PPRs inner'!$A$2:$A$108, 0), MATCH('השוואת פקטורים'!N$6, טבלה2[[#Headers],[SPPR_1986]:[SPPR_symbolic_full_import_as_DC]], 0)) / INDEX(טבלה2[[SPPR_1986]:[SPPR_symbolic_full_import_as_DC]], MATCH('השוואת פקטורים'!$B19, 'PPRs inner'!$A$2:$A$108, 0), MATCH('השוואת פקטורים'!M$6, טבלה2[[#Headers],[SPPR_1986]:[SPPR_symbolic_full_import_as_DC]], 0))
)</f>
        <v>2.0858029876140027</v>
      </c>
      <c r="O19" s="9">
        <f>IF($B$4="סהכ",
INDEX(טבלה1[[SPPR_1986]:[SPPR_symbolic_full_import_as_DC]], MATCH('השוואת פקטורים'!$B19, 'PPRs all'!$A$2:$A$108, 0), MATCH('השוואת פקטורים'!O$6, טבלה1[[#Headers],[SPPR_1986]:[SPPR_symbolic_full_import_as_DC]], 0)) / INDEX(טבלה1[[SPPR_1986]:[SPPR_symbolic_full_import_as_DC]], MATCH('השוואת פקטורים'!$B19, 'PPRs all'!$A$2:$A$108, 0), MATCH('השוואת פקטורים'!N$6, טבלה1[[#Headers],[SPPR_1986]:[SPPR_symbolic_full_import_as_DC]], 0)),
INDEX(טבלה2[[SPPR_1986]:[SPPR_symbolic_full_import_as_DC]], MATCH('השוואת פקטורים'!$B19, 'PPRs inner'!$A$2:$A$108, 0), MATCH('השוואת פקטורים'!O$6, טבלה2[[#Headers],[SPPR_1986]:[SPPR_symbolic_full_import_as_DC]], 0)) / INDEX(טבלה2[[SPPR_1986]:[SPPR_symbolic_full_import_as_DC]], MATCH('השוואת פקטורים'!$B19, 'PPRs inner'!$A$2:$A$108, 0), MATCH('השוואת פקטורים'!N$6, טבלה2[[#Headers],[SPPR_1986]:[SPPR_symbolic_full_import_as_DC]], 0))
)</f>
        <v>1</v>
      </c>
      <c r="P19" s="9">
        <f>IF($B$4="סהכ",
INDEX(טבלה1[[SPPR_1986]:[SPPR_symbolic_full_import_as_DC]], MATCH('השוואת פקטורים'!$B19, 'PPRs all'!$A$2:$A$108, 0), MATCH('השוואת פקטורים'!P$6, טבלה1[[#Headers],[SPPR_1986]:[SPPR_symbolic_full_import_as_DC]], 0)) / INDEX(טבלה1[[SPPR_1986]:[SPPR_symbolic_full_import_as_DC]], MATCH('השוואת פקטורים'!$B19, 'PPRs all'!$A$2:$A$108, 0), MATCH('השוואת פקטורים'!O$6, טבלה1[[#Headers],[SPPR_1986]:[SPPR_symbolic_full_import_as_DC]], 0)),
INDEX(טבלה2[[SPPR_1986]:[SPPR_symbolic_full_import_as_DC]], MATCH('השוואת פקטורים'!$B19, 'PPRs inner'!$A$2:$A$108, 0), MATCH('השוואת פקטורים'!P$6, טבלה2[[#Headers],[SPPR_1986]:[SPPR_symbolic_full_import_as_DC]], 0)) / INDEX(טבלה2[[SPPR_1986]:[SPPR_symbolic_full_import_as_DC]], MATCH('השוואת פקטורים'!$B19, 'PPRs inner'!$A$2:$A$108, 0), MATCH('השוואת פקטורים'!O$6, טבלה2[[#Headers],[SPPR_1986]:[SPPR_symbolic_full_import_as_DC]], 0))
)</f>
        <v>0.33348665146597573</v>
      </c>
      <c r="Q19" s="9">
        <f>IF($B$4="סהכ",
INDEX(טבלה1[[SPPR_1986]:[SPPR_symbolic_full_import_as_DC]], MATCH('השוואת פקטורים'!$B19, 'PPRs all'!$A$2:$A$108, 0), MATCH('השוואת פקטורים'!Q$6, טבלה1[[#Headers],[SPPR_1986]:[SPPR_symbolic_full_import_as_DC]], 0)) / INDEX(טבלה1[[SPPR_1986]:[SPPR_symbolic_full_import_as_DC]], MATCH('השוואת פקטורים'!$B19, 'PPRs all'!$A$2:$A$108, 0), MATCH('השוואת פקטורים'!P$6, טבלה1[[#Headers],[SPPR_1986]:[SPPR_symbolic_full_import_as_DC]], 0)),
INDEX(טבלה2[[SPPR_1986]:[SPPR_symbolic_full_import_as_DC]], MATCH('השוואת פקטורים'!$B19, 'PPRs inner'!$A$2:$A$108, 0), MATCH('השוואת פקטורים'!Q$6, טבלה2[[#Headers],[SPPR_1986]:[SPPR_symbolic_full_import_as_DC]], 0)) / INDEX(טבלה2[[SPPR_1986]:[SPPR_symbolic_full_import_as_DC]], MATCH('השוואת פקטורים'!$B19, 'PPRs inner'!$A$2:$A$108, 0), MATCH('השוואת פקטורים'!P$6, טבלה2[[#Headers],[SPPR_1986]:[SPPR_symbolic_full_import_as_DC]], 0))
)</f>
        <v>1.0000000000000053</v>
      </c>
      <c r="R19" s="9">
        <f>IF($B$4="סהכ",
INDEX(טבלה1[[SPPR_1986]:[SPPR_symbolic_full_import_as_DC]], MATCH('השוואת פקטורים'!$B19, 'PPRs all'!$A$2:$A$108, 0), MATCH('השוואת פקטורים'!R$6, טבלה1[[#Headers],[SPPR_1986]:[SPPR_symbolic_full_import_as_DC]], 0)) / INDEX(טבלה1[[SPPR_1986]:[SPPR_symbolic_full_import_as_DC]], MATCH('השוואת פקטורים'!$B19, 'PPRs all'!$A$2:$A$108, 0), MATCH('השוואת פקטורים'!Q$6, טבלה1[[#Headers],[SPPR_1986]:[SPPR_symbolic_full_import_as_DC]], 0)),
INDEX(טבלה2[[SPPR_1986]:[SPPR_symbolic_full_import_as_DC]], MATCH('השוואת פקטורים'!$B19, 'PPRs inner'!$A$2:$A$108, 0), MATCH('השוואת פקטורים'!R$6, טבלה2[[#Headers],[SPPR_1986]:[SPPR_symbolic_full_import_as_DC]], 0)) / INDEX(טבלה2[[SPPR_1986]:[SPPR_symbolic_full_import_as_DC]], MATCH('השוואת פקטורים'!$B19, 'PPRs inner'!$A$2:$A$108, 0), MATCH('השוואת פקטורים'!Q$6, טבלה2[[#Headers],[SPPR_1986]:[SPPR_symbolic_full_import_as_DC]], 0))
)</f>
        <v>1</v>
      </c>
      <c r="S19" s="9">
        <f>IF($B$4="סהכ",
INDEX(טבלה1[[SPPR_1986]:[SPPR_symbolic_full_import_as_DC]], MATCH('השוואת פקטורים'!$B19, 'PPRs all'!$A$2:$A$108, 0), MATCH('השוואת פקטורים'!S$6, טבלה1[[#Headers],[SPPR_1986]:[SPPR_symbolic_full_import_as_DC]], 0)) / INDEX(טבלה1[[SPPR_1986]:[SPPR_symbolic_full_import_as_DC]], MATCH('השוואת פקטורים'!$B19, 'PPRs all'!$A$2:$A$108, 0), MATCH('השוואת פקטורים'!R$6, טבלה1[[#Headers],[SPPR_1986]:[SPPR_symbolic_full_import_as_DC]], 0)),
INDEX(טבלה2[[SPPR_1986]:[SPPR_symbolic_full_import_as_DC]], MATCH('השוואת פקטורים'!$B19, 'PPRs inner'!$A$2:$A$108, 0), MATCH('השוואת פקטורים'!S$6, טבלה2[[#Headers],[SPPR_1986]:[SPPR_symbolic_full_import_as_DC]], 0)) / INDEX(טבלה2[[SPPR_1986]:[SPPR_symbolic_full_import_as_DC]], MATCH('השוואת פקטורים'!$B19, 'PPRs inner'!$A$2:$A$108, 0), MATCH('השוואת פקטורים'!R$6, טבלה2[[#Headers],[SPPR_1986]:[SPPR_symbolic_full_import_as_DC]], 0))
)</f>
        <v>1</v>
      </c>
      <c r="T19" s="9">
        <f>IF($B$4="סהכ",
INDEX(טבלה1[[SPPR_1986]:[SPPR_symbolic_full_import_as_DC]], MATCH('השוואת פקטורים'!$B19, 'PPRs all'!$A$2:$A$108, 0), MATCH('השוואת פקטורים'!T$6, טבלה1[[#Headers],[SPPR_1986]:[SPPR_symbolic_full_import_as_DC]], 0)) / INDEX(טבלה1[[SPPR_1986]:[SPPR_symbolic_full_import_as_DC]], MATCH('השוואת פקטורים'!$B19, 'PPRs all'!$A$2:$A$108, 0), MATCH('השוואת פקטורים'!S$6, טבלה1[[#Headers],[SPPR_1986]:[SPPR_symbolic_full_import_as_DC]], 0)),
INDEX(טבלה2[[SPPR_1986]:[SPPR_symbolic_full_import_as_DC]], MATCH('השוואת פקטורים'!$B19, 'PPRs inner'!$A$2:$A$108, 0), MATCH('השוואת פקטורים'!T$6, טבלה2[[#Headers],[SPPR_1986]:[SPPR_symbolic_full_import_as_DC]], 0)) / INDEX(טבלה2[[SPPR_1986]:[SPPR_symbolic_full_import_as_DC]], MATCH('השוואת פקטורים'!$B19, 'PPRs inner'!$A$2:$A$108, 0), MATCH('השוואת פקטורים'!S$6, טבלה2[[#Headers],[SPPR_1986]:[SPPR_symbolic_full_import_as_DC]], 0))
)</f>
        <v>1</v>
      </c>
      <c r="U19" s="9">
        <f>IF($B$4="סהכ",
INDEX(טבלה1[[SPPR_1986]:[SPPR_symbolic_full_import_as_DC]], MATCH('השוואת פקטורים'!$B19, 'PPRs all'!$A$2:$A$108, 0), MATCH('השוואת פקטורים'!U$6, טבלה1[[#Headers],[SPPR_1986]:[SPPR_symbolic_full_import_as_DC]], 0)) / INDEX(טבלה1[[SPPR_1986]:[SPPR_symbolic_full_import_as_DC]], MATCH('השוואת פקטורים'!$B19, 'PPRs all'!$A$2:$A$108, 0), MATCH('השוואת פקטורים'!T$6, טבלה1[[#Headers],[SPPR_1986]:[SPPR_symbolic_full_import_as_DC]], 0)),
INDEX(טבלה2[[SPPR_1986]:[SPPR_symbolic_full_import_as_DC]], MATCH('השוואת פקטורים'!$B19, 'PPRs inner'!$A$2:$A$108, 0), MATCH('השוואת פקטורים'!U$6, טבלה2[[#Headers],[SPPR_1986]:[SPPR_symbolic_full_import_as_DC]], 0)) / INDEX(טבלה2[[SPPR_1986]:[SPPR_symbolic_full_import_as_DC]], MATCH('השוואת פקטורים'!$B19, 'PPRs inner'!$A$2:$A$108, 0), MATCH('השוואת פקטורים'!T$6, טבלה2[[#Headers],[SPPR_1986]:[SPPR_symbolic_full_import_as_DC]], 0))
)</f>
        <v>0.99999999999999478</v>
      </c>
      <c r="V19" s="9"/>
      <c r="W19" s="9"/>
      <c r="X19" s="14"/>
      <c r="Y19" s="14"/>
      <c r="Z19" s="15">
        <f t="shared" si="2"/>
        <v>20.170999533239122</v>
      </c>
    </row>
    <row r="20" spans="2:26" x14ac:dyDescent="0.3">
      <c r="B20" s="6" t="s">
        <v>34</v>
      </c>
      <c r="C20" s="12" t="b">
        <v>1</v>
      </c>
      <c r="D20" s="12" t="b">
        <v>0</v>
      </c>
      <c r="E20" s="12" t="b">
        <v>1</v>
      </c>
      <c r="F20" s="12" t="b">
        <f t="shared" si="1"/>
        <v>0</v>
      </c>
      <c r="G20" s="7" t="b">
        <f>ABS(INDEX(טבלה5[[SPPR_1986]:[SPPR_symbolic_full_import_as_DC]],MATCH('השוואת פקטורים'!$B20,טבלה5[עמודה1],0),MATCH($C$4,טבלה5[[#Headers],[SPPR_1986]:[SPPR_symbolic_full_import_as_DC]],0))) &lt; 5</f>
        <v>1</v>
      </c>
      <c r="H20" s="7" t="b">
        <f>INDEX(טבלה3[[SPPR_1986]:[SPPR_symbolic_full_import_as_DC]],MATCH('השוואת פקטורים'!$B20,טבלה3[עמודה1],0),MATCH($C$4,טבלה3[[#Headers],[SPPR_1986]:[SPPR_symbolic_full_import_as_DC]],0))</f>
        <v>1</v>
      </c>
      <c r="I20" s="7" t="b">
        <f t="shared" si="0"/>
        <v>0</v>
      </c>
      <c r="J20" s="13"/>
      <c r="K20" s="9">
        <f>IF($B$4="סהכ",
INDEX(טבלה1[[SPPR_1986]:[SPPR_symbolic_full_import_as_DC]], MATCH('השוואת פקטורים'!$B20, 'PPRs all'!$A$2:$A$108, 0), MATCH('השוואת פקטורים'!K$6, טבלה1[[#Headers],[SPPR_1986]:[SPPR_symbolic_full_import_as_DC]], 0)) / INDEX(טבלה1[[SPPR_1986]:[SPPR_symbolic_full_import_as_DC]], MATCH('השוואת פקטורים'!$B20, 'PPRs all'!$A$2:$A$108, 0), MATCH('השוואת פקטורים'!J$6, טבלה1[[#Headers],[SPPR_1986]:[SPPR_symbolic_full_import_as_DC]], 0)),
INDEX(טבלה2[[SPPR_1986]:[SPPR_symbolic_full_import_as_DC]], MATCH('השוואת פקטורים'!$B20, 'PPRs inner'!$A$2:$A$108, 0), MATCH('השוואת פקטורים'!K$6, טבלה2[[#Headers],[SPPR_1986]:[SPPR_symbolic_full_import_as_DC]], 0)) / INDEX(טבלה2[[SPPR_1986]:[SPPR_symbolic_full_import_as_DC]], MATCH('השוואת פקטורים'!$B20, 'PPRs inner'!$A$2:$A$108, 0), MATCH('השוואת פקטורים'!J$6, טבלה2[[#Headers],[SPPR_1986]:[SPPR_symbolic_full_import_as_DC]], 0))
)</f>
        <v>3.060163954145442</v>
      </c>
      <c r="L20" s="9">
        <f>IF($B$4="סהכ",
INDEX(טבלה1[[SPPR_1986]:[SPPR_symbolic_full_import_as_DC]], MATCH('השוואת פקטורים'!$B20, 'PPRs all'!$A$2:$A$108, 0), MATCH('השוואת פקטורים'!L$6, טבלה1[[#Headers],[SPPR_1986]:[SPPR_symbolic_full_import_as_DC]], 0)) / INDEX(טבלה1[[SPPR_1986]:[SPPR_symbolic_full_import_as_DC]], MATCH('השוואת פקטורים'!$B20, 'PPRs all'!$A$2:$A$108, 0), MATCH('השוואת פקטורים'!K$6, טבלה1[[#Headers],[SPPR_1986]:[SPPR_symbolic_full_import_as_DC]], 0)),
INDEX(טבלה2[[SPPR_1986]:[SPPR_symbolic_full_import_as_DC]], MATCH('השוואת פקטורים'!$B20, 'PPRs inner'!$A$2:$A$108, 0), MATCH('השוואת פקטורים'!L$6, טבלה2[[#Headers],[SPPR_1986]:[SPPR_symbolic_full_import_as_DC]], 0)) / INDEX(טבלה2[[SPPR_1986]:[SPPR_symbolic_full_import_as_DC]], MATCH('השוואת פקטורים'!$B20, 'PPRs inner'!$A$2:$A$108, 0), MATCH('השוואת פקטורים'!K$6, טבלה2[[#Headers],[SPPR_1986]:[SPPR_symbolic_full_import_as_DC]], 0))
)</f>
        <v>6.8270092836140588</v>
      </c>
      <c r="M20" s="9">
        <f>IF($B$4="סהכ",
INDEX(טבלה1[[SPPR_1986]:[SPPR_symbolic_full_import_as_DC]], MATCH('השוואת פקטורים'!$B20, 'PPRs all'!$A$2:$A$108, 0), MATCH('השוואת פקטורים'!M$6, טבלה1[[#Headers],[SPPR_1986]:[SPPR_symbolic_full_import_as_DC]], 0)) / INDEX(טבלה1[[SPPR_1986]:[SPPR_symbolic_full_import_as_DC]], MATCH('השוואת פקטורים'!$B20, 'PPRs all'!$A$2:$A$108, 0), MATCH('השוואת פקטורים'!L$6, טבלה1[[#Headers],[SPPR_1986]:[SPPR_symbolic_full_import_as_DC]], 0)),
INDEX(טבלה2[[SPPR_1986]:[SPPR_symbolic_full_import_as_DC]], MATCH('השוואת פקטורים'!$B20, 'PPRs inner'!$A$2:$A$108, 0), MATCH('השוואת פקטורים'!M$6, טבלה2[[#Headers],[SPPR_1986]:[SPPR_symbolic_full_import_as_DC]], 0)) / INDEX(טבלה2[[SPPR_1986]:[SPPR_symbolic_full_import_as_DC]], MATCH('השוואת פקטורים'!$B20, 'PPRs inner'!$A$2:$A$108, 0), MATCH('השוואת פקטורים'!L$6, טבלה2[[#Headers],[SPPR_1986]:[SPPR_symbolic_full_import_as_DC]], 0))
)</f>
        <v>0.43779124472645276</v>
      </c>
      <c r="N20" s="9">
        <f>IF($B$4="סהכ",
INDEX(טבלה1[[SPPR_1986]:[SPPR_symbolic_full_import_as_DC]], MATCH('השוואת פקטורים'!$B20, 'PPRs all'!$A$2:$A$108, 0), MATCH('השוואת פקטורים'!N$6, טבלה1[[#Headers],[SPPR_1986]:[SPPR_symbolic_full_import_as_DC]], 0)) / INDEX(טבלה1[[SPPR_1986]:[SPPR_symbolic_full_import_as_DC]], MATCH('השוואת פקטורים'!$B20, 'PPRs all'!$A$2:$A$108, 0), MATCH('השוואת פקטורים'!M$6, טבלה1[[#Headers],[SPPR_1986]:[SPPR_symbolic_full_import_as_DC]], 0)),
INDEX(טבלה2[[SPPR_1986]:[SPPR_symbolic_full_import_as_DC]], MATCH('השוואת פקטורים'!$B20, 'PPRs inner'!$A$2:$A$108, 0), MATCH('השוואת פקטורים'!N$6, טבלה2[[#Headers],[SPPR_1986]:[SPPR_symbolic_full_import_as_DC]], 0)) / INDEX(טבלה2[[SPPR_1986]:[SPPR_symbolic_full_import_as_DC]], MATCH('השוואת פקטורים'!$B20, 'PPRs inner'!$A$2:$A$108, 0), MATCH('השוואת פקטורים'!M$6, טבלה2[[#Headers],[SPPR_1986]:[SPPR_symbolic_full_import_as_DC]], 0))
)</f>
        <v>2.9510157624572826</v>
      </c>
      <c r="O20" s="9">
        <f>IF($B$4="סהכ",
INDEX(טבלה1[[SPPR_1986]:[SPPR_symbolic_full_import_as_DC]], MATCH('השוואת פקטורים'!$B20, 'PPRs all'!$A$2:$A$108, 0), MATCH('השוואת פקטורים'!O$6, טבלה1[[#Headers],[SPPR_1986]:[SPPR_symbolic_full_import_as_DC]], 0)) / INDEX(טבלה1[[SPPR_1986]:[SPPR_symbolic_full_import_as_DC]], MATCH('השוואת פקטורים'!$B20, 'PPRs all'!$A$2:$A$108, 0), MATCH('השוואת פקטורים'!N$6, טבלה1[[#Headers],[SPPR_1986]:[SPPR_symbolic_full_import_as_DC]], 0)),
INDEX(טבלה2[[SPPR_1986]:[SPPR_symbolic_full_import_as_DC]], MATCH('השוואת פקטורים'!$B20, 'PPRs inner'!$A$2:$A$108, 0), MATCH('השוואת פקטורים'!O$6, טבלה2[[#Headers],[SPPR_1986]:[SPPR_symbolic_full_import_as_DC]], 0)) / INDEX(טבלה2[[SPPR_1986]:[SPPR_symbolic_full_import_as_DC]], MATCH('השוואת פקטורים'!$B20, 'PPRs inner'!$A$2:$A$108, 0), MATCH('השוואת פקטורים'!N$6, טבלה2[[#Headers],[SPPR_1986]:[SPPR_symbolic_full_import_as_DC]], 0))
)</f>
        <v>1.00000000000004</v>
      </c>
      <c r="P20" s="9">
        <f>IF($B$4="סהכ",
INDEX(טבלה1[[SPPR_1986]:[SPPR_symbolic_full_import_as_DC]], MATCH('השוואת פקטורים'!$B20, 'PPRs all'!$A$2:$A$108, 0), MATCH('השוואת פקטורים'!P$6, טבלה1[[#Headers],[SPPR_1986]:[SPPR_symbolic_full_import_as_DC]], 0)) / INDEX(טבלה1[[SPPR_1986]:[SPPR_symbolic_full_import_as_DC]], MATCH('השוואת פקטורים'!$B20, 'PPRs all'!$A$2:$A$108, 0), MATCH('השוואת פקטורים'!O$6, טבלה1[[#Headers],[SPPR_1986]:[SPPR_symbolic_full_import_as_DC]], 0)),
INDEX(טבלה2[[SPPR_1986]:[SPPR_symbolic_full_import_as_DC]], MATCH('השוואת פקטורים'!$B20, 'PPRs inner'!$A$2:$A$108, 0), MATCH('השוואת פקטורים'!P$6, טבלה2[[#Headers],[SPPR_1986]:[SPPR_symbolic_full_import_as_DC]], 0)) / INDEX(טבלה2[[SPPR_1986]:[SPPR_symbolic_full_import_as_DC]], MATCH('השוואת פקטורים'!$B20, 'PPRs inner'!$A$2:$A$108, 0), MATCH('השוואת פקטורים'!O$6, טבלה2[[#Headers],[SPPR_1986]:[SPPR_symbolic_full_import_as_DC]], 0))
)</f>
        <v>4.7515923479574881E-2</v>
      </c>
      <c r="Q20" s="9">
        <f>IF($B$4="סהכ",
INDEX(טבלה1[[SPPR_1986]:[SPPR_symbolic_full_import_as_DC]], MATCH('השוואת פקטורים'!$B20, 'PPRs all'!$A$2:$A$108, 0), MATCH('השוואת פקטורים'!Q$6, טבלה1[[#Headers],[SPPR_1986]:[SPPR_symbolic_full_import_as_DC]], 0)) / INDEX(טבלה1[[SPPR_1986]:[SPPR_symbolic_full_import_as_DC]], MATCH('השוואת פקטורים'!$B20, 'PPRs all'!$A$2:$A$108, 0), MATCH('השוואת פקטורים'!P$6, טבלה1[[#Headers],[SPPR_1986]:[SPPR_symbolic_full_import_as_DC]], 0)),
INDEX(טבלה2[[SPPR_1986]:[SPPR_symbolic_full_import_as_DC]], MATCH('השוואת פקטורים'!$B20, 'PPRs inner'!$A$2:$A$108, 0), MATCH('השוואת פקטורים'!Q$6, טבלה2[[#Headers],[SPPR_1986]:[SPPR_symbolic_full_import_as_DC]], 0)) / INDEX(טבלה2[[SPPR_1986]:[SPPR_symbolic_full_import_as_DC]], MATCH('השוואת פקטורים'!$B20, 'PPRs inner'!$A$2:$A$108, 0), MATCH('השוואת פקטורים'!P$6, טבלה2[[#Headers],[SPPR_1986]:[SPPR_symbolic_full_import_as_DC]], 0))
)</f>
        <v>1</v>
      </c>
      <c r="R20" s="9">
        <f>IF($B$4="סהכ",
INDEX(טבלה1[[SPPR_1986]:[SPPR_symbolic_full_import_as_DC]], MATCH('השוואת פקטורים'!$B20, 'PPRs all'!$A$2:$A$108, 0), MATCH('השוואת פקטורים'!R$6, טבלה1[[#Headers],[SPPR_1986]:[SPPR_symbolic_full_import_as_DC]], 0)) / INDEX(טבלה1[[SPPR_1986]:[SPPR_symbolic_full_import_as_DC]], MATCH('השוואת פקטורים'!$B20, 'PPRs all'!$A$2:$A$108, 0), MATCH('השוואת פקטורים'!Q$6, טבלה1[[#Headers],[SPPR_1986]:[SPPR_symbolic_full_import_as_DC]], 0)),
INDEX(טבלה2[[SPPR_1986]:[SPPR_symbolic_full_import_as_DC]], MATCH('השוואת פקטורים'!$B20, 'PPRs inner'!$A$2:$A$108, 0), MATCH('השוואת פקטורים'!R$6, טבלה2[[#Headers],[SPPR_1986]:[SPPR_symbolic_full_import_as_DC]], 0)) / INDEX(טבלה2[[SPPR_1986]:[SPPR_symbolic_full_import_as_DC]], MATCH('השוואת פקטורים'!$B20, 'PPRs inner'!$A$2:$A$108, 0), MATCH('השוואת פקטורים'!Q$6, טבלה2[[#Headers],[SPPR_1986]:[SPPR_symbolic_full_import_as_DC]], 0))
)</f>
        <v>1.0019527840841203</v>
      </c>
      <c r="S20" s="9">
        <f>IF($B$4="סהכ",
INDEX(טבלה1[[SPPR_1986]:[SPPR_symbolic_full_import_as_DC]], MATCH('השוואת פקטורים'!$B20, 'PPRs all'!$A$2:$A$108, 0), MATCH('השוואת פקטורים'!S$6, טבלה1[[#Headers],[SPPR_1986]:[SPPR_symbolic_full_import_as_DC]], 0)) / INDEX(טבלה1[[SPPR_1986]:[SPPR_symbolic_full_import_as_DC]], MATCH('השוואת פקטורים'!$B20, 'PPRs all'!$A$2:$A$108, 0), MATCH('השוואת פקטורים'!R$6, טבלה1[[#Headers],[SPPR_1986]:[SPPR_symbolic_full_import_as_DC]], 0)),
INDEX(טבלה2[[SPPR_1986]:[SPPR_symbolic_full_import_as_DC]], MATCH('השוואת פקטורים'!$B20, 'PPRs inner'!$A$2:$A$108, 0), MATCH('השוואת פקטורים'!S$6, טבלה2[[#Headers],[SPPR_1986]:[SPPR_symbolic_full_import_as_DC]], 0)) / INDEX(טבלה2[[SPPR_1986]:[SPPR_symbolic_full_import_as_DC]], MATCH('השוואת פקטורים'!$B20, 'PPRs inner'!$A$2:$A$108, 0), MATCH('השוואת פקטורים'!R$6, טבלה2[[#Headers],[SPPR_1986]:[SPPR_symbolic_full_import_as_DC]], 0))
)</f>
        <v>0.99805102184939254</v>
      </c>
      <c r="T20" s="9">
        <f>IF($B$4="סהכ",
INDEX(טבלה1[[SPPR_1986]:[SPPR_symbolic_full_import_as_DC]], MATCH('השוואת פקטורים'!$B20, 'PPRs all'!$A$2:$A$108, 0), MATCH('השוואת פקטורים'!T$6, טבלה1[[#Headers],[SPPR_1986]:[SPPR_symbolic_full_import_as_DC]], 0)) / INDEX(טבלה1[[SPPR_1986]:[SPPR_symbolic_full_import_as_DC]], MATCH('השוואת פקטורים'!$B20, 'PPRs all'!$A$2:$A$108, 0), MATCH('השוואת פקטורים'!S$6, טבלה1[[#Headers],[SPPR_1986]:[SPPR_symbolic_full_import_as_DC]], 0)),
INDEX(טבלה2[[SPPR_1986]:[SPPR_symbolic_full_import_as_DC]], MATCH('השוואת פקטורים'!$B20, 'PPRs inner'!$A$2:$A$108, 0), MATCH('השוואת פקטורים'!T$6, טבלה2[[#Headers],[SPPR_1986]:[SPPR_symbolic_full_import_as_DC]], 0)) / INDEX(טבלה2[[SPPR_1986]:[SPPR_symbolic_full_import_as_DC]], MATCH('השוואת פקטורים'!$B20, 'PPRs inner'!$A$2:$A$108, 0), MATCH('השוואת פקטורים'!S$6, טבלה2[[#Headers],[SPPR_1986]:[SPPR_symbolic_full_import_as_DC]], 0))
)</f>
        <v>1.0019527840841203</v>
      </c>
      <c r="U20" s="9">
        <f>IF($B$4="סהכ",
INDEX(טבלה1[[SPPR_1986]:[SPPR_symbolic_full_import_as_DC]], MATCH('השוואת פקטורים'!$B20, 'PPRs all'!$A$2:$A$108, 0), MATCH('השוואת פקטורים'!U$6, טבלה1[[#Headers],[SPPR_1986]:[SPPR_symbolic_full_import_as_DC]], 0)) / INDEX(טבלה1[[SPPR_1986]:[SPPR_symbolic_full_import_as_DC]], MATCH('השוואת פקטורים'!$B20, 'PPRs all'!$A$2:$A$108, 0), MATCH('השוואת פקטורים'!T$6, טבלה1[[#Headers],[SPPR_1986]:[SPPR_symbolic_full_import_as_DC]], 0)),
INDEX(טבלה2[[SPPR_1986]:[SPPR_symbolic_full_import_as_DC]], MATCH('השוואת פקטורים'!$B20, 'PPRs inner'!$A$2:$A$108, 0), MATCH('השוואת פקטורים'!U$6, טבלה2[[#Headers],[SPPR_1986]:[SPPR_symbolic_full_import_as_DC]], 0)) / INDEX(טבלה2[[SPPR_1986]:[SPPR_symbolic_full_import_as_DC]], MATCH('השוואת פקטורים'!$B20, 'PPRs inner'!$A$2:$A$108, 0), MATCH('השוואת פקטורים'!T$6, טבלה2[[#Headers],[SPPR_1986]:[SPPR_symbolic_full_import_as_DC]], 0))
)</f>
        <v>0.99805102184939254</v>
      </c>
      <c r="V20" s="9"/>
      <c r="W20" s="9"/>
      <c r="X20" s="14"/>
      <c r="Y20" s="14"/>
      <c r="Z20" s="15">
        <f t="shared" si="2"/>
        <v>1.2824869781552182</v>
      </c>
    </row>
    <row r="21" spans="2:26" x14ac:dyDescent="0.3">
      <c r="B21" s="6" t="s">
        <v>35</v>
      </c>
      <c r="C21" s="12" t="b">
        <v>1</v>
      </c>
      <c r="D21" s="12" t="b">
        <v>0</v>
      </c>
      <c r="E21" s="12" t="b">
        <v>1</v>
      </c>
      <c r="F21" s="12" t="b">
        <f t="shared" si="1"/>
        <v>0</v>
      </c>
      <c r="G21" s="7" t="b">
        <f>ABS(INDEX(טבלה5[[SPPR_1986]:[SPPR_symbolic_full_import_as_DC]],MATCH('השוואת פקטורים'!$B21,טבלה5[עמודה1],0),MATCH($C$4,טבלה5[[#Headers],[SPPR_1986]:[SPPR_symbolic_full_import_as_DC]],0))) &lt; 5</f>
        <v>1</v>
      </c>
      <c r="H21" s="7" t="b">
        <f>INDEX(טבלה3[[SPPR_1986]:[SPPR_symbolic_full_import_as_DC]],MATCH('השוואת פקטורים'!$B21,טבלה3[עמודה1],0),MATCH($C$4,טבלה3[[#Headers],[SPPR_1986]:[SPPR_symbolic_full_import_as_DC]],0))</f>
        <v>1</v>
      </c>
      <c r="I21" s="7" t="b">
        <f t="shared" si="0"/>
        <v>0</v>
      </c>
      <c r="J21" s="13"/>
      <c r="K21" s="9">
        <f>IF($B$4="סהכ",
INDEX(טבלה1[[SPPR_1986]:[SPPR_symbolic_full_import_as_DC]], MATCH('השוואת פקטורים'!$B21, 'PPRs all'!$A$2:$A$108, 0), MATCH('השוואת פקטורים'!K$6, טבלה1[[#Headers],[SPPR_1986]:[SPPR_symbolic_full_import_as_DC]], 0)) / INDEX(טבלה1[[SPPR_1986]:[SPPR_symbolic_full_import_as_DC]], MATCH('השוואת פקטורים'!$B21, 'PPRs all'!$A$2:$A$108, 0), MATCH('השוואת פקטורים'!J$6, טבלה1[[#Headers],[SPPR_1986]:[SPPR_symbolic_full_import_as_DC]], 0)),
INDEX(טבלה2[[SPPR_1986]:[SPPR_symbolic_full_import_as_DC]], MATCH('השוואת פקטורים'!$B21, 'PPRs inner'!$A$2:$A$108, 0), MATCH('השוואת פקטורים'!K$6, טבלה2[[#Headers],[SPPR_1986]:[SPPR_symbolic_full_import_as_DC]], 0)) / INDEX(טבלה2[[SPPR_1986]:[SPPR_symbolic_full_import_as_DC]], MATCH('השוואת פקטורים'!$B21, 'PPRs inner'!$A$2:$A$108, 0), MATCH('השוואת פקטורים'!J$6, טבלה2[[#Headers],[SPPR_1986]:[SPPR_symbolic_full_import_as_DC]], 0))
)</f>
        <v>0.22955247117279726</v>
      </c>
      <c r="L21" s="9">
        <f>IF($B$4="סהכ",
INDEX(טבלה1[[SPPR_1986]:[SPPR_symbolic_full_import_as_DC]], MATCH('השוואת פקטורים'!$B21, 'PPRs all'!$A$2:$A$108, 0), MATCH('השוואת פקטורים'!L$6, טבלה1[[#Headers],[SPPR_1986]:[SPPR_symbolic_full_import_as_DC]], 0)) / INDEX(טבלה1[[SPPR_1986]:[SPPR_symbolic_full_import_as_DC]], MATCH('השוואת פקטורים'!$B21, 'PPRs all'!$A$2:$A$108, 0), MATCH('השוואת פקטורים'!K$6, טבלה1[[#Headers],[SPPR_1986]:[SPPR_symbolic_full_import_as_DC]], 0)),
INDEX(טבלה2[[SPPR_1986]:[SPPR_symbolic_full_import_as_DC]], MATCH('השוואת פקטורים'!$B21, 'PPRs inner'!$A$2:$A$108, 0), MATCH('השוואת פקטורים'!L$6, טבלה2[[#Headers],[SPPR_1986]:[SPPR_symbolic_full_import_as_DC]], 0)) / INDEX(טבלה2[[SPPR_1986]:[SPPR_symbolic_full_import_as_DC]], MATCH('השוואת פקטורים'!$B21, 'PPRs inner'!$A$2:$A$108, 0), MATCH('השוואת פקטורים'!K$6, טבלה2[[#Headers],[SPPR_1986]:[SPPR_symbolic_full_import_as_DC]], 0))
)</f>
        <v>1.7972538465018026</v>
      </c>
      <c r="M21" s="9">
        <f>IF($B$4="סהכ",
INDEX(טבלה1[[SPPR_1986]:[SPPR_symbolic_full_import_as_DC]], MATCH('השוואת פקטורים'!$B21, 'PPRs all'!$A$2:$A$108, 0), MATCH('השוואת פקטורים'!M$6, טבלה1[[#Headers],[SPPR_1986]:[SPPR_symbolic_full_import_as_DC]], 0)) / INDEX(טבלה1[[SPPR_1986]:[SPPR_symbolic_full_import_as_DC]], MATCH('השוואת פקטורים'!$B21, 'PPRs all'!$A$2:$A$108, 0), MATCH('השוואת פקטורים'!L$6, טבלה1[[#Headers],[SPPR_1986]:[SPPR_symbolic_full_import_as_DC]], 0)),
INDEX(טבלה2[[SPPR_1986]:[SPPR_symbolic_full_import_as_DC]], MATCH('השוואת פקטורים'!$B21, 'PPRs inner'!$A$2:$A$108, 0), MATCH('השוואת פקטורים'!M$6, טבלה2[[#Headers],[SPPR_1986]:[SPPR_symbolic_full_import_as_DC]], 0)) / INDEX(טבלה2[[SPPR_1986]:[SPPR_symbolic_full_import_as_DC]], MATCH('השוואת פקטורים'!$B21, 'PPRs inner'!$A$2:$A$108, 0), MATCH('השוואת פקטורים'!L$6, טבלה2[[#Headers],[SPPR_1986]:[SPPR_symbolic_full_import_as_DC]], 0))
)</f>
        <v>2.5099947122018742</v>
      </c>
      <c r="N21" s="9">
        <f>IF($B$4="סהכ",
INDEX(טבלה1[[SPPR_1986]:[SPPR_symbolic_full_import_as_DC]], MATCH('השוואת פקטורים'!$B21, 'PPRs all'!$A$2:$A$108, 0), MATCH('השוואת פקטורים'!N$6, טבלה1[[#Headers],[SPPR_1986]:[SPPR_symbolic_full_import_as_DC]], 0)) / INDEX(טבלה1[[SPPR_1986]:[SPPR_symbolic_full_import_as_DC]], MATCH('השוואת פקטורים'!$B21, 'PPRs all'!$A$2:$A$108, 0), MATCH('השוואת פקטורים'!M$6, טבלה1[[#Headers],[SPPR_1986]:[SPPR_symbolic_full_import_as_DC]], 0)),
INDEX(טבלה2[[SPPR_1986]:[SPPR_symbolic_full_import_as_DC]], MATCH('השוואת פקטורים'!$B21, 'PPRs inner'!$A$2:$A$108, 0), MATCH('השוואת פקטורים'!N$6, טבלה2[[#Headers],[SPPR_1986]:[SPPR_symbolic_full_import_as_DC]], 0)) / INDEX(טבלה2[[SPPR_1986]:[SPPR_symbolic_full_import_as_DC]], MATCH('השוואת פקטורים'!$B21, 'PPRs inner'!$A$2:$A$108, 0), MATCH('השוואת פקטורים'!M$6, טבלה2[[#Headers],[SPPR_1986]:[SPPR_symbolic_full_import_as_DC]], 0))
)</f>
        <v>1.0557381818230664</v>
      </c>
      <c r="O21" s="9">
        <f>IF($B$4="סהכ",
INDEX(טבלה1[[SPPR_1986]:[SPPR_symbolic_full_import_as_DC]], MATCH('השוואת פקטורים'!$B21, 'PPRs all'!$A$2:$A$108, 0), MATCH('השוואת פקטורים'!O$6, טבלה1[[#Headers],[SPPR_1986]:[SPPR_symbolic_full_import_as_DC]], 0)) / INDEX(טבלה1[[SPPR_1986]:[SPPR_symbolic_full_import_as_DC]], MATCH('השוואת פקטורים'!$B21, 'PPRs all'!$A$2:$A$108, 0), MATCH('השוואת פקטורים'!N$6, טבלה1[[#Headers],[SPPR_1986]:[SPPR_symbolic_full_import_as_DC]], 0)),
INDEX(טבלה2[[SPPR_1986]:[SPPR_symbolic_full_import_as_DC]], MATCH('השוואת פקטורים'!$B21, 'PPRs inner'!$A$2:$A$108, 0), MATCH('השוואת פקטורים'!O$6, טבלה2[[#Headers],[SPPR_1986]:[SPPR_symbolic_full_import_as_DC]], 0)) / INDEX(טבלה2[[SPPR_1986]:[SPPR_symbolic_full_import_as_DC]], MATCH('השוואת פקטורים'!$B21, 'PPRs inner'!$A$2:$A$108, 0), MATCH('השוואת פקטורים'!N$6, טבלה2[[#Headers],[SPPR_1986]:[SPPR_symbolic_full_import_as_DC]], 0))
)</f>
        <v>1</v>
      </c>
      <c r="P21" s="9">
        <f>IF($B$4="סהכ",
INDEX(טבלה1[[SPPR_1986]:[SPPR_symbolic_full_import_as_DC]], MATCH('השוואת פקטורים'!$B21, 'PPRs all'!$A$2:$A$108, 0), MATCH('השוואת פקטורים'!P$6, טבלה1[[#Headers],[SPPR_1986]:[SPPR_symbolic_full_import_as_DC]], 0)) / INDEX(טבלה1[[SPPR_1986]:[SPPR_symbolic_full_import_as_DC]], MATCH('השוואת פקטורים'!$B21, 'PPRs all'!$A$2:$A$108, 0), MATCH('השוואת פקטורים'!O$6, טבלה1[[#Headers],[SPPR_1986]:[SPPR_symbolic_full_import_as_DC]], 0)),
INDEX(טבלה2[[SPPR_1986]:[SPPR_symbolic_full_import_as_DC]], MATCH('השוואת פקטורים'!$B21, 'PPRs inner'!$A$2:$A$108, 0), MATCH('השוואת פקטורים'!P$6, טבלה2[[#Headers],[SPPR_1986]:[SPPR_symbolic_full_import_as_DC]], 0)) / INDEX(טבלה2[[SPPR_1986]:[SPPR_symbolic_full_import_as_DC]], MATCH('השוואת פקטורים'!$B21, 'PPRs inner'!$A$2:$A$108, 0), MATCH('השוואת פקטורים'!O$6, טבלה2[[#Headers],[SPPR_1986]:[SPPR_symbolic_full_import_as_DC]], 0))
)</f>
        <v>0.29652516075959751</v>
      </c>
      <c r="Q21" s="9">
        <f>IF($B$4="סהכ",
INDEX(טבלה1[[SPPR_1986]:[SPPR_symbolic_full_import_as_DC]], MATCH('השוואת פקטורים'!$B21, 'PPRs all'!$A$2:$A$108, 0), MATCH('השוואת פקטורים'!Q$6, טבלה1[[#Headers],[SPPR_1986]:[SPPR_symbolic_full_import_as_DC]], 0)) / INDEX(טבלה1[[SPPR_1986]:[SPPR_symbolic_full_import_as_DC]], MATCH('השוואת פקטורים'!$B21, 'PPRs all'!$A$2:$A$108, 0), MATCH('השוואת פקטורים'!P$6, טבלה1[[#Headers],[SPPR_1986]:[SPPR_symbolic_full_import_as_DC]], 0)),
INDEX(טבלה2[[SPPR_1986]:[SPPR_symbolic_full_import_as_DC]], MATCH('השוואת פקטורים'!$B21, 'PPRs inner'!$A$2:$A$108, 0), MATCH('השוואת פקטורים'!Q$6, טבלה2[[#Headers],[SPPR_1986]:[SPPR_symbolic_full_import_as_DC]], 0)) / INDEX(טבלה2[[SPPR_1986]:[SPPR_symbolic_full_import_as_DC]], MATCH('השוואת פקטורים'!$B21, 'PPRs inner'!$A$2:$A$108, 0), MATCH('השוואת פקטורים'!P$6, טבלה2[[#Headers],[SPPR_1986]:[SPPR_symbolic_full_import_as_DC]], 0))
)</f>
        <v>0.99999999999999867</v>
      </c>
      <c r="R21" s="9">
        <f>IF($B$4="סהכ",
INDEX(טבלה1[[SPPR_1986]:[SPPR_symbolic_full_import_as_DC]], MATCH('השוואת פקטורים'!$B21, 'PPRs all'!$A$2:$A$108, 0), MATCH('השוואת פקטורים'!R$6, טבלה1[[#Headers],[SPPR_1986]:[SPPR_symbolic_full_import_as_DC]], 0)) / INDEX(טבלה1[[SPPR_1986]:[SPPR_symbolic_full_import_as_DC]], MATCH('השוואת פקטורים'!$B21, 'PPRs all'!$A$2:$A$108, 0), MATCH('השוואת פקטורים'!Q$6, טבלה1[[#Headers],[SPPR_1986]:[SPPR_symbolic_full_import_as_DC]], 0)),
INDEX(טבלה2[[SPPR_1986]:[SPPR_symbolic_full_import_as_DC]], MATCH('השוואת פקטורים'!$B21, 'PPRs inner'!$A$2:$A$108, 0), MATCH('השוואת פקטורים'!R$6, טבלה2[[#Headers],[SPPR_1986]:[SPPR_symbolic_full_import_as_DC]], 0)) / INDEX(טבלה2[[SPPR_1986]:[SPPR_symbolic_full_import_as_DC]], MATCH('השוואת פקטורים'!$B21, 'PPRs inner'!$A$2:$A$108, 0), MATCH('השוואת פקטורים'!Q$6, טבלה2[[#Headers],[SPPR_1986]:[SPPR_symbolic_full_import_as_DC]], 0))
)</f>
        <v>1</v>
      </c>
      <c r="S21" s="9">
        <f>IF($B$4="סהכ",
INDEX(טבלה1[[SPPR_1986]:[SPPR_symbolic_full_import_as_DC]], MATCH('השוואת פקטורים'!$B21, 'PPRs all'!$A$2:$A$108, 0), MATCH('השוואת פקטורים'!S$6, טבלה1[[#Headers],[SPPR_1986]:[SPPR_symbolic_full_import_as_DC]], 0)) / INDEX(טבלה1[[SPPR_1986]:[SPPR_symbolic_full_import_as_DC]], MATCH('השוואת פקטורים'!$B21, 'PPRs all'!$A$2:$A$108, 0), MATCH('השוואת פקטורים'!R$6, טבלה1[[#Headers],[SPPR_1986]:[SPPR_symbolic_full_import_as_DC]], 0)),
INDEX(טבלה2[[SPPR_1986]:[SPPR_symbolic_full_import_as_DC]], MATCH('השוואת פקטורים'!$B21, 'PPRs inner'!$A$2:$A$108, 0), MATCH('השוואת פקטורים'!S$6, טבלה2[[#Headers],[SPPR_1986]:[SPPR_symbolic_full_import_as_DC]], 0)) / INDEX(טבלה2[[SPPR_1986]:[SPPR_symbolic_full_import_as_DC]], MATCH('השוואת פקטורים'!$B21, 'PPRs inner'!$A$2:$A$108, 0), MATCH('השוואת פקטורים'!R$6, טבלה2[[#Headers],[SPPR_1986]:[SPPR_symbolic_full_import_as_DC]], 0))
)</f>
        <v>1</v>
      </c>
      <c r="T21" s="9">
        <f>IF($B$4="סהכ",
INDEX(טבלה1[[SPPR_1986]:[SPPR_symbolic_full_import_as_DC]], MATCH('השוואת פקטורים'!$B21, 'PPRs all'!$A$2:$A$108, 0), MATCH('השוואת פקטורים'!T$6, טבלה1[[#Headers],[SPPR_1986]:[SPPR_symbolic_full_import_as_DC]], 0)) / INDEX(טבלה1[[SPPR_1986]:[SPPR_symbolic_full_import_as_DC]], MATCH('השוואת פקטורים'!$B21, 'PPRs all'!$A$2:$A$108, 0), MATCH('השוואת פקטורים'!S$6, טבלה1[[#Headers],[SPPR_1986]:[SPPR_symbolic_full_import_as_DC]], 0)),
INDEX(טבלה2[[SPPR_1986]:[SPPR_symbolic_full_import_as_DC]], MATCH('השוואת פקטורים'!$B21, 'PPRs inner'!$A$2:$A$108, 0), MATCH('השוואת פקטורים'!T$6, טבלה2[[#Headers],[SPPR_1986]:[SPPR_symbolic_full_import_as_DC]], 0)) / INDEX(טבלה2[[SPPR_1986]:[SPPR_symbolic_full_import_as_DC]], MATCH('השוואת פקטורים'!$B21, 'PPRs inner'!$A$2:$A$108, 0), MATCH('השוואת פקטורים'!S$6, טבלה2[[#Headers],[SPPR_1986]:[SPPR_symbolic_full_import_as_DC]], 0))
)</f>
        <v>1</v>
      </c>
      <c r="U21" s="9">
        <f>IF($B$4="סהכ",
INDEX(טבלה1[[SPPR_1986]:[SPPR_symbolic_full_import_as_DC]], MATCH('השוואת פקטורים'!$B21, 'PPRs all'!$A$2:$A$108, 0), MATCH('השוואת פקטורים'!U$6, טבלה1[[#Headers],[SPPR_1986]:[SPPR_symbolic_full_import_as_DC]], 0)) / INDEX(טבלה1[[SPPR_1986]:[SPPR_symbolic_full_import_as_DC]], MATCH('השוואת פקטורים'!$B21, 'PPRs all'!$A$2:$A$108, 0), MATCH('השוואת פקטורים'!T$6, טבלה1[[#Headers],[SPPR_1986]:[SPPR_symbolic_full_import_as_DC]], 0)),
INDEX(טבלה2[[SPPR_1986]:[SPPR_symbolic_full_import_as_DC]], MATCH('השוואת פקטורים'!$B21, 'PPRs inner'!$A$2:$A$108, 0), MATCH('השוואת פקטורים'!U$6, טבלה2[[#Headers],[SPPR_1986]:[SPPR_symbolic_full_import_as_DC]], 0)) / INDEX(טבלה2[[SPPR_1986]:[SPPR_symbolic_full_import_as_DC]], MATCH('השוואת פקטורים'!$B21, 'PPRs inner'!$A$2:$A$108, 0), MATCH('השוואת פקטורים'!T$6, טבלה2[[#Headers],[SPPR_1986]:[SPPR_symbolic_full_import_as_DC]], 0))
)</f>
        <v>1.0000000000000013</v>
      </c>
      <c r="V21" s="9"/>
      <c r="W21" s="9"/>
      <c r="X21" s="14"/>
      <c r="Y21" s="14"/>
      <c r="Z21" s="15">
        <f t="shared" si="2"/>
        <v>0.32417683606112185</v>
      </c>
    </row>
    <row r="22" spans="2:26" x14ac:dyDescent="0.3">
      <c r="B22" s="6" t="s">
        <v>36</v>
      </c>
      <c r="C22" s="12" t="b">
        <v>1</v>
      </c>
      <c r="D22" s="12" t="b">
        <v>0</v>
      </c>
      <c r="E22" s="12" t="b">
        <v>1</v>
      </c>
      <c r="F22" s="12" t="b">
        <f t="shared" si="1"/>
        <v>0</v>
      </c>
      <c r="G22" s="7" t="b">
        <f>ABS(INDEX(טבלה5[[SPPR_1986]:[SPPR_symbolic_full_import_as_DC]],MATCH('השוואת פקטורים'!$B22,טבלה5[עמודה1],0),MATCH($C$4,טבלה5[[#Headers],[SPPR_1986]:[SPPR_symbolic_full_import_as_DC]],0))) &lt; 5</f>
        <v>0</v>
      </c>
      <c r="H22" s="7" t="b">
        <f>INDEX(טבלה3[[SPPR_1986]:[SPPR_symbolic_full_import_as_DC]],MATCH('השוואת פקטורים'!$B22,טבלה3[עמודה1],0),MATCH($C$4,טבלה3[[#Headers],[SPPR_1986]:[SPPR_symbolic_full_import_as_DC]],0))</f>
        <v>1</v>
      </c>
      <c r="I22" s="7" t="b">
        <f t="shared" si="0"/>
        <v>0</v>
      </c>
      <c r="J22" s="13"/>
      <c r="K22" s="9">
        <f>IF($B$4="סהכ",
INDEX(טבלה1[[SPPR_1986]:[SPPR_symbolic_full_import_as_DC]], MATCH('השוואת פקטורים'!$B22, 'PPRs all'!$A$2:$A$108, 0), MATCH('השוואת פקטורים'!K$6, טבלה1[[#Headers],[SPPR_1986]:[SPPR_symbolic_full_import_as_DC]], 0)) / INDEX(טבלה1[[SPPR_1986]:[SPPR_symbolic_full_import_as_DC]], MATCH('השוואת פקטורים'!$B22, 'PPRs all'!$A$2:$A$108, 0), MATCH('השוואת פקטורים'!J$6, טבלה1[[#Headers],[SPPR_1986]:[SPPR_symbolic_full_import_as_DC]], 0)),
INDEX(טבלה2[[SPPR_1986]:[SPPR_symbolic_full_import_as_DC]], MATCH('השוואת פקטורים'!$B22, 'PPRs inner'!$A$2:$A$108, 0), MATCH('השוואת פקטורים'!K$6, טבלה2[[#Headers],[SPPR_1986]:[SPPR_symbolic_full_import_as_DC]], 0)) / INDEX(טבלה2[[SPPR_1986]:[SPPR_symbolic_full_import_as_DC]], MATCH('השוואת פקטורים'!$B22, 'PPRs inner'!$A$2:$A$108, 0), MATCH('השוואת פקטורים'!J$6, טבלה2[[#Headers],[SPPR_1986]:[SPPR_symbolic_full_import_as_DC]], 0))
)</f>
        <v>0.98907003587495057</v>
      </c>
      <c r="L22" s="9">
        <f>IF($B$4="סהכ",
INDEX(טבלה1[[SPPR_1986]:[SPPR_symbolic_full_import_as_DC]], MATCH('השוואת פקטורים'!$B22, 'PPRs all'!$A$2:$A$108, 0), MATCH('השוואת פקטורים'!L$6, טבלה1[[#Headers],[SPPR_1986]:[SPPR_symbolic_full_import_as_DC]], 0)) / INDEX(טבלה1[[SPPR_1986]:[SPPR_symbolic_full_import_as_DC]], MATCH('השוואת פקטורים'!$B22, 'PPRs all'!$A$2:$A$108, 0), MATCH('השוואת פקטורים'!K$6, טבלה1[[#Headers],[SPPR_1986]:[SPPR_symbolic_full_import_as_DC]], 0)),
INDEX(טבלה2[[SPPR_1986]:[SPPR_symbolic_full_import_as_DC]], MATCH('השוואת פקטורים'!$B22, 'PPRs inner'!$A$2:$A$108, 0), MATCH('השוואת פקטורים'!L$6, טבלה2[[#Headers],[SPPR_1986]:[SPPR_symbolic_full_import_as_DC]], 0)) / INDEX(טבלה2[[SPPR_1986]:[SPPR_symbolic_full_import_as_DC]], MATCH('השוואת פקטורים'!$B22, 'PPRs inner'!$A$2:$A$108, 0), MATCH('השוואת פקטורים'!K$6, טבלה2[[#Headers],[SPPR_1986]:[SPPR_symbolic_full_import_as_DC]], 0))
)</f>
        <v>1.5112157440840472</v>
      </c>
      <c r="M22" s="9">
        <f>IF($B$4="סהכ",
INDEX(טבלה1[[SPPR_1986]:[SPPR_symbolic_full_import_as_DC]], MATCH('השוואת פקטורים'!$B22, 'PPRs all'!$A$2:$A$108, 0), MATCH('השוואת פקטורים'!M$6, טבלה1[[#Headers],[SPPR_1986]:[SPPR_symbolic_full_import_as_DC]], 0)) / INDEX(טבלה1[[SPPR_1986]:[SPPR_symbolic_full_import_as_DC]], MATCH('השוואת פקטורים'!$B22, 'PPRs all'!$A$2:$A$108, 0), MATCH('השוואת פקטורים'!L$6, טבלה1[[#Headers],[SPPR_1986]:[SPPR_symbolic_full_import_as_DC]], 0)),
INDEX(טבלה2[[SPPR_1986]:[SPPR_symbolic_full_import_as_DC]], MATCH('השוואת פקטורים'!$B22, 'PPRs inner'!$A$2:$A$108, 0), MATCH('השוואת פקטורים'!M$6, טבלה2[[#Headers],[SPPR_1986]:[SPPR_symbolic_full_import_as_DC]], 0)) / INDEX(טבלה2[[SPPR_1986]:[SPPR_symbolic_full_import_as_DC]], MATCH('השוואת פקטורים'!$B22, 'PPRs inner'!$A$2:$A$108, 0), MATCH('השוואת פקטורים'!L$6, טבלה2[[#Headers],[SPPR_1986]:[SPPR_symbolic_full_import_as_DC]], 0))
)</f>
        <v>13.107266642085444</v>
      </c>
      <c r="N22" s="9">
        <f>IF($B$4="סהכ",
INDEX(טבלה1[[SPPR_1986]:[SPPR_symbolic_full_import_as_DC]], MATCH('השוואת פקטורים'!$B22, 'PPRs all'!$A$2:$A$108, 0), MATCH('השוואת פקטורים'!N$6, טבלה1[[#Headers],[SPPR_1986]:[SPPR_symbolic_full_import_as_DC]], 0)) / INDEX(טבלה1[[SPPR_1986]:[SPPR_symbolic_full_import_as_DC]], MATCH('השוואת פקטורים'!$B22, 'PPRs all'!$A$2:$A$108, 0), MATCH('השוואת פקטורים'!M$6, טבלה1[[#Headers],[SPPR_1986]:[SPPR_symbolic_full_import_as_DC]], 0)),
INDEX(טבלה2[[SPPR_1986]:[SPPR_symbolic_full_import_as_DC]], MATCH('השוואת פקטורים'!$B22, 'PPRs inner'!$A$2:$A$108, 0), MATCH('השוואת פקטורים'!N$6, טבלה2[[#Headers],[SPPR_1986]:[SPPR_symbolic_full_import_as_DC]], 0)) / INDEX(טבלה2[[SPPR_1986]:[SPPR_symbolic_full_import_as_DC]], MATCH('השוואת פקטורים'!$B22, 'PPRs inner'!$A$2:$A$108, 0), MATCH('השוואת פקטורים'!M$6, טבלה2[[#Headers],[SPPR_1986]:[SPPR_symbolic_full_import_as_DC]], 0))
)</f>
        <v>2.9045756386924388</v>
      </c>
      <c r="O22" s="9">
        <f>IF($B$4="סהכ",
INDEX(טבלה1[[SPPR_1986]:[SPPR_symbolic_full_import_as_DC]], MATCH('השוואת פקטורים'!$B22, 'PPRs all'!$A$2:$A$108, 0), MATCH('השוואת פקטורים'!O$6, טבלה1[[#Headers],[SPPR_1986]:[SPPR_symbolic_full_import_as_DC]], 0)) / INDEX(טבלה1[[SPPR_1986]:[SPPR_symbolic_full_import_as_DC]], MATCH('השוואת פקטורים'!$B22, 'PPRs all'!$A$2:$A$108, 0), MATCH('השוואת פקטורים'!N$6, טבלה1[[#Headers],[SPPR_1986]:[SPPR_symbolic_full_import_as_DC]], 0)),
INDEX(טבלה2[[SPPR_1986]:[SPPR_symbolic_full_import_as_DC]], MATCH('השוואת פקטורים'!$B22, 'PPRs inner'!$A$2:$A$108, 0), MATCH('השוואת פקטורים'!O$6, טבלה2[[#Headers],[SPPR_1986]:[SPPR_symbolic_full_import_as_DC]], 0)) / INDEX(טבלה2[[SPPR_1986]:[SPPR_symbolic_full_import_as_DC]], MATCH('השוואת פקטורים'!$B22, 'PPRs inner'!$A$2:$A$108, 0), MATCH('השוואת פקטורים'!N$6, טבלה2[[#Headers],[SPPR_1986]:[SPPR_symbolic_full_import_as_DC]], 0))
)</f>
        <v>1.0001351214182557</v>
      </c>
      <c r="P22" s="9">
        <f>IF($B$4="סהכ",
INDEX(טבלה1[[SPPR_1986]:[SPPR_symbolic_full_import_as_DC]], MATCH('השוואת פקטורים'!$B22, 'PPRs all'!$A$2:$A$108, 0), MATCH('השוואת פקטורים'!P$6, טבלה1[[#Headers],[SPPR_1986]:[SPPR_symbolic_full_import_as_DC]], 0)) / INDEX(טבלה1[[SPPR_1986]:[SPPR_symbolic_full_import_as_DC]], MATCH('השוואת פקטורים'!$B22, 'PPRs all'!$A$2:$A$108, 0), MATCH('השוואת פקטורים'!O$6, טבלה1[[#Headers],[SPPR_1986]:[SPPR_symbolic_full_import_as_DC]], 0)),
INDEX(טבלה2[[SPPR_1986]:[SPPR_symbolic_full_import_as_DC]], MATCH('השוואת פקטורים'!$B22, 'PPRs inner'!$A$2:$A$108, 0), MATCH('השוואת פקטורים'!P$6, טבלה2[[#Headers],[SPPR_1986]:[SPPR_symbolic_full_import_as_DC]], 0)) / INDEX(טבלה2[[SPPR_1986]:[SPPR_symbolic_full_import_as_DC]], MATCH('השוואת פקטורים'!$B22, 'PPRs inner'!$A$2:$A$108, 0), MATCH('השוואת פקטורים'!O$6, טבלה2[[#Headers],[SPPR_1986]:[SPPR_symbolic_full_import_as_DC]], 0))
)</f>
        <v>5.738069306306659E-3</v>
      </c>
      <c r="Q22" s="9">
        <f>IF($B$4="סהכ",
INDEX(טבלה1[[SPPR_1986]:[SPPR_symbolic_full_import_as_DC]], MATCH('השוואת פקטורים'!$B22, 'PPRs all'!$A$2:$A$108, 0), MATCH('השוואת פקטורים'!Q$6, טבלה1[[#Headers],[SPPR_1986]:[SPPR_symbolic_full_import_as_DC]], 0)) / INDEX(טבלה1[[SPPR_1986]:[SPPR_symbolic_full_import_as_DC]], MATCH('השוואת פקטורים'!$B22, 'PPRs all'!$A$2:$A$108, 0), MATCH('השוואת פקטורים'!P$6, טבלה1[[#Headers],[SPPR_1986]:[SPPR_symbolic_full_import_as_DC]], 0)),
INDEX(טבלה2[[SPPR_1986]:[SPPR_symbolic_full_import_as_DC]], MATCH('השוואת פקטורים'!$B22, 'PPRs inner'!$A$2:$A$108, 0), MATCH('השוואת פקטורים'!Q$6, טבלה2[[#Headers],[SPPR_1986]:[SPPR_symbolic_full_import_as_DC]], 0)) / INDEX(טבלה2[[SPPR_1986]:[SPPR_symbolic_full_import_as_DC]], MATCH('השוואת פקטורים'!$B22, 'PPRs inner'!$A$2:$A$108, 0), MATCH('השוואת פקטורים'!P$6, טבלה2[[#Headers],[SPPR_1986]:[SPPR_symbolic_full_import_as_DC]], 0))
)</f>
        <v>0.99999999999999911</v>
      </c>
      <c r="R22" s="9">
        <f>IF($B$4="סהכ",
INDEX(טבלה1[[SPPR_1986]:[SPPR_symbolic_full_import_as_DC]], MATCH('השוואת פקטורים'!$B22, 'PPRs all'!$A$2:$A$108, 0), MATCH('השוואת פקטורים'!R$6, טבלה1[[#Headers],[SPPR_1986]:[SPPR_symbolic_full_import_as_DC]], 0)) / INDEX(טבלה1[[SPPR_1986]:[SPPR_symbolic_full_import_as_DC]], MATCH('השוואת פקטורים'!$B22, 'PPRs all'!$A$2:$A$108, 0), MATCH('השוואת פקטורים'!Q$6, טבלה1[[#Headers],[SPPR_1986]:[SPPR_symbolic_full_import_as_DC]], 0)),
INDEX(טבלה2[[SPPR_1986]:[SPPR_symbolic_full_import_as_DC]], MATCH('השוואת פקטורים'!$B22, 'PPRs inner'!$A$2:$A$108, 0), MATCH('השוואת פקטורים'!R$6, טבלה2[[#Headers],[SPPR_1986]:[SPPR_symbolic_full_import_as_DC]], 0)) / INDEX(טבלה2[[SPPR_1986]:[SPPR_symbolic_full_import_as_DC]], MATCH('השוואת פקטורים'!$B22, 'PPRs inner'!$A$2:$A$108, 0), MATCH('השוואת פקטורים'!Q$6, טבלה2[[#Headers],[SPPR_1986]:[SPPR_symbolic_full_import_as_DC]], 0))
)</f>
        <v>1.0000266224343342</v>
      </c>
      <c r="S22" s="9">
        <f>IF($B$4="סהכ",
INDEX(טבלה1[[SPPR_1986]:[SPPR_symbolic_full_import_as_DC]], MATCH('השוואת פקטורים'!$B22, 'PPRs all'!$A$2:$A$108, 0), MATCH('השוואת פקטורים'!S$6, טבלה1[[#Headers],[SPPR_1986]:[SPPR_symbolic_full_import_as_DC]], 0)) / INDEX(טבלה1[[SPPR_1986]:[SPPR_symbolic_full_import_as_DC]], MATCH('השוואת פקטורים'!$B22, 'PPRs all'!$A$2:$A$108, 0), MATCH('השוואת פקטורים'!R$6, טבלה1[[#Headers],[SPPR_1986]:[SPPR_symbolic_full_import_as_DC]], 0)),
INDEX(טבלה2[[SPPR_1986]:[SPPR_symbolic_full_import_as_DC]], MATCH('השוואת פקטורים'!$B22, 'PPRs inner'!$A$2:$A$108, 0), MATCH('השוואת פקטורים'!S$6, טבלה2[[#Headers],[SPPR_1986]:[SPPR_symbolic_full_import_as_DC]], 0)) / INDEX(טבלה2[[SPPR_1986]:[SPPR_symbolic_full_import_as_DC]], MATCH('השוואת פקטורים'!$B22, 'PPRs inner'!$A$2:$A$108, 0), MATCH('השוואת פקטורים'!R$6, טבלה2[[#Headers],[SPPR_1986]:[SPPR_symbolic_full_import_as_DC]], 0))
)</f>
        <v>0.99997337827440091</v>
      </c>
      <c r="T22" s="9">
        <f>IF($B$4="סהכ",
INDEX(טבלה1[[SPPR_1986]:[SPPR_symbolic_full_import_as_DC]], MATCH('השוואת פקטורים'!$B22, 'PPRs all'!$A$2:$A$108, 0), MATCH('השוואת פקטורים'!T$6, טבלה1[[#Headers],[SPPR_1986]:[SPPR_symbolic_full_import_as_DC]], 0)) / INDEX(טבלה1[[SPPR_1986]:[SPPR_symbolic_full_import_as_DC]], MATCH('השוואת פקטורים'!$B22, 'PPRs all'!$A$2:$A$108, 0), MATCH('השוואת פקטורים'!S$6, טבלה1[[#Headers],[SPPR_1986]:[SPPR_symbolic_full_import_as_DC]], 0)),
INDEX(טבלה2[[SPPR_1986]:[SPPR_symbolic_full_import_as_DC]], MATCH('השוואת פקטורים'!$B22, 'PPRs inner'!$A$2:$A$108, 0), MATCH('השוואת פקטורים'!T$6, טבלה2[[#Headers],[SPPR_1986]:[SPPR_symbolic_full_import_as_DC]], 0)) / INDEX(טבלה2[[SPPR_1986]:[SPPR_symbolic_full_import_as_DC]], MATCH('השוואת פקטורים'!$B22, 'PPRs inner'!$A$2:$A$108, 0), MATCH('השוואת פקטורים'!S$6, טבלה2[[#Headers],[SPPR_1986]:[SPPR_symbolic_full_import_as_DC]], 0))
)</f>
        <v>1.0000266224343342</v>
      </c>
      <c r="U22" s="9">
        <f>IF($B$4="סהכ",
INDEX(טבלה1[[SPPR_1986]:[SPPR_symbolic_full_import_as_DC]], MATCH('השוואת פקטורים'!$B22, 'PPRs all'!$A$2:$A$108, 0), MATCH('השוואת פקטורים'!U$6, טבלה1[[#Headers],[SPPR_1986]:[SPPR_symbolic_full_import_as_DC]], 0)) / INDEX(טבלה1[[SPPR_1986]:[SPPR_symbolic_full_import_as_DC]], MATCH('השוואת פקטורים'!$B22, 'PPRs all'!$A$2:$A$108, 0), MATCH('השוואת פקטורים'!T$6, טבלה1[[#Headers],[SPPR_1986]:[SPPR_symbolic_full_import_as_DC]], 0)),
INDEX(טבלה2[[SPPR_1986]:[SPPR_symbolic_full_import_as_DC]], MATCH('השוואת פקטורים'!$B22, 'PPRs inner'!$A$2:$A$108, 0), MATCH('השוואת פקטורים'!U$6, טבלה2[[#Headers],[SPPR_1986]:[SPPR_symbolic_full_import_as_DC]], 0)) / INDEX(טבלה2[[SPPR_1986]:[SPPR_symbolic_full_import_as_DC]], MATCH('השוואת פקטורים'!$B22, 'PPRs inner'!$A$2:$A$108, 0), MATCH('השוואת פקטורים'!T$6, טבלה2[[#Headers],[SPPR_1986]:[SPPR_symbolic_full_import_as_DC]], 0))
)</f>
        <v>0.9999733782744018</v>
      </c>
      <c r="V22" s="9"/>
      <c r="W22" s="9"/>
      <c r="X22" s="14"/>
      <c r="Y22" s="14"/>
      <c r="Z22" s="15">
        <f t="shared" si="2"/>
        <v>0.32656738409766461</v>
      </c>
    </row>
    <row r="23" spans="2:26" x14ac:dyDescent="0.3">
      <c r="B23" s="6" t="s">
        <v>37</v>
      </c>
      <c r="C23" s="12" t="b">
        <v>1</v>
      </c>
      <c r="D23" s="12" t="b">
        <v>1</v>
      </c>
      <c r="E23" s="12" t="b">
        <v>1</v>
      </c>
      <c r="F23" s="12" t="b">
        <f t="shared" si="1"/>
        <v>1</v>
      </c>
      <c r="G23" s="7" t="b">
        <f>ABS(INDEX(טבלה5[[SPPR_1986]:[SPPR_symbolic_full_import_as_DC]],MATCH('השוואת פקטורים'!$B23,טבלה5[עמודה1],0),MATCH($C$4,טבלה5[[#Headers],[SPPR_1986]:[SPPR_symbolic_full_import_as_DC]],0))) &lt; 5</f>
        <v>1</v>
      </c>
      <c r="H23" s="7" t="b">
        <f>INDEX(טבלה3[[SPPR_1986]:[SPPR_symbolic_full_import_as_DC]],MATCH('השוואת פקטורים'!$B23,טבלה3[עמודה1],0),MATCH($C$4,טבלה3[[#Headers],[SPPR_1986]:[SPPR_symbolic_full_import_as_DC]],0))</f>
        <v>1</v>
      </c>
      <c r="I23" s="7" t="b">
        <f t="shared" si="0"/>
        <v>1</v>
      </c>
      <c r="J23" s="13"/>
      <c r="K23" s="9">
        <f>IF($B$4="סהכ",
INDEX(טבלה1[[SPPR_1986]:[SPPR_symbolic_full_import_as_DC]], MATCH('השוואת פקטורים'!$B23, 'PPRs all'!$A$2:$A$108, 0), MATCH('השוואת פקטורים'!K$6, טבלה1[[#Headers],[SPPR_1986]:[SPPR_symbolic_full_import_as_DC]], 0)) / INDEX(טבלה1[[SPPR_1986]:[SPPR_symbolic_full_import_as_DC]], MATCH('השוואת פקטורים'!$B23, 'PPRs all'!$A$2:$A$108, 0), MATCH('השוואת פקטורים'!J$6, טבלה1[[#Headers],[SPPR_1986]:[SPPR_symbolic_full_import_as_DC]], 0)),
INDEX(טבלה2[[SPPR_1986]:[SPPR_symbolic_full_import_as_DC]], MATCH('השוואת פקטורים'!$B23, 'PPRs inner'!$A$2:$A$108, 0), MATCH('השוואת פקטורים'!K$6, טבלה2[[#Headers],[SPPR_1986]:[SPPR_symbolic_full_import_as_DC]], 0)) / INDEX(טבלה2[[SPPR_1986]:[SPPR_symbolic_full_import_as_DC]], MATCH('השוואת פקטורים'!$B23, 'PPRs inner'!$A$2:$A$108, 0), MATCH('השוואת פקטורים'!J$6, טבלה2[[#Headers],[SPPR_1986]:[SPPR_symbolic_full_import_as_DC]], 0))
)</f>
        <v>0.78513142619997567</v>
      </c>
      <c r="L23" s="9">
        <f>IF($B$4="סהכ",
INDEX(טבלה1[[SPPR_1986]:[SPPR_symbolic_full_import_as_DC]], MATCH('השוואת פקטורים'!$B23, 'PPRs all'!$A$2:$A$108, 0), MATCH('השוואת פקטורים'!L$6, טבלה1[[#Headers],[SPPR_1986]:[SPPR_symbolic_full_import_as_DC]], 0)) / INDEX(טבלה1[[SPPR_1986]:[SPPR_symbolic_full_import_as_DC]], MATCH('השוואת פקטורים'!$B23, 'PPRs all'!$A$2:$A$108, 0), MATCH('השוואת פקטורים'!K$6, טבלה1[[#Headers],[SPPR_1986]:[SPPR_symbolic_full_import_as_DC]], 0)),
INDEX(טבלה2[[SPPR_1986]:[SPPR_symbolic_full_import_as_DC]], MATCH('השוואת פקטורים'!$B23, 'PPRs inner'!$A$2:$A$108, 0), MATCH('השוואת פקטורים'!L$6, טבלה2[[#Headers],[SPPR_1986]:[SPPR_symbolic_full_import_as_DC]], 0)) / INDEX(טבלה2[[SPPR_1986]:[SPPR_symbolic_full_import_as_DC]], MATCH('השוואת פקטורים'!$B23, 'PPRs inner'!$A$2:$A$108, 0), MATCH('השוואת פקטורים'!K$6, טבלה2[[#Headers],[SPPR_1986]:[SPPR_symbolic_full_import_as_DC]], 0))
)</f>
        <v>6.5189215391433875</v>
      </c>
      <c r="M23" s="9">
        <f>IF($B$4="סהכ",
INDEX(טבלה1[[SPPR_1986]:[SPPR_symbolic_full_import_as_DC]], MATCH('השוואת פקטורים'!$B23, 'PPRs all'!$A$2:$A$108, 0), MATCH('השוואת פקטורים'!M$6, טבלה1[[#Headers],[SPPR_1986]:[SPPR_symbolic_full_import_as_DC]], 0)) / INDEX(טבלה1[[SPPR_1986]:[SPPR_symbolic_full_import_as_DC]], MATCH('השוואת פקטורים'!$B23, 'PPRs all'!$A$2:$A$108, 0), MATCH('השוואת פקטורים'!L$6, טבלה1[[#Headers],[SPPR_1986]:[SPPR_symbolic_full_import_as_DC]], 0)),
INDEX(טבלה2[[SPPR_1986]:[SPPR_symbolic_full_import_as_DC]], MATCH('השוואת פקטורים'!$B23, 'PPRs inner'!$A$2:$A$108, 0), MATCH('השוואת פקטורים'!M$6, טבלה2[[#Headers],[SPPR_1986]:[SPPR_symbolic_full_import_as_DC]], 0)) / INDEX(טבלה2[[SPPR_1986]:[SPPR_symbolic_full_import_as_DC]], MATCH('השוואת פקטורים'!$B23, 'PPRs inner'!$A$2:$A$108, 0), MATCH('השוואת פקטורים'!L$6, טבלה2[[#Headers],[SPPR_1986]:[SPPR_symbolic_full_import_as_DC]], 0))
)</f>
        <v>0.53280935056135204</v>
      </c>
      <c r="N23" s="9">
        <f>IF($B$4="סהכ",
INDEX(טבלה1[[SPPR_1986]:[SPPR_symbolic_full_import_as_DC]], MATCH('השוואת פקטורים'!$B23, 'PPRs all'!$A$2:$A$108, 0), MATCH('השוואת פקטורים'!N$6, טבלה1[[#Headers],[SPPR_1986]:[SPPR_symbolic_full_import_as_DC]], 0)) / INDEX(טבלה1[[SPPR_1986]:[SPPR_symbolic_full_import_as_DC]], MATCH('השוואת פקטורים'!$B23, 'PPRs all'!$A$2:$A$108, 0), MATCH('השוואת פקטורים'!M$6, טבלה1[[#Headers],[SPPR_1986]:[SPPR_symbolic_full_import_as_DC]], 0)),
INDEX(טבלה2[[SPPR_1986]:[SPPR_symbolic_full_import_as_DC]], MATCH('השוואת פקטורים'!$B23, 'PPRs inner'!$A$2:$A$108, 0), MATCH('השוואת פקטורים'!N$6, טבלה2[[#Headers],[SPPR_1986]:[SPPR_symbolic_full_import_as_DC]], 0)) / INDEX(טבלה2[[SPPR_1986]:[SPPR_symbolic_full_import_as_DC]], MATCH('השוואת פקטורים'!$B23, 'PPRs inner'!$A$2:$A$108, 0), MATCH('השוואת פקטורים'!M$6, טבלה2[[#Headers],[SPPR_1986]:[SPPR_symbolic_full_import_as_DC]], 0))
)</f>
        <v>14.04365689278665</v>
      </c>
      <c r="O23" s="9">
        <f>IF($B$4="סהכ",
INDEX(טבלה1[[SPPR_1986]:[SPPR_symbolic_full_import_as_DC]], MATCH('השוואת פקטורים'!$B23, 'PPRs all'!$A$2:$A$108, 0), MATCH('השוואת פקטורים'!O$6, טבלה1[[#Headers],[SPPR_1986]:[SPPR_symbolic_full_import_as_DC]], 0)) / INDEX(טבלה1[[SPPR_1986]:[SPPR_symbolic_full_import_as_DC]], MATCH('השוואת פקטורים'!$B23, 'PPRs all'!$A$2:$A$108, 0), MATCH('השוואת פקטורים'!N$6, טבלה1[[#Headers],[SPPR_1986]:[SPPR_symbolic_full_import_as_DC]], 0)),
INDEX(טבלה2[[SPPR_1986]:[SPPR_symbolic_full_import_as_DC]], MATCH('השוואת פקטורים'!$B23, 'PPRs inner'!$A$2:$A$108, 0), MATCH('השוואת פקטורים'!O$6, טבלה2[[#Headers],[SPPR_1986]:[SPPR_symbolic_full_import_as_DC]], 0)) / INDEX(טבלה2[[SPPR_1986]:[SPPR_symbolic_full_import_as_DC]], MATCH('השוואת פקטורים'!$B23, 'PPRs inner'!$A$2:$A$108, 0), MATCH('השוואת פקטורים'!N$6, טבלה2[[#Headers],[SPPR_1986]:[SPPR_symbolic_full_import_as_DC]], 0))
)</f>
        <v>0.99999999999998246</v>
      </c>
      <c r="P23" s="9">
        <f>IF($B$4="סהכ",
INDEX(טבלה1[[SPPR_1986]:[SPPR_symbolic_full_import_as_DC]], MATCH('השוואת פקטורים'!$B23, 'PPRs all'!$A$2:$A$108, 0), MATCH('השוואת פקטורים'!P$6, טבלה1[[#Headers],[SPPR_1986]:[SPPR_symbolic_full_import_as_DC]], 0)) / INDEX(טבלה1[[SPPR_1986]:[SPPR_symbolic_full_import_as_DC]], MATCH('השוואת פקטורים'!$B23, 'PPRs all'!$A$2:$A$108, 0), MATCH('השוואת פקטורים'!O$6, טבלה1[[#Headers],[SPPR_1986]:[SPPR_symbolic_full_import_as_DC]], 0)),
INDEX(טבלה2[[SPPR_1986]:[SPPR_symbolic_full_import_as_DC]], MATCH('השוואת פקטורים'!$B23, 'PPRs inner'!$A$2:$A$108, 0), MATCH('השוואת פקטורים'!P$6, טבלה2[[#Headers],[SPPR_1986]:[SPPR_symbolic_full_import_as_DC]], 0)) / INDEX(טבלה2[[SPPR_1986]:[SPPR_symbolic_full_import_as_DC]], MATCH('השוואת פקטורים'!$B23, 'PPRs inner'!$A$2:$A$108, 0), MATCH('השוואת פקטורים'!O$6, טבלה2[[#Headers],[SPPR_1986]:[SPPR_symbolic_full_import_as_DC]], 0))
)</f>
        <v>0.13552213085558032</v>
      </c>
      <c r="Q23" s="9">
        <f>IF($B$4="סהכ",
INDEX(טבלה1[[SPPR_1986]:[SPPR_symbolic_full_import_as_DC]], MATCH('השוואת פקטורים'!$B23, 'PPRs all'!$A$2:$A$108, 0), MATCH('השוואת פקטורים'!Q$6, טבלה1[[#Headers],[SPPR_1986]:[SPPR_symbolic_full_import_as_DC]], 0)) / INDEX(טבלה1[[SPPR_1986]:[SPPR_symbolic_full_import_as_DC]], MATCH('השוואת פקטורים'!$B23, 'PPRs all'!$A$2:$A$108, 0), MATCH('השוואת פקטורים'!P$6, טבלה1[[#Headers],[SPPR_1986]:[SPPR_symbolic_full_import_as_DC]], 0)),
INDEX(טבלה2[[SPPR_1986]:[SPPR_symbolic_full_import_as_DC]], MATCH('השוואת פקטורים'!$B23, 'PPRs inner'!$A$2:$A$108, 0), MATCH('השוואת פקטורים'!Q$6, טבלה2[[#Headers],[SPPR_1986]:[SPPR_symbolic_full_import_as_DC]], 0)) / INDEX(טבלה2[[SPPR_1986]:[SPPR_symbolic_full_import_as_DC]], MATCH('השוואת פקטורים'!$B23, 'PPRs inner'!$A$2:$A$108, 0), MATCH('השוואת פקטורים'!P$6, טבלה2[[#Headers],[SPPR_1986]:[SPPR_symbolic_full_import_as_DC]], 0))
)</f>
        <v>0.99999999999999822</v>
      </c>
      <c r="R23" s="9">
        <f>IF($B$4="סהכ",
INDEX(טבלה1[[SPPR_1986]:[SPPR_symbolic_full_import_as_DC]], MATCH('השוואת פקטורים'!$B23, 'PPRs all'!$A$2:$A$108, 0), MATCH('השוואת פקטורים'!R$6, טבלה1[[#Headers],[SPPR_1986]:[SPPR_symbolic_full_import_as_DC]], 0)) / INDEX(טבלה1[[SPPR_1986]:[SPPR_symbolic_full_import_as_DC]], MATCH('השוואת פקטורים'!$B23, 'PPRs all'!$A$2:$A$108, 0), MATCH('השוואת פקטורים'!Q$6, טבלה1[[#Headers],[SPPR_1986]:[SPPR_symbolic_full_import_as_DC]], 0)),
INDEX(טבלה2[[SPPR_1986]:[SPPR_symbolic_full_import_as_DC]], MATCH('השוואת פקטורים'!$B23, 'PPRs inner'!$A$2:$A$108, 0), MATCH('השוואת פקטורים'!R$6, טבלה2[[#Headers],[SPPR_1986]:[SPPR_symbolic_full_import_as_DC]], 0)) / INDEX(טבלה2[[SPPR_1986]:[SPPR_symbolic_full_import_as_DC]], MATCH('השוואת פקטורים'!$B23, 'PPRs inner'!$A$2:$A$108, 0), MATCH('השוואת פקטורים'!Q$6, טבלה2[[#Headers],[SPPR_1986]:[SPPR_symbolic_full_import_as_DC]], 0))
)</f>
        <v>1.0020177980782761</v>
      </c>
      <c r="S23" s="9">
        <f>IF($B$4="סהכ",
INDEX(טבלה1[[SPPR_1986]:[SPPR_symbolic_full_import_as_DC]], MATCH('השוואת פקטורים'!$B23, 'PPRs all'!$A$2:$A$108, 0), MATCH('השוואת פקטורים'!S$6, טבלה1[[#Headers],[SPPR_1986]:[SPPR_symbolic_full_import_as_DC]], 0)) / INDEX(טבלה1[[SPPR_1986]:[SPPR_symbolic_full_import_as_DC]], MATCH('השוואת פקטורים'!$B23, 'PPRs all'!$A$2:$A$108, 0), MATCH('השוואת פקטורים'!R$6, טבלה1[[#Headers],[SPPR_1986]:[SPPR_symbolic_full_import_as_DC]], 0)),
INDEX(טבלה2[[SPPR_1986]:[SPPR_symbolic_full_import_as_DC]], MATCH('השוואת פקטורים'!$B23, 'PPRs inner'!$A$2:$A$108, 0), MATCH('השוואת פקטורים'!S$6, טבלה2[[#Headers],[SPPR_1986]:[SPPR_symbolic_full_import_as_DC]], 0)) / INDEX(טבלה2[[SPPR_1986]:[SPPR_symbolic_full_import_as_DC]], MATCH('השוואת פקטורים'!$B23, 'PPRs inner'!$A$2:$A$108, 0), MATCH('השוואת פקטורים'!R$6, טבלה2[[#Headers],[SPPR_1986]:[SPPR_symbolic_full_import_as_DC]], 0))
)</f>
        <v>0.99798626523186917</v>
      </c>
      <c r="T23" s="9">
        <f>IF($B$4="סהכ",
INDEX(טבלה1[[SPPR_1986]:[SPPR_symbolic_full_import_as_DC]], MATCH('השוואת פקטורים'!$B23, 'PPRs all'!$A$2:$A$108, 0), MATCH('השוואת פקטורים'!T$6, טבלה1[[#Headers],[SPPR_1986]:[SPPR_symbolic_full_import_as_DC]], 0)) / INDEX(טבלה1[[SPPR_1986]:[SPPR_symbolic_full_import_as_DC]], MATCH('השוואת פקטורים'!$B23, 'PPRs all'!$A$2:$A$108, 0), MATCH('השוואת פקטורים'!S$6, טבלה1[[#Headers],[SPPR_1986]:[SPPR_symbolic_full_import_as_DC]], 0)),
INDEX(טבלה2[[SPPR_1986]:[SPPR_symbolic_full_import_as_DC]], MATCH('השוואת פקטורים'!$B23, 'PPRs inner'!$A$2:$A$108, 0), MATCH('השוואת פקטורים'!T$6, טבלה2[[#Headers],[SPPR_1986]:[SPPR_symbolic_full_import_as_DC]], 0)) / INDEX(טבלה2[[SPPR_1986]:[SPPR_symbolic_full_import_as_DC]], MATCH('השוואת פקטורים'!$B23, 'PPRs inner'!$A$2:$A$108, 0), MATCH('השוואת פקטורים'!S$6, טבלה2[[#Headers],[SPPR_1986]:[SPPR_symbolic_full_import_as_DC]], 0))
)</f>
        <v>1.0020177980782761</v>
      </c>
      <c r="U23" s="9">
        <f>IF($B$4="סהכ",
INDEX(טבלה1[[SPPR_1986]:[SPPR_symbolic_full_import_as_DC]], MATCH('השוואת פקטורים'!$B23, 'PPRs all'!$A$2:$A$108, 0), MATCH('השוואת פקטורים'!U$6, טבלה1[[#Headers],[SPPR_1986]:[SPPR_symbolic_full_import_as_DC]], 0)) / INDEX(טבלה1[[SPPR_1986]:[SPPR_symbolic_full_import_as_DC]], MATCH('השוואת פקטורים'!$B23, 'PPRs all'!$A$2:$A$108, 0), MATCH('השוואת פקטורים'!T$6, טבלה1[[#Headers],[SPPR_1986]:[SPPR_symbolic_full_import_as_DC]], 0)),
INDEX(טבלה2[[SPPR_1986]:[SPPR_symbolic_full_import_as_DC]], MATCH('השוואת פקטורים'!$B23, 'PPRs inner'!$A$2:$A$108, 0), MATCH('השוואת פקטורים'!U$6, טבלה2[[#Headers],[SPPR_1986]:[SPPR_symbolic_full_import_as_DC]], 0)) / INDEX(טבלה2[[SPPR_1986]:[SPPR_symbolic_full_import_as_DC]], MATCH('השוואת פקטורים'!$B23, 'PPRs inner'!$A$2:$A$108, 0), MATCH('השוואת פקטורים'!T$6, טבלה2[[#Headers],[SPPR_1986]:[SPPR_symbolic_full_import_as_DC]], 0))
)</f>
        <v>0.99798626523187095</v>
      </c>
      <c r="V23" s="9"/>
      <c r="W23" s="9"/>
      <c r="X23" s="14"/>
      <c r="Y23" s="14"/>
      <c r="Z23" s="15">
        <f t="shared" si="2"/>
        <v>5.1901556820602286</v>
      </c>
    </row>
    <row r="24" spans="2:26" x14ac:dyDescent="0.3">
      <c r="B24" s="6" t="s">
        <v>38</v>
      </c>
      <c r="C24" s="12" t="b">
        <v>1</v>
      </c>
      <c r="D24" s="12" t="b">
        <v>1</v>
      </c>
      <c r="E24" s="12" t="b">
        <v>1</v>
      </c>
      <c r="F24" s="12" t="b">
        <f t="shared" si="1"/>
        <v>1</v>
      </c>
      <c r="G24" s="7" t="b">
        <f>ABS(INDEX(טבלה5[[SPPR_1986]:[SPPR_symbolic_full_import_as_DC]],MATCH('השוואת פקטורים'!$B24,טבלה5[עמודה1],0),MATCH($C$4,טבלה5[[#Headers],[SPPR_1986]:[SPPR_symbolic_full_import_as_DC]],0))) &lt; 5</f>
        <v>1</v>
      </c>
      <c r="H24" s="7" t="b">
        <f>INDEX(טבלה3[[SPPR_1986]:[SPPR_symbolic_full_import_as_DC]],MATCH('השוואת פקטורים'!$B24,טבלה3[עמודה1],0),MATCH($C$4,טבלה3[[#Headers],[SPPR_1986]:[SPPR_symbolic_full_import_as_DC]],0))</f>
        <v>1</v>
      </c>
      <c r="I24" s="7" t="b">
        <f t="shared" si="0"/>
        <v>1</v>
      </c>
      <c r="J24" s="13"/>
      <c r="K24" s="9">
        <f>IF($B$4="סהכ",
INDEX(טבלה1[[SPPR_1986]:[SPPR_symbolic_full_import_as_DC]], MATCH('השוואת פקטורים'!$B24, 'PPRs all'!$A$2:$A$108, 0), MATCH('השוואת פקטורים'!K$6, טבלה1[[#Headers],[SPPR_1986]:[SPPR_symbolic_full_import_as_DC]], 0)) / INDEX(טבלה1[[SPPR_1986]:[SPPR_symbolic_full_import_as_DC]], MATCH('השוואת פקטורים'!$B24, 'PPRs all'!$A$2:$A$108, 0), MATCH('השוואת פקטורים'!J$6, טבלה1[[#Headers],[SPPR_1986]:[SPPR_symbolic_full_import_as_DC]], 0)),
INDEX(טבלה2[[SPPR_1986]:[SPPR_symbolic_full_import_as_DC]], MATCH('השוואת פקטורים'!$B24, 'PPRs inner'!$A$2:$A$108, 0), MATCH('השוואת פקטורים'!K$6, טבלה2[[#Headers],[SPPR_1986]:[SPPR_symbolic_full_import_as_DC]], 0)) / INDEX(טבלה2[[SPPR_1986]:[SPPR_symbolic_full_import_as_DC]], MATCH('השוואת פקטורים'!$B24, 'PPRs inner'!$A$2:$A$108, 0), MATCH('השוואת פקטורים'!J$6, טבלה2[[#Headers],[SPPR_1986]:[SPPR_symbolic_full_import_as_DC]], 0))
)</f>
        <v>1.2419627125826573</v>
      </c>
      <c r="L24" s="9">
        <f>IF($B$4="סהכ",
INDEX(טבלה1[[SPPR_1986]:[SPPR_symbolic_full_import_as_DC]], MATCH('השוואת פקטורים'!$B24, 'PPRs all'!$A$2:$A$108, 0), MATCH('השוואת פקטורים'!L$6, טבלה1[[#Headers],[SPPR_1986]:[SPPR_symbolic_full_import_as_DC]], 0)) / INDEX(טבלה1[[SPPR_1986]:[SPPR_symbolic_full_import_as_DC]], MATCH('השוואת פקטורים'!$B24, 'PPRs all'!$A$2:$A$108, 0), MATCH('השוואת פקטורים'!K$6, טבלה1[[#Headers],[SPPR_1986]:[SPPR_symbolic_full_import_as_DC]], 0)),
INDEX(טבלה2[[SPPR_1986]:[SPPR_symbolic_full_import_as_DC]], MATCH('השוואת פקטורים'!$B24, 'PPRs inner'!$A$2:$A$108, 0), MATCH('השוואת פקטורים'!L$6, טבלה2[[#Headers],[SPPR_1986]:[SPPR_symbolic_full_import_as_DC]], 0)) / INDEX(טבלה2[[SPPR_1986]:[SPPR_symbolic_full_import_as_DC]], MATCH('השוואת פקטורים'!$B24, 'PPRs inner'!$A$2:$A$108, 0), MATCH('השוואת פקטורים'!K$6, טבלה2[[#Headers],[SPPR_1986]:[SPPR_symbolic_full_import_as_DC]], 0))
)</f>
        <v>8.536250368790089</v>
      </c>
      <c r="M24" s="9">
        <f>IF($B$4="סהכ",
INDEX(טבלה1[[SPPR_1986]:[SPPR_symbolic_full_import_as_DC]], MATCH('השוואת פקטורים'!$B24, 'PPRs all'!$A$2:$A$108, 0), MATCH('השוואת פקטורים'!M$6, טבלה1[[#Headers],[SPPR_1986]:[SPPR_symbolic_full_import_as_DC]], 0)) / INDEX(טבלה1[[SPPR_1986]:[SPPR_symbolic_full_import_as_DC]], MATCH('השוואת פקטורים'!$B24, 'PPRs all'!$A$2:$A$108, 0), MATCH('השוואת פקטורים'!L$6, טבלה1[[#Headers],[SPPR_1986]:[SPPR_symbolic_full_import_as_DC]], 0)),
INDEX(טבלה2[[SPPR_1986]:[SPPR_symbolic_full_import_as_DC]], MATCH('השוואת פקטורים'!$B24, 'PPRs inner'!$A$2:$A$108, 0), MATCH('השוואת פקטורים'!M$6, טבלה2[[#Headers],[SPPR_1986]:[SPPR_symbolic_full_import_as_DC]], 0)) / INDEX(טבלה2[[SPPR_1986]:[SPPR_symbolic_full_import_as_DC]], MATCH('השוואת פקטורים'!$B24, 'PPRs inner'!$A$2:$A$108, 0), MATCH('השוואת פקטורים'!L$6, טבלה2[[#Headers],[SPPR_1986]:[SPPR_symbolic_full_import_as_DC]], 0))
)</f>
        <v>0.20636471600582429</v>
      </c>
      <c r="N24" s="9">
        <f>IF($B$4="סהכ",
INDEX(טבלה1[[SPPR_1986]:[SPPR_symbolic_full_import_as_DC]], MATCH('השוואת פקטורים'!$B24, 'PPRs all'!$A$2:$A$108, 0), MATCH('השוואת פקטורים'!N$6, טבלה1[[#Headers],[SPPR_1986]:[SPPR_symbolic_full_import_as_DC]], 0)) / INDEX(טבלה1[[SPPR_1986]:[SPPR_symbolic_full_import_as_DC]], MATCH('השוואת פקטורים'!$B24, 'PPRs all'!$A$2:$A$108, 0), MATCH('השוואת פקטורים'!M$6, טבלה1[[#Headers],[SPPR_1986]:[SPPR_symbolic_full_import_as_DC]], 0)),
INDEX(טבלה2[[SPPR_1986]:[SPPR_symbolic_full_import_as_DC]], MATCH('השוואת פקטורים'!$B24, 'PPRs inner'!$A$2:$A$108, 0), MATCH('השוואת פקטורים'!N$6, טבלה2[[#Headers],[SPPR_1986]:[SPPR_symbolic_full_import_as_DC]], 0)) / INDEX(טבלה2[[SPPR_1986]:[SPPR_symbolic_full_import_as_DC]], MATCH('השוואת פקטורים'!$B24, 'PPRs inner'!$A$2:$A$108, 0), MATCH('השוואת פקטורים'!M$6, טבלה2[[#Headers],[SPPR_1986]:[SPPR_symbolic_full_import_as_DC]], 0))
)</f>
        <v>2.2247728843564563</v>
      </c>
      <c r="O24" s="9">
        <f>IF($B$4="סהכ",
INDEX(טבלה1[[SPPR_1986]:[SPPR_symbolic_full_import_as_DC]], MATCH('השוואת פקטורים'!$B24, 'PPRs all'!$A$2:$A$108, 0), MATCH('השוואת פקטורים'!O$6, טבלה1[[#Headers],[SPPR_1986]:[SPPR_symbolic_full_import_as_DC]], 0)) / INDEX(טבלה1[[SPPR_1986]:[SPPR_symbolic_full_import_as_DC]], MATCH('השוואת פקטורים'!$B24, 'PPRs all'!$A$2:$A$108, 0), MATCH('השוואת פקטורים'!N$6, טבלה1[[#Headers],[SPPR_1986]:[SPPR_symbolic_full_import_as_DC]], 0)),
INDEX(טבלה2[[SPPR_1986]:[SPPR_symbolic_full_import_as_DC]], MATCH('השוואת פקטורים'!$B24, 'PPRs inner'!$A$2:$A$108, 0), MATCH('השוואת פקטורים'!O$6, טבלה2[[#Headers],[SPPR_1986]:[SPPR_symbolic_full_import_as_DC]], 0)) / INDEX(טבלה2[[SPPR_1986]:[SPPR_symbolic_full_import_as_DC]], MATCH('השוואת פקטורים'!$B24, 'PPRs inner'!$A$2:$A$108, 0), MATCH('השוואת פקטורים'!N$6, טבלה2[[#Headers],[SPPR_1986]:[SPPR_symbolic_full_import_as_DC]], 0))
)</f>
        <v>0.99999999999999756</v>
      </c>
      <c r="P24" s="9">
        <f>IF($B$4="סהכ",
INDEX(טבלה1[[SPPR_1986]:[SPPR_symbolic_full_import_as_DC]], MATCH('השוואת פקטורים'!$B24, 'PPRs all'!$A$2:$A$108, 0), MATCH('השוואת פקטורים'!P$6, טבלה1[[#Headers],[SPPR_1986]:[SPPR_symbolic_full_import_as_DC]], 0)) / INDEX(טבלה1[[SPPR_1986]:[SPPR_symbolic_full_import_as_DC]], MATCH('השוואת פקטורים'!$B24, 'PPRs all'!$A$2:$A$108, 0), MATCH('השוואת פקטורים'!O$6, טבלה1[[#Headers],[SPPR_1986]:[SPPR_symbolic_full_import_as_DC]], 0)),
INDEX(טבלה2[[SPPR_1986]:[SPPR_symbolic_full_import_as_DC]], MATCH('השוואת פקטורים'!$B24, 'PPRs inner'!$A$2:$A$108, 0), MATCH('השוואת פקטורים'!P$6, טבלה2[[#Headers],[SPPR_1986]:[SPPR_symbolic_full_import_as_DC]], 0)) / INDEX(טבלה2[[SPPR_1986]:[SPPR_symbolic_full_import_as_DC]], MATCH('השוואת פקטורים'!$B24, 'PPRs inner'!$A$2:$A$108, 0), MATCH('השוואת פקטורים'!O$6, טבלה2[[#Headers],[SPPR_1986]:[SPPR_symbolic_full_import_as_DC]], 0))
)</f>
        <v>0.30210400749934274</v>
      </c>
      <c r="Q24" s="9">
        <f>IF($B$4="סהכ",
INDEX(טבלה1[[SPPR_1986]:[SPPR_symbolic_full_import_as_DC]], MATCH('השוואת פקטורים'!$B24, 'PPRs all'!$A$2:$A$108, 0), MATCH('השוואת פקטורים'!Q$6, טבלה1[[#Headers],[SPPR_1986]:[SPPR_symbolic_full_import_as_DC]], 0)) / INDEX(טבלה1[[SPPR_1986]:[SPPR_symbolic_full_import_as_DC]], MATCH('השוואת פקטורים'!$B24, 'PPRs all'!$A$2:$A$108, 0), MATCH('השוואת פקטורים'!P$6, טבלה1[[#Headers],[SPPR_1986]:[SPPR_symbolic_full_import_as_DC]], 0)),
INDEX(טבלה2[[SPPR_1986]:[SPPR_symbolic_full_import_as_DC]], MATCH('השוואת פקטורים'!$B24, 'PPRs inner'!$A$2:$A$108, 0), MATCH('השוואת פקטורים'!Q$6, טבלה2[[#Headers],[SPPR_1986]:[SPPR_symbolic_full_import_as_DC]], 0)) / INDEX(טבלה2[[SPPR_1986]:[SPPR_symbolic_full_import_as_DC]], MATCH('השוואת פקטורים'!$B24, 'PPRs inner'!$A$2:$A$108, 0), MATCH('השוואת פקטורים'!P$6, טבלה2[[#Headers],[SPPR_1986]:[SPPR_symbolic_full_import_as_DC]], 0))
)</f>
        <v>0.99999999999999711</v>
      </c>
      <c r="R24" s="9">
        <f>IF($B$4="סהכ",
INDEX(טבלה1[[SPPR_1986]:[SPPR_symbolic_full_import_as_DC]], MATCH('השוואת פקטורים'!$B24, 'PPRs all'!$A$2:$A$108, 0), MATCH('השוואת פקטורים'!R$6, טבלה1[[#Headers],[SPPR_1986]:[SPPR_symbolic_full_import_as_DC]], 0)) / INDEX(טבלה1[[SPPR_1986]:[SPPR_symbolic_full_import_as_DC]], MATCH('השוואת פקטורים'!$B24, 'PPRs all'!$A$2:$A$108, 0), MATCH('השוואת פקטורים'!Q$6, טבלה1[[#Headers],[SPPR_1986]:[SPPR_symbolic_full_import_as_DC]], 0)),
INDEX(טבלה2[[SPPR_1986]:[SPPR_symbolic_full_import_as_DC]], MATCH('השוואת פקטורים'!$B24, 'PPRs inner'!$A$2:$A$108, 0), MATCH('השוואת פקטורים'!R$6, טבלה2[[#Headers],[SPPR_1986]:[SPPR_symbolic_full_import_as_DC]], 0)) / INDEX(טבלה2[[SPPR_1986]:[SPPR_symbolic_full_import_as_DC]], MATCH('השוואת פקטורים'!$B24, 'PPRs inner'!$A$2:$A$108, 0), MATCH('השוואת פקטורים'!Q$6, טבלה2[[#Headers],[SPPR_1986]:[SPPR_symbolic_full_import_as_DC]], 0))
)</f>
        <v>1.0006462128798546</v>
      </c>
      <c r="S24" s="9">
        <f>IF($B$4="סהכ",
INDEX(טבלה1[[SPPR_1986]:[SPPR_symbolic_full_import_as_DC]], MATCH('השוואת פקטורים'!$B24, 'PPRs all'!$A$2:$A$108, 0), MATCH('השוואת פקטורים'!S$6, טבלה1[[#Headers],[SPPR_1986]:[SPPR_symbolic_full_import_as_DC]], 0)) / INDEX(טבלה1[[SPPR_1986]:[SPPR_symbolic_full_import_as_DC]], MATCH('השוואת פקטורים'!$B24, 'PPRs all'!$A$2:$A$108, 0), MATCH('השוואת פקטורים'!R$6, טבלה1[[#Headers],[SPPR_1986]:[SPPR_symbolic_full_import_as_DC]], 0)),
INDEX(טבלה2[[SPPR_1986]:[SPPR_symbolic_full_import_as_DC]], MATCH('השוואת פקטורים'!$B24, 'PPRs inner'!$A$2:$A$108, 0), MATCH('השוואת פקטורים'!S$6, טבלה2[[#Headers],[SPPR_1986]:[SPPR_symbolic_full_import_as_DC]], 0)) / INDEX(טבלה2[[SPPR_1986]:[SPPR_symbolic_full_import_as_DC]], MATCH('השוואת פקטורים'!$B24, 'PPRs inner'!$A$2:$A$108, 0), MATCH('השוואת פקטורים'!R$6, טבלה2[[#Headers],[SPPR_1986]:[SPPR_symbolic_full_import_as_DC]], 0))
)</f>
        <v>0.99935420444155298</v>
      </c>
      <c r="T24" s="9">
        <f>IF($B$4="סהכ",
INDEX(טבלה1[[SPPR_1986]:[SPPR_symbolic_full_import_as_DC]], MATCH('השוואת פקטורים'!$B24, 'PPRs all'!$A$2:$A$108, 0), MATCH('השוואת פקטורים'!T$6, טבלה1[[#Headers],[SPPR_1986]:[SPPR_symbolic_full_import_as_DC]], 0)) / INDEX(טבלה1[[SPPR_1986]:[SPPR_symbolic_full_import_as_DC]], MATCH('השוואת פקטורים'!$B24, 'PPRs all'!$A$2:$A$108, 0), MATCH('השוואת פקטורים'!S$6, טבלה1[[#Headers],[SPPR_1986]:[SPPR_symbolic_full_import_as_DC]], 0)),
INDEX(טבלה2[[SPPR_1986]:[SPPR_symbolic_full_import_as_DC]], MATCH('השוואת פקטורים'!$B24, 'PPRs inner'!$A$2:$A$108, 0), MATCH('השוואת פקטורים'!T$6, טבלה2[[#Headers],[SPPR_1986]:[SPPR_symbolic_full_import_as_DC]], 0)) / INDEX(טבלה2[[SPPR_1986]:[SPPR_symbolic_full_import_as_DC]], MATCH('השוואת פקטורים'!$B24, 'PPRs inner'!$A$2:$A$108, 0), MATCH('השוואת פקטורים'!S$6, טבלה2[[#Headers],[SPPR_1986]:[SPPR_symbolic_full_import_as_DC]], 0))
)</f>
        <v>1.0006462128798546</v>
      </c>
      <c r="U24" s="9">
        <f>IF($B$4="סהכ",
INDEX(טבלה1[[SPPR_1986]:[SPPR_symbolic_full_import_as_DC]], MATCH('השוואת פקטורים'!$B24, 'PPRs all'!$A$2:$A$108, 0), MATCH('השוואת פקטורים'!U$6, טבלה1[[#Headers],[SPPR_1986]:[SPPR_symbolic_full_import_as_DC]], 0)) / INDEX(טבלה1[[SPPR_1986]:[SPPR_symbolic_full_import_as_DC]], MATCH('השוואת פקטורים'!$B24, 'PPRs all'!$A$2:$A$108, 0), MATCH('השוואת פקטורים'!T$6, טבלה1[[#Headers],[SPPR_1986]:[SPPR_symbolic_full_import_as_DC]], 0)),
INDEX(טבלה2[[SPPR_1986]:[SPPR_symbolic_full_import_as_DC]], MATCH('השוואת פקטורים'!$B24, 'PPRs inner'!$A$2:$A$108, 0), MATCH('השוואת פקטורים'!U$6, טבלה2[[#Headers],[SPPR_1986]:[SPPR_symbolic_full_import_as_DC]], 0)) / INDEX(טבלה2[[SPPR_1986]:[SPPR_symbolic_full_import_as_DC]], MATCH('השוואת פקטורים'!$B24, 'PPRs inner'!$A$2:$A$108, 0), MATCH('השוואת פקטורים'!T$6, טבלה2[[#Headers],[SPPR_1986]:[SPPR_symbolic_full_import_as_DC]], 0))
)</f>
        <v>0.99935420444155587</v>
      </c>
      <c r="V24" s="9"/>
      <c r="W24" s="9"/>
      <c r="X24" s="14"/>
      <c r="Y24" s="14"/>
      <c r="Z24" s="15">
        <f t="shared" si="2"/>
        <v>1.4704603377002801</v>
      </c>
    </row>
    <row r="25" spans="2:26" x14ac:dyDescent="0.3">
      <c r="B25" s="6" t="s">
        <v>39</v>
      </c>
      <c r="C25" s="12" t="b">
        <v>1</v>
      </c>
      <c r="D25" s="12" t="b">
        <v>1</v>
      </c>
      <c r="E25" s="12" t="b">
        <v>1</v>
      </c>
      <c r="F25" s="12" t="b">
        <f t="shared" si="1"/>
        <v>1</v>
      </c>
      <c r="G25" s="7" t="b">
        <f>ABS(INDEX(טבלה5[[SPPR_1986]:[SPPR_symbolic_full_import_as_DC]],MATCH('השוואת פקטורים'!$B25,טבלה5[עמודה1],0),MATCH($C$4,טבלה5[[#Headers],[SPPR_1986]:[SPPR_symbolic_full_import_as_DC]],0))) &lt; 5</f>
        <v>1</v>
      </c>
      <c r="H25" s="7" t="b">
        <f>INDEX(טבלה3[[SPPR_1986]:[SPPR_symbolic_full_import_as_DC]],MATCH('השוואת פקטורים'!$B25,טבלה3[עמודה1],0),MATCH($C$4,טבלה3[[#Headers],[SPPR_1986]:[SPPR_symbolic_full_import_as_DC]],0))</f>
        <v>1</v>
      </c>
      <c r="I25" s="7" t="b">
        <f t="shared" si="0"/>
        <v>1</v>
      </c>
      <c r="J25" s="13"/>
      <c r="K25" s="9">
        <f>IF($B$4="סהכ",
INDEX(טבלה1[[SPPR_1986]:[SPPR_symbolic_full_import_as_DC]], MATCH('השוואת פקטורים'!$B25, 'PPRs all'!$A$2:$A$108, 0), MATCH('השוואת פקטורים'!K$6, טבלה1[[#Headers],[SPPR_1986]:[SPPR_symbolic_full_import_as_DC]], 0)) / INDEX(טבלה1[[SPPR_1986]:[SPPR_symbolic_full_import_as_DC]], MATCH('השוואת פקטורים'!$B25, 'PPRs all'!$A$2:$A$108, 0), MATCH('השוואת פקטורים'!J$6, טבלה1[[#Headers],[SPPR_1986]:[SPPR_symbolic_full_import_as_DC]], 0)),
INDEX(טבלה2[[SPPR_1986]:[SPPR_symbolic_full_import_as_DC]], MATCH('השוואת פקטורים'!$B25, 'PPRs inner'!$A$2:$A$108, 0), MATCH('השוואת פקטורים'!K$6, טבלה2[[#Headers],[SPPR_1986]:[SPPR_symbolic_full_import_as_DC]], 0)) / INDEX(טבלה2[[SPPR_1986]:[SPPR_symbolic_full_import_as_DC]], MATCH('השוואת פקטורים'!$B25, 'PPRs inner'!$A$2:$A$108, 0), MATCH('השוואת פקטורים'!J$6, טבלה2[[#Headers],[SPPR_1986]:[SPPR_symbolic_full_import_as_DC]], 0))
)</f>
        <v>0.5177693602918273</v>
      </c>
      <c r="L25" s="9">
        <f>IF($B$4="סהכ",
INDEX(טבלה1[[SPPR_1986]:[SPPR_symbolic_full_import_as_DC]], MATCH('השוואת פקטורים'!$B25, 'PPRs all'!$A$2:$A$108, 0), MATCH('השוואת פקטורים'!L$6, טבלה1[[#Headers],[SPPR_1986]:[SPPR_symbolic_full_import_as_DC]], 0)) / INDEX(טבלה1[[SPPR_1986]:[SPPR_symbolic_full_import_as_DC]], MATCH('השוואת פקטורים'!$B25, 'PPRs all'!$A$2:$A$108, 0), MATCH('השוואת פקטורים'!K$6, טבלה1[[#Headers],[SPPR_1986]:[SPPR_symbolic_full_import_as_DC]], 0)),
INDEX(טבלה2[[SPPR_1986]:[SPPR_symbolic_full_import_as_DC]], MATCH('השוואת פקטורים'!$B25, 'PPRs inner'!$A$2:$A$108, 0), MATCH('השוואת פקטורים'!L$6, טבלה2[[#Headers],[SPPR_1986]:[SPPR_symbolic_full_import_as_DC]], 0)) / INDEX(טבלה2[[SPPR_1986]:[SPPR_symbolic_full_import_as_DC]], MATCH('השוואת פקטורים'!$B25, 'PPRs inner'!$A$2:$A$108, 0), MATCH('השוואת פקטורים'!K$6, טבלה2[[#Headers],[SPPR_1986]:[SPPR_symbolic_full_import_as_DC]], 0))
)</f>
        <v>4.7244475422608643</v>
      </c>
      <c r="M25" s="9">
        <f>IF($B$4="סהכ",
INDEX(טבלה1[[SPPR_1986]:[SPPR_symbolic_full_import_as_DC]], MATCH('השוואת פקטורים'!$B25, 'PPRs all'!$A$2:$A$108, 0), MATCH('השוואת פקטורים'!M$6, טבלה1[[#Headers],[SPPR_1986]:[SPPR_symbolic_full_import_as_DC]], 0)) / INDEX(טבלה1[[SPPR_1986]:[SPPR_symbolic_full_import_as_DC]], MATCH('השוואת פקטורים'!$B25, 'PPRs all'!$A$2:$A$108, 0), MATCH('השוואת פקטורים'!L$6, טבלה1[[#Headers],[SPPR_1986]:[SPPR_symbolic_full_import_as_DC]], 0)),
INDEX(טבלה2[[SPPR_1986]:[SPPR_symbolic_full_import_as_DC]], MATCH('השוואת פקטורים'!$B25, 'PPRs inner'!$A$2:$A$108, 0), MATCH('השוואת פקטורים'!M$6, טבלה2[[#Headers],[SPPR_1986]:[SPPR_symbolic_full_import_as_DC]], 0)) / INDEX(טבלה2[[SPPR_1986]:[SPPR_symbolic_full_import_as_DC]], MATCH('השוואת פקטורים'!$B25, 'PPRs inner'!$A$2:$A$108, 0), MATCH('השוואת פקטורים'!L$6, טבלה2[[#Headers],[SPPR_1986]:[SPPR_symbolic_full_import_as_DC]], 0))
)</f>
        <v>0.60016513884876699</v>
      </c>
      <c r="N25" s="9">
        <f>IF($B$4="סהכ",
INDEX(טבלה1[[SPPR_1986]:[SPPR_symbolic_full_import_as_DC]], MATCH('השוואת פקטורים'!$B25, 'PPRs all'!$A$2:$A$108, 0), MATCH('השוואת פקטורים'!N$6, טבלה1[[#Headers],[SPPR_1986]:[SPPR_symbolic_full_import_as_DC]], 0)) / INDEX(טבלה1[[SPPR_1986]:[SPPR_symbolic_full_import_as_DC]], MATCH('השוואת פקטורים'!$B25, 'PPRs all'!$A$2:$A$108, 0), MATCH('השוואת פקטורים'!M$6, טבלה1[[#Headers],[SPPR_1986]:[SPPR_symbolic_full_import_as_DC]], 0)),
INDEX(טבלה2[[SPPR_1986]:[SPPR_symbolic_full_import_as_DC]], MATCH('השוואת פקטורים'!$B25, 'PPRs inner'!$A$2:$A$108, 0), MATCH('השוואת פקטורים'!N$6, טבלה2[[#Headers],[SPPR_1986]:[SPPR_symbolic_full_import_as_DC]], 0)) / INDEX(טבלה2[[SPPR_1986]:[SPPR_symbolic_full_import_as_DC]], MATCH('השוואת פקטורים'!$B25, 'PPRs inner'!$A$2:$A$108, 0), MATCH('השוואת פקטורים'!M$6, טבלה2[[#Headers],[SPPR_1986]:[SPPR_symbolic_full_import_as_DC]], 0))
)</f>
        <v>3.3208194987660016</v>
      </c>
      <c r="O25" s="9">
        <f>IF($B$4="סהכ",
INDEX(טבלה1[[SPPR_1986]:[SPPR_symbolic_full_import_as_DC]], MATCH('השוואת פקטורים'!$B25, 'PPRs all'!$A$2:$A$108, 0), MATCH('השוואת פקטורים'!O$6, טבלה1[[#Headers],[SPPR_1986]:[SPPR_symbolic_full_import_as_DC]], 0)) / INDEX(טבלה1[[SPPR_1986]:[SPPR_symbolic_full_import_as_DC]], MATCH('השוואת פקטורים'!$B25, 'PPRs all'!$A$2:$A$108, 0), MATCH('השוואת פקטורים'!N$6, טבלה1[[#Headers],[SPPR_1986]:[SPPR_symbolic_full_import_as_DC]], 0)),
INDEX(טבלה2[[SPPR_1986]:[SPPR_symbolic_full_import_as_DC]], MATCH('השוואת פקטורים'!$B25, 'PPRs inner'!$A$2:$A$108, 0), MATCH('השוואת פקטורים'!O$6, טבלה2[[#Headers],[SPPR_1986]:[SPPR_symbolic_full_import_as_DC]], 0)) / INDEX(טבלה2[[SPPR_1986]:[SPPR_symbolic_full_import_as_DC]], MATCH('השוואת פקטורים'!$B25, 'PPRs inner'!$A$2:$A$108, 0), MATCH('השוואת פקטורים'!N$6, טבלה2[[#Headers],[SPPR_1986]:[SPPR_symbolic_full_import_as_DC]], 0))
)</f>
        <v>1.0000000000000009</v>
      </c>
      <c r="P25" s="9">
        <f>IF($B$4="סהכ",
INDEX(טבלה1[[SPPR_1986]:[SPPR_symbolic_full_import_as_DC]], MATCH('השוואת פקטורים'!$B25, 'PPRs all'!$A$2:$A$108, 0), MATCH('השוואת פקטורים'!P$6, טבלה1[[#Headers],[SPPR_1986]:[SPPR_symbolic_full_import_as_DC]], 0)) / INDEX(טבלה1[[SPPR_1986]:[SPPR_symbolic_full_import_as_DC]], MATCH('השוואת פקטורים'!$B25, 'PPRs all'!$A$2:$A$108, 0), MATCH('השוואת פקטורים'!O$6, טבלה1[[#Headers],[SPPR_1986]:[SPPR_symbolic_full_import_as_DC]], 0)),
INDEX(טבלה2[[SPPR_1986]:[SPPR_symbolic_full_import_as_DC]], MATCH('השוואת פקטורים'!$B25, 'PPRs inner'!$A$2:$A$108, 0), MATCH('השוואת פקטורים'!P$6, טבלה2[[#Headers],[SPPR_1986]:[SPPR_symbolic_full_import_as_DC]], 0)) / INDEX(טבלה2[[SPPR_1986]:[SPPR_symbolic_full_import_as_DC]], MATCH('השוואת פקטורים'!$B25, 'PPRs inner'!$A$2:$A$108, 0), MATCH('השוואת פקטורים'!O$6, טבלה2[[#Headers],[SPPR_1986]:[SPPR_symbolic_full_import_as_DC]], 0))
)</f>
        <v>0.17404691146700929</v>
      </c>
      <c r="Q25" s="9">
        <f>IF($B$4="סהכ",
INDEX(טבלה1[[SPPR_1986]:[SPPR_symbolic_full_import_as_DC]], MATCH('השוואת פקטורים'!$B25, 'PPRs all'!$A$2:$A$108, 0), MATCH('השוואת פקטורים'!Q$6, טבלה1[[#Headers],[SPPR_1986]:[SPPR_symbolic_full_import_as_DC]], 0)) / INDEX(טבלה1[[SPPR_1986]:[SPPR_symbolic_full_import_as_DC]], MATCH('השוואת פקטורים'!$B25, 'PPRs all'!$A$2:$A$108, 0), MATCH('השוואת פקטורים'!P$6, טבלה1[[#Headers],[SPPR_1986]:[SPPR_symbolic_full_import_as_DC]], 0)),
INDEX(טבלה2[[SPPR_1986]:[SPPR_symbolic_full_import_as_DC]], MATCH('השוואת פקטורים'!$B25, 'PPRs inner'!$A$2:$A$108, 0), MATCH('השוואת פקטורים'!Q$6, טבלה2[[#Headers],[SPPR_1986]:[SPPR_symbolic_full_import_as_DC]], 0)) / INDEX(טבלה2[[SPPR_1986]:[SPPR_symbolic_full_import_as_DC]], MATCH('השוואת פקטורים'!$B25, 'PPRs inner'!$A$2:$A$108, 0), MATCH('השוואת פקטורים'!P$6, טבלה2[[#Headers],[SPPR_1986]:[SPPR_symbolic_full_import_as_DC]], 0))
)</f>
        <v>0.99999999999999889</v>
      </c>
      <c r="R25" s="9">
        <f>IF($B$4="סהכ",
INDEX(טבלה1[[SPPR_1986]:[SPPR_symbolic_full_import_as_DC]], MATCH('השוואת פקטורים'!$B25, 'PPRs all'!$A$2:$A$108, 0), MATCH('השוואת פקטורים'!R$6, טבלה1[[#Headers],[SPPR_1986]:[SPPR_symbolic_full_import_as_DC]], 0)) / INDEX(טבלה1[[SPPR_1986]:[SPPR_symbolic_full_import_as_DC]], MATCH('השוואת פקטורים'!$B25, 'PPRs all'!$A$2:$A$108, 0), MATCH('השוואת פקטורים'!Q$6, טבלה1[[#Headers],[SPPR_1986]:[SPPR_symbolic_full_import_as_DC]], 0)),
INDEX(טבלה2[[SPPR_1986]:[SPPR_symbolic_full_import_as_DC]], MATCH('השוואת פקטורים'!$B25, 'PPRs inner'!$A$2:$A$108, 0), MATCH('השוואת פקטורים'!R$6, טבלה2[[#Headers],[SPPR_1986]:[SPPR_symbolic_full_import_as_DC]], 0)) / INDEX(טבלה2[[SPPR_1986]:[SPPR_symbolic_full_import_as_DC]], MATCH('השוואת פקטורים'!$B25, 'PPRs inner'!$A$2:$A$108, 0), MATCH('השוואת פקטורים'!Q$6, טבלה2[[#Headers],[SPPR_1986]:[SPPR_symbolic_full_import_as_DC]], 0))
)</f>
        <v>1.0005142512261607</v>
      </c>
      <c r="S25" s="9">
        <f>IF($B$4="סהכ",
INDEX(טבלה1[[SPPR_1986]:[SPPR_symbolic_full_import_as_DC]], MATCH('השוואת פקטורים'!$B25, 'PPRs all'!$A$2:$A$108, 0), MATCH('השוואת פקטורים'!S$6, טבלה1[[#Headers],[SPPR_1986]:[SPPR_symbolic_full_import_as_DC]], 0)) / INDEX(טבלה1[[SPPR_1986]:[SPPR_symbolic_full_import_as_DC]], MATCH('השוואת פקטורים'!$B25, 'PPRs all'!$A$2:$A$108, 0), MATCH('השוואת פקטורים'!R$6, טבלה1[[#Headers],[SPPR_1986]:[SPPR_symbolic_full_import_as_DC]], 0)),
INDEX(טבלה2[[SPPR_1986]:[SPPR_symbolic_full_import_as_DC]], MATCH('השוואת פקטורים'!$B25, 'PPRs inner'!$A$2:$A$108, 0), MATCH('השוואת פקטורים'!S$6, טבלה2[[#Headers],[SPPR_1986]:[SPPR_symbolic_full_import_as_DC]], 0)) / INDEX(טבלה2[[SPPR_1986]:[SPPR_symbolic_full_import_as_DC]], MATCH('השוואת פקטורים'!$B25, 'PPRs inner'!$A$2:$A$108, 0), MATCH('השוואת פקטורים'!R$6, טבלה2[[#Headers],[SPPR_1986]:[SPPR_symbolic_full_import_as_DC]], 0))
)</f>
        <v>0.99948601309223695</v>
      </c>
      <c r="T25" s="9">
        <f>IF($B$4="סהכ",
INDEX(טבלה1[[SPPR_1986]:[SPPR_symbolic_full_import_as_DC]], MATCH('השוואת פקטורים'!$B25, 'PPRs all'!$A$2:$A$108, 0), MATCH('השוואת פקטורים'!T$6, טבלה1[[#Headers],[SPPR_1986]:[SPPR_symbolic_full_import_as_DC]], 0)) / INDEX(טבלה1[[SPPR_1986]:[SPPR_symbolic_full_import_as_DC]], MATCH('השוואת פקטורים'!$B25, 'PPRs all'!$A$2:$A$108, 0), MATCH('השוואת פקטורים'!S$6, טבלה1[[#Headers],[SPPR_1986]:[SPPR_symbolic_full_import_as_DC]], 0)),
INDEX(טבלה2[[SPPR_1986]:[SPPR_symbolic_full_import_as_DC]], MATCH('השוואת פקטורים'!$B25, 'PPRs inner'!$A$2:$A$108, 0), MATCH('השוואת פקטורים'!T$6, טבלה2[[#Headers],[SPPR_1986]:[SPPR_symbolic_full_import_as_DC]], 0)) / INDEX(טבלה2[[SPPR_1986]:[SPPR_symbolic_full_import_as_DC]], MATCH('השוואת פקטורים'!$B25, 'PPRs inner'!$A$2:$A$108, 0), MATCH('השוואת פקטורים'!S$6, טבלה2[[#Headers],[SPPR_1986]:[SPPR_symbolic_full_import_as_DC]], 0))
)</f>
        <v>1.0005142512261607</v>
      </c>
      <c r="U25" s="9">
        <f>IF($B$4="סהכ",
INDEX(טבלה1[[SPPR_1986]:[SPPR_symbolic_full_import_as_DC]], MATCH('השוואת פקטורים'!$B25, 'PPRs all'!$A$2:$A$108, 0), MATCH('השוואת פקטורים'!U$6, טבלה1[[#Headers],[SPPR_1986]:[SPPR_symbolic_full_import_as_DC]], 0)) / INDEX(טבלה1[[SPPR_1986]:[SPPR_symbolic_full_import_as_DC]], MATCH('השוואת פקטורים'!$B25, 'PPRs all'!$A$2:$A$108, 0), MATCH('השוואת פקטורים'!T$6, טבלה1[[#Headers],[SPPR_1986]:[SPPR_symbolic_full_import_as_DC]], 0)),
INDEX(טבלה2[[SPPR_1986]:[SPPR_symbolic_full_import_as_DC]], MATCH('השוואת פקטורים'!$B25, 'PPRs inner'!$A$2:$A$108, 0), MATCH('השוואת פקטורים'!U$6, טבלה2[[#Headers],[SPPR_1986]:[SPPR_symbolic_full_import_as_DC]], 0)) / INDEX(טבלה2[[SPPR_1986]:[SPPR_symbolic_full_import_as_DC]], MATCH('השוואת פקטורים'!$B25, 'PPRs inner'!$A$2:$A$108, 0), MATCH('השוואת פקטורים'!T$6, טבלה2[[#Headers],[SPPR_1986]:[SPPR_symbolic_full_import_as_DC]], 0))
)</f>
        <v>0.99948601309223806</v>
      </c>
      <c r="V25" s="9"/>
      <c r="W25" s="9"/>
      <c r="X25" s="14"/>
      <c r="Y25" s="14"/>
      <c r="Z25" s="15">
        <f t="shared" si="2"/>
        <v>0.84853494968857013</v>
      </c>
    </row>
    <row r="26" spans="2:26" x14ac:dyDescent="0.3">
      <c r="B26" s="6" t="s">
        <v>40</v>
      </c>
      <c r="C26" s="12" t="b">
        <v>1</v>
      </c>
      <c r="D26" s="12" t="b">
        <v>1</v>
      </c>
      <c r="E26" s="12" t="b">
        <v>1</v>
      </c>
      <c r="F26" s="12" t="b">
        <f t="shared" si="1"/>
        <v>1</v>
      </c>
      <c r="G26" s="7" t="b">
        <f>ABS(INDEX(טבלה5[[SPPR_1986]:[SPPR_symbolic_full_import_as_DC]],MATCH('השוואת פקטורים'!$B26,טבלה5[עמודה1],0),MATCH($C$4,טבלה5[[#Headers],[SPPR_1986]:[SPPR_symbolic_full_import_as_DC]],0))) &lt; 5</f>
        <v>1</v>
      </c>
      <c r="H26" s="7" t="b">
        <f>INDEX(טבלה3[[SPPR_1986]:[SPPR_symbolic_full_import_as_DC]],MATCH('השוואת פקטורים'!$B26,טבלה3[עמודה1],0),MATCH($C$4,טבלה3[[#Headers],[SPPR_1986]:[SPPR_symbolic_full_import_as_DC]],0))</f>
        <v>1</v>
      </c>
      <c r="I26" s="7" t="b">
        <f t="shared" si="0"/>
        <v>1</v>
      </c>
      <c r="J26" s="13"/>
      <c r="K26" s="9">
        <f>IF($B$4="סהכ",
INDEX(טבלה1[[SPPR_1986]:[SPPR_symbolic_full_import_as_DC]], MATCH('השוואת פקטורים'!$B26, 'PPRs all'!$A$2:$A$108, 0), MATCH('השוואת פקטורים'!K$6, טבלה1[[#Headers],[SPPR_1986]:[SPPR_symbolic_full_import_as_DC]], 0)) / INDEX(טבלה1[[SPPR_1986]:[SPPR_symbolic_full_import_as_DC]], MATCH('השוואת פקטורים'!$B26, 'PPRs all'!$A$2:$A$108, 0), MATCH('השוואת פקטורים'!J$6, טבלה1[[#Headers],[SPPR_1986]:[SPPR_symbolic_full_import_as_DC]], 0)),
INDEX(טבלה2[[SPPR_1986]:[SPPR_symbolic_full_import_as_DC]], MATCH('השוואת פקטורים'!$B26, 'PPRs inner'!$A$2:$A$108, 0), MATCH('השוואת פקטורים'!K$6, טבלה2[[#Headers],[SPPR_1986]:[SPPR_symbolic_full_import_as_DC]], 0)) / INDEX(טבלה2[[SPPR_1986]:[SPPR_symbolic_full_import_as_DC]], MATCH('השוואת פקטורים'!$B26, 'PPRs inner'!$A$2:$A$108, 0), MATCH('השוואת פקטורים'!J$6, טבלה2[[#Headers],[SPPR_1986]:[SPPR_symbolic_full_import_as_DC]], 0))
)</f>
        <v>0.57794798573326622</v>
      </c>
      <c r="L26" s="9">
        <f>IF($B$4="סהכ",
INDEX(טבלה1[[SPPR_1986]:[SPPR_symbolic_full_import_as_DC]], MATCH('השוואת פקטורים'!$B26, 'PPRs all'!$A$2:$A$108, 0), MATCH('השוואת פקטורים'!L$6, טבלה1[[#Headers],[SPPR_1986]:[SPPR_symbolic_full_import_as_DC]], 0)) / INDEX(טבלה1[[SPPR_1986]:[SPPR_symbolic_full_import_as_DC]], MATCH('השוואת פקטורים'!$B26, 'PPRs all'!$A$2:$A$108, 0), MATCH('השוואת פקטורים'!K$6, טבלה1[[#Headers],[SPPR_1986]:[SPPR_symbolic_full_import_as_DC]], 0)),
INDEX(טבלה2[[SPPR_1986]:[SPPR_symbolic_full_import_as_DC]], MATCH('השוואת פקטורים'!$B26, 'PPRs inner'!$A$2:$A$108, 0), MATCH('השוואת פקטורים'!L$6, טבלה2[[#Headers],[SPPR_1986]:[SPPR_symbolic_full_import_as_DC]], 0)) / INDEX(טבלה2[[SPPR_1986]:[SPPR_symbolic_full_import_as_DC]], MATCH('השוואת פקטורים'!$B26, 'PPRs inner'!$A$2:$A$108, 0), MATCH('השוואת פקטורים'!K$6, טבלה2[[#Headers],[SPPR_1986]:[SPPR_symbolic_full_import_as_DC]], 0))
)</f>
        <v>2.3208273791819014</v>
      </c>
      <c r="M26" s="9">
        <f>IF($B$4="סהכ",
INDEX(טבלה1[[SPPR_1986]:[SPPR_symbolic_full_import_as_DC]], MATCH('השוואת פקטורים'!$B26, 'PPRs all'!$A$2:$A$108, 0), MATCH('השוואת פקטורים'!M$6, טבלה1[[#Headers],[SPPR_1986]:[SPPR_symbolic_full_import_as_DC]], 0)) / INDEX(טבלה1[[SPPR_1986]:[SPPR_symbolic_full_import_as_DC]], MATCH('השוואת פקטורים'!$B26, 'PPRs all'!$A$2:$A$108, 0), MATCH('השוואת פקטורים'!L$6, טבלה1[[#Headers],[SPPR_1986]:[SPPR_symbolic_full_import_as_DC]], 0)),
INDEX(טבלה2[[SPPR_1986]:[SPPR_symbolic_full_import_as_DC]], MATCH('השוואת פקטורים'!$B26, 'PPRs inner'!$A$2:$A$108, 0), MATCH('השוואת פקטורים'!M$6, טבלה2[[#Headers],[SPPR_1986]:[SPPR_symbolic_full_import_as_DC]], 0)) / INDEX(טבלה2[[SPPR_1986]:[SPPR_symbolic_full_import_as_DC]], MATCH('השוואת פקטורים'!$B26, 'PPRs inner'!$A$2:$A$108, 0), MATCH('השוואת פקטורים'!L$6, טבלה2[[#Headers],[SPPR_1986]:[SPPR_symbolic_full_import_as_DC]], 0))
)</f>
        <v>1.1635633496247779</v>
      </c>
      <c r="N26" s="9">
        <f>IF($B$4="סהכ",
INDEX(טבלה1[[SPPR_1986]:[SPPR_symbolic_full_import_as_DC]], MATCH('השוואת פקטורים'!$B26, 'PPRs all'!$A$2:$A$108, 0), MATCH('השוואת פקטורים'!N$6, טבלה1[[#Headers],[SPPR_1986]:[SPPR_symbolic_full_import_as_DC]], 0)) / INDEX(טבלה1[[SPPR_1986]:[SPPR_symbolic_full_import_as_DC]], MATCH('השוואת פקטורים'!$B26, 'PPRs all'!$A$2:$A$108, 0), MATCH('השוואת פקטורים'!M$6, טבלה1[[#Headers],[SPPR_1986]:[SPPR_symbolic_full_import_as_DC]], 0)),
INDEX(טבלה2[[SPPR_1986]:[SPPR_symbolic_full_import_as_DC]], MATCH('השוואת פקטורים'!$B26, 'PPRs inner'!$A$2:$A$108, 0), MATCH('השוואת פקטורים'!N$6, טבלה2[[#Headers],[SPPR_1986]:[SPPR_symbolic_full_import_as_DC]], 0)) / INDEX(טבלה2[[SPPR_1986]:[SPPR_symbolic_full_import_as_DC]], MATCH('השוואת פקטורים'!$B26, 'PPRs inner'!$A$2:$A$108, 0), MATCH('השוואת פקטורים'!M$6, טבלה2[[#Headers],[SPPR_1986]:[SPPR_symbolic_full_import_as_DC]], 0))
)</f>
        <v>1.2782389379789214</v>
      </c>
      <c r="O26" s="9">
        <f>IF($B$4="סהכ",
INDEX(טבלה1[[SPPR_1986]:[SPPR_symbolic_full_import_as_DC]], MATCH('השוואת פקטורים'!$B26, 'PPRs all'!$A$2:$A$108, 0), MATCH('השוואת פקטורים'!O$6, טבלה1[[#Headers],[SPPR_1986]:[SPPR_symbolic_full_import_as_DC]], 0)) / INDEX(טבלה1[[SPPR_1986]:[SPPR_symbolic_full_import_as_DC]], MATCH('השוואת פקטורים'!$B26, 'PPRs all'!$A$2:$A$108, 0), MATCH('השוואת פקטורים'!N$6, טבלה1[[#Headers],[SPPR_1986]:[SPPR_symbolic_full_import_as_DC]], 0)),
INDEX(טבלה2[[SPPR_1986]:[SPPR_symbolic_full_import_as_DC]], MATCH('השוואת פקטורים'!$B26, 'PPRs inner'!$A$2:$A$108, 0), MATCH('השוואת פקטורים'!O$6, טבלה2[[#Headers],[SPPR_1986]:[SPPR_symbolic_full_import_as_DC]], 0)) / INDEX(טבלה2[[SPPR_1986]:[SPPR_symbolic_full_import_as_DC]], MATCH('השוואת פקטורים'!$B26, 'PPRs inner'!$A$2:$A$108, 0), MATCH('השוואת פקטורים'!N$6, טבלה2[[#Headers],[SPPR_1986]:[SPPR_symbolic_full_import_as_DC]], 0))
)</f>
        <v>1</v>
      </c>
      <c r="P26" s="9">
        <f>IF($B$4="סהכ",
INDEX(טבלה1[[SPPR_1986]:[SPPR_symbolic_full_import_as_DC]], MATCH('השוואת פקטורים'!$B26, 'PPRs all'!$A$2:$A$108, 0), MATCH('השוואת פקטורים'!P$6, טבלה1[[#Headers],[SPPR_1986]:[SPPR_symbolic_full_import_as_DC]], 0)) / INDEX(טבלה1[[SPPR_1986]:[SPPR_symbolic_full_import_as_DC]], MATCH('השוואת פקטורים'!$B26, 'PPRs all'!$A$2:$A$108, 0), MATCH('השוואת פקטורים'!O$6, טבלה1[[#Headers],[SPPR_1986]:[SPPR_symbolic_full_import_as_DC]], 0)),
INDEX(טבלה2[[SPPR_1986]:[SPPR_symbolic_full_import_as_DC]], MATCH('השוואת פקטורים'!$B26, 'PPRs inner'!$A$2:$A$108, 0), MATCH('השוואת פקטורים'!P$6, טבלה2[[#Headers],[SPPR_1986]:[SPPR_symbolic_full_import_as_DC]], 0)) / INDEX(טבלה2[[SPPR_1986]:[SPPR_symbolic_full_import_as_DC]], MATCH('השוואת פקטורים'!$B26, 'PPRs inner'!$A$2:$A$108, 0), MATCH('השוואת פקטורים'!O$6, טבלה2[[#Headers],[SPPR_1986]:[SPPR_symbolic_full_import_as_DC]], 0))
)</f>
        <v>0.21423988105416839</v>
      </c>
      <c r="Q26" s="9">
        <f>IF($B$4="סהכ",
INDEX(טבלה1[[SPPR_1986]:[SPPR_symbolic_full_import_as_DC]], MATCH('השוואת פקטורים'!$B26, 'PPRs all'!$A$2:$A$108, 0), MATCH('השוואת פקטורים'!Q$6, טבלה1[[#Headers],[SPPR_1986]:[SPPR_symbolic_full_import_as_DC]], 0)) / INDEX(טבלה1[[SPPR_1986]:[SPPR_symbolic_full_import_as_DC]], MATCH('השוואת פקטורים'!$B26, 'PPRs all'!$A$2:$A$108, 0), MATCH('השוואת פקטורים'!P$6, טבלה1[[#Headers],[SPPR_1986]:[SPPR_symbolic_full_import_as_DC]], 0)),
INDEX(טבלה2[[SPPR_1986]:[SPPR_symbolic_full_import_as_DC]], MATCH('השוואת פקטורים'!$B26, 'PPRs inner'!$A$2:$A$108, 0), MATCH('השוואת פקטורים'!Q$6, טבלה2[[#Headers],[SPPR_1986]:[SPPR_symbolic_full_import_as_DC]], 0)) / INDEX(טבלה2[[SPPR_1986]:[SPPR_symbolic_full_import_as_DC]], MATCH('השוואת פקטורים'!$B26, 'PPRs inner'!$A$2:$A$108, 0), MATCH('השוואת פקטורים'!P$6, טבלה2[[#Headers],[SPPR_1986]:[SPPR_symbolic_full_import_as_DC]], 0))
)</f>
        <v>1.0000000000000004</v>
      </c>
      <c r="R26" s="9">
        <f>IF($B$4="סהכ",
INDEX(טבלה1[[SPPR_1986]:[SPPR_symbolic_full_import_as_DC]], MATCH('השוואת פקטורים'!$B26, 'PPRs all'!$A$2:$A$108, 0), MATCH('השוואת פקטורים'!R$6, טבלה1[[#Headers],[SPPR_1986]:[SPPR_symbolic_full_import_as_DC]], 0)) / INDEX(טבלה1[[SPPR_1986]:[SPPR_symbolic_full_import_as_DC]], MATCH('השוואת פקטורים'!$B26, 'PPRs all'!$A$2:$A$108, 0), MATCH('השוואת פקטורים'!Q$6, טבלה1[[#Headers],[SPPR_1986]:[SPPR_symbolic_full_import_as_DC]], 0)),
INDEX(טבלה2[[SPPR_1986]:[SPPR_symbolic_full_import_as_DC]], MATCH('השוואת פקטורים'!$B26, 'PPRs inner'!$A$2:$A$108, 0), MATCH('השוואת פקטורים'!R$6, טבלה2[[#Headers],[SPPR_1986]:[SPPR_symbolic_full_import_as_DC]], 0)) / INDEX(טבלה2[[SPPR_1986]:[SPPR_symbolic_full_import_as_DC]], MATCH('השוואת פקטורים'!$B26, 'PPRs inner'!$A$2:$A$108, 0), MATCH('השוואת פקטורים'!Q$6, טבלה2[[#Headers],[SPPR_1986]:[SPPR_symbolic_full_import_as_DC]], 0))
)</f>
        <v>1</v>
      </c>
      <c r="S26" s="9">
        <f>IF($B$4="סהכ",
INDEX(טבלה1[[SPPR_1986]:[SPPR_symbolic_full_import_as_DC]], MATCH('השוואת פקטורים'!$B26, 'PPRs all'!$A$2:$A$108, 0), MATCH('השוואת פקטורים'!S$6, טבלה1[[#Headers],[SPPR_1986]:[SPPR_symbolic_full_import_as_DC]], 0)) / INDEX(טבלה1[[SPPR_1986]:[SPPR_symbolic_full_import_as_DC]], MATCH('השוואת פקטורים'!$B26, 'PPRs all'!$A$2:$A$108, 0), MATCH('השוואת פקטורים'!R$6, טבלה1[[#Headers],[SPPR_1986]:[SPPR_symbolic_full_import_as_DC]], 0)),
INDEX(טבלה2[[SPPR_1986]:[SPPR_symbolic_full_import_as_DC]], MATCH('השוואת פקטורים'!$B26, 'PPRs inner'!$A$2:$A$108, 0), MATCH('השוואת פקטורים'!S$6, טבלה2[[#Headers],[SPPR_1986]:[SPPR_symbolic_full_import_as_DC]], 0)) / INDEX(טבלה2[[SPPR_1986]:[SPPR_symbolic_full_import_as_DC]], MATCH('השוואת פקטורים'!$B26, 'PPRs inner'!$A$2:$A$108, 0), MATCH('השוואת פקטורים'!R$6, טבלה2[[#Headers],[SPPR_1986]:[SPPR_symbolic_full_import_as_DC]], 0))
)</f>
        <v>1</v>
      </c>
      <c r="T26" s="9">
        <f>IF($B$4="סהכ",
INDEX(טבלה1[[SPPR_1986]:[SPPR_symbolic_full_import_as_DC]], MATCH('השוואת פקטורים'!$B26, 'PPRs all'!$A$2:$A$108, 0), MATCH('השוואת פקטורים'!T$6, טבלה1[[#Headers],[SPPR_1986]:[SPPR_symbolic_full_import_as_DC]], 0)) / INDEX(טבלה1[[SPPR_1986]:[SPPR_symbolic_full_import_as_DC]], MATCH('השוואת פקטורים'!$B26, 'PPRs all'!$A$2:$A$108, 0), MATCH('השוואת פקטורים'!S$6, טבלה1[[#Headers],[SPPR_1986]:[SPPR_symbolic_full_import_as_DC]], 0)),
INDEX(טבלה2[[SPPR_1986]:[SPPR_symbolic_full_import_as_DC]], MATCH('השוואת פקטורים'!$B26, 'PPRs inner'!$A$2:$A$108, 0), MATCH('השוואת פקטורים'!T$6, טבלה2[[#Headers],[SPPR_1986]:[SPPR_symbolic_full_import_as_DC]], 0)) / INDEX(טבלה2[[SPPR_1986]:[SPPR_symbolic_full_import_as_DC]], MATCH('השוואת פקטורים'!$B26, 'PPRs inner'!$A$2:$A$108, 0), MATCH('השוואת פקטורים'!S$6, טבלה2[[#Headers],[SPPR_1986]:[SPPR_symbolic_full_import_as_DC]], 0))
)</f>
        <v>1</v>
      </c>
      <c r="U26" s="9">
        <f>IF($B$4="סהכ",
INDEX(טבלה1[[SPPR_1986]:[SPPR_symbolic_full_import_as_DC]], MATCH('השוואת פקטורים'!$B26, 'PPRs all'!$A$2:$A$108, 0), MATCH('השוואת פקטורים'!U$6, טבלה1[[#Headers],[SPPR_1986]:[SPPR_symbolic_full_import_as_DC]], 0)) / INDEX(טבלה1[[SPPR_1986]:[SPPR_symbolic_full_import_as_DC]], MATCH('השוואת פקטורים'!$B26, 'PPRs all'!$A$2:$A$108, 0), MATCH('השוואת פקטורים'!T$6, טבלה1[[#Headers],[SPPR_1986]:[SPPR_symbolic_full_import_as_DC]], 0)),
INDEX(טבלה2[[SPPR_1986]:[SPPR_symbolic_full_import_as_DC]], MATCH('השוואת פקטורים'!$B26, 'PPRs inner'!$A$2:$A$108, 0), MATCH('השוואת פקטורים'!U$6, טבלה2[[#Headers],[SPPR_1986]:[SPPR_symbolic_full_import_as_DC]], 0)) / INDEX(טבלה2[[SPPR_1986]:[SPPR_symbolic_full_import_as_DC]], MATCH('השוואת פקטורים'!$B26, 'PPRs inner'!$A$2:$A$108, 0), MATCH('השוואת פקטורים'!T$6, טבלה2[[#Headers],[SPPR_1986]:[SPPR_symbolic_full_import_as_DC]], 0))
)</f>
        <v>0.99999999999999944</v>
      </c>
      <c r="V26" s="9"/>
      <c r="W26" s="9"/>
      <c r="X26" s="14"/>
      <c r="Y26" s="14"/>
      <c r="Z26" s="15">
        <f t="shared" si="2"/>
        <v>0.42739947905308856</v>
      </c>
    </row>
    <row r="27" spans="2:26" x14ac:dyDescent="0.3">
      <c r="B27" s="6" t="s">
        <v>41</v>
      </c>
      <c r="C27" s="12" t="b">
        <v>1</v>
      </c>
      <c r="D27" s="12" t="b">
        <v>1</v>
      </c>
      <c r="E27" s="12" t="b">
        <v>1</v>
      </c>
      <c r="F27" s="12" t="b">
        <f t="shared" si="1"/>
        <v>1</v>
      </c>
      <c r="G27" s="7" t="b">
        <f>ABS(INDEX(טבלה5[[SPPR_1986]:[SPPR_symbolic_full_import_as_DC]],MATCH('השוואת פקטורים'!$B27,טבלה5[עמודה1],0),MATCH($C$4,טבלה5[[#Headers],[SPPR_1986]:[SPPR_symbolic_full_import_as_DC]],0))) &lt; 5</f>
        <v>1</v>
      </c>
      <c r="H27" s="7" t="b">
        <f>INDEX(טבלה3[[SPPR_1986]:[SPPR_symbolic_full_import_as_DC]],MATCH('השוואת פקטורים'!$B27,טבלה3[עמודה1],0),MATCH($C$4,טבלה3[[#Headers],[SPPR_1986]:[SPPR_symbolic_full_import_as_DC]],0))</f>
        <v>1</v>
      </c>
      <c r="I27" s="7" t="b">
        <f t="shared" si="0"/>
        <v>1</v>
      </c>
      <c r="J27" s="13"/>
      <c r="K27" s="9">
        <f>IF($B$4="סהכ",
INDEX(טבלה1[[SPPR_1986]:[SPPR_symbolic_full_import_as_DC]], MATCH('השוואת פקטורים'!$B27, 'PPRs all'!$A$2:$A$108, 0), MATCH('השוואת פקטורים'!K$6, טבלה1[[#Headers],[SPPR_1986]:[SPPR_symbolic_full_import_as_DC]], 0)) / INDEX(טבלה1[[SPPR_1986]:[SPPR_symbolic_full_import_as_DC]], MATCH('השוואת פקטורים'!$B27, 'PPRs all'!$A$2:$A$108, 0), MATCH('השוואת פקטורים'!J$6, טבלה1[[#Headers],[SPPR_1986]:[SPPR_symbolic_full_import_as_DC]], 0)),
INDEX(טבלה2[[SPPR_1986]:[SPPR_symbolic_full_import_as_DC]], MATCH('השוואת פקטורים'!$B27, 'PPRs inner'!$A$2:$A$108, 0), MATCH('השוואת פקטורים'!K$6, טבלה2[[#Headers],[SPPR_1986]:[SPPR_symbolic_full_import_as_DC]], 0)) / INDEX(טבלה2[[SPPR_1986]:[SPPR_symbolic_full_import_as_DC]], MATCH('השוואת פקטורים'!$B27, 'PPRs inner'!$A$2:$A$108, 0), MATCH('השוואת פקטורים'!J$6, טבלה2[[#Headers],[SPPR_1986]:[SPPR_symbolic_full_import_as_DC]], 0))
)</f>
        <v>3.5541560489660369</v>
      </c>
      <c r="L27" s="9">
        <f>IF($B$4="סהכ",
INDEX(טבלה1[[SPPR_1986]:[SPPR_symbolic_full_import_as_DC]], MATCH('השוואת פקטורים'!$B27, 'PPRs all'!$A$2:$A$108, 0), MATCH('השוואת פקטורים'!L$6, טבלה1[[#Headers],[SPPR_1986]:[SPPR_symbolic_full_import_as_DC]], 0)) / INDEX(טבלה1[[SPPR_1986]:[SPPR_symbolic_full_import_as_DC]], MATCH('השוואת פקטורים'!$B27, 'PPRs all'!$A$2:$A$108, 0), MATCH('השוואת פקטורים'!K$6, טבלה1[[#Headers],[SPPR_1986]:[SPPR_symbolic_full_import_as_DC]], 0)),
INDEX(טבלה2[[SPPR_1986]:[SPPR_symbolic_full_import_as_DC]], MATCH('השוואת פקטורים'!$B27, 'PPRs inner'!$A$2:$A$108, 0), MATCH('השוואת פקטורים'!L$6, טבלה2[[#Headers],[SPPR_1986]:[SPPR_symbolic_full_import_as_DC]], 0)) / INDEX(טבלה2[[SPPR_1986]:[SPPR_symbolic_full_import_as_DC]], MATCH('השוואת פקטורים'!$B27, 'PPRs inner'!$A$2:$A$108, 0), MATCH('השוואת פקטורים'!K$6, טבלה2[[#Headers],[SPPR_1986]:[SPPR_symbolic_full_import_as_DC]], 0))
)</f>
        <v>6.1785020869172866</v>
      </c>
      <c r="M27" s="9">
        <f>IF($B$4="סהכ",
INDEX(טבלה1[[SPPR_1986]:[SPPR_symbolic_full_import_as_DC]], MATCH('השוואת פקטורים'!$B27, 'PPRs all'!$A$2:$A$108, 0), MATCH('השוואת פקטורים'!M$6, טבלה1[[#Headers],[SPPR_1986]:[SPPR_symbolic_full_import_as_DC]], 0)) / INDEX(טבלה1[[SPPR_1986]:[SPPR_symbolic_full_import_as_DC]], MATCH('השוואת פקטורים'!$B27, 'PPRs all'!$A$2:$A$108, 0), MATCH('השוואת פקטורים'!L$6, טבלה1[[#Headers],[SPPR_1986]:[SPPR_symbolic_full_import_as_DC]], 0)),
INDEX(טבלה2[[SPPR_1986]:[SPPR_symbolic_full_import_as_DC]], MATCH('השוואת פקטורים'!$B27, 'PPRs inner'!$A$2:$A$108, 0), MATCH('השוואת פקטורים'!M$6, טבלה2[[#Headers],[SPPR_1986]:[SPPR_symbolic_full_import_as_DC]], 0)) / INDEX(טבלה2[[SPPR_1986]:[SPPR_symbolic_full_import_as_DC]], MATCH('השוואת פקטורים'!$B27, 'PPRs inner'!$A$2:$A$108, 0), MATCH('השוואת פקטורים'!L$6, טבלה2[[#Headers],[SPPR_1986]:[SPPR_symbolic_full_import_as_DC]], 0))
)</f>
        <v>0.13640107427126816</v>
      </c>
      <c r="N27" s="9">
        <f>IF($B$4="סהכ",
INDEX(טבלה1[[SPPR_1986]:[SPPR_symbolic_full_import_as_DC]], MATCH('השוואת פקטורים'!$B27, 'PPRs all'!$A$2:$A$108, 0), MATCH('השוואת פקטורים'!N$6, טבלה1[[#Headers],[SPPR_1986]:[SPPR_symbolic_full_import_as_DC]], 0)) / INDEX(טבלה1[[SPPR_1986]:[SPPR_symbolic_full_import_as_DC]], MATCH('השוואת פקטורים'!$B27, 'PPRs all'!$A$2:$A$108, 0), MATCH('השוואת פקטורים'!M$6, טבלה1[[#Headers],[SPPR_1986]:[SPPR_symbolic_full_import_as_DC]], 0)),
INDEX(טבלה2[[SPPR_1986]:[SPPR_symbolic_full_import_as_DC]], MATCH('השוואת פקטורים'!$B27, 'PPRs inner'!$A$2:$A$108, 0), MATCH('השוואת פקטורים'!N$6, טבלה2[[#Headers],[SPPR_1986]:[SPPR_symbolic_full_import_as_DC]], 0)) / INDEX(טבלה2[[SPPR_1986]:[SPPR_symbolic_full_import_as_DC]], MATCH('השוואת פקטורים'!$B27, 'PPRs inner'!$A$2:$A$108, 0), MATCH('השוואת פקטורים'!M$6, טבלה2[[#Headers],[SPPR_1986]:[SPPR_symbolic_full_import_as_DC]], 0))
)</f>
        <v>1.0243930421111023</v>
      </c>
      <c r="O27" s="9">
        <f>IF($B$4="סהכ",
INDEX(טבלה1[[SPPR_1986]:[SPPR_symbolic_full_import_as_DC]], MATCH('השוואת פקטורים'!$B27, 'PPRs all'!$A$2:$A$108, 0), MATCH('השוואת פקטורים'!O$6, טבלה1[[#Headers],[SPPR_1986]:[SPPR_symbolic_full_import_as_DC]], 0)) / INDEX(טבלה1[[SPPR_1986]:[SPPR_symbolic_full_import_as_DC]], MATCH('השוואת פקטורים'!$B27, 'PPRs all'!$A$2:$A$108, 0), MATCH('השוואת פקטורים'!N$6, טבלה1[[#Headers],[SPPR_1986]:[SPPR_symbolic_full_import_as_DC]], 0)),
INDEX(טבלה2[[SPPR_1986]:[SPPR_symbolic_full_import_as_DC]], MATCH('השוואת פקטורים'!$B27, 'PPRs inner'!$A$2:$A$108, 0), MATCH('השוואת פקטורים'!O$6, טבלה2[[#Headers],[SPPR_1986]:[SPPR_symbolic_full_import_as_DC]], 0)) / INDEX(טבלה2[[SPPR_1986]:[SPPR_symbolic_full_import_as_DC]], MATCH('השוואת פקטורים'!$B27, 'PPRs inner'!$A$2:$A$108, 0), MATCH('השוואת פקטורים'!N$6, טבלה2[[#Headers],[SPPR_1986]:[SPPR_symbolic_full_import_as_DC]], 0))
)</f>
        <v>0.99999999999999933</v>
      </c>
      <c r="P27" s="9">
        <f>IF($B$4="סהכ",
INDEX(טבלה1[[SPPR_1986]:[SPPR_symbolic_full_import_as_DC]], MATCH('השוואת פקטורים'!$B27, 'PPRs all'!$A$2:$A$108, 0), MATCH('השוואת פקטורים'!P$6, טבלה1[[#Headers],[SPPR_1986]:[SPPR_symbolic_full_import_as_DC]], 0)) / INDEX(טבלה1[[SPPR_1986]:[SPPR_symbolic_full_import_as_DC]], MATCH('השוואת פקטורים'!$B27, 'PPRs all'!$A$2:$A$108, 0), MATCH('השוואת פקטורים'!O$6, טבלה1[[#Headers],[SPPR_1986]:[SPPR_symbolic_full_import_as_DC]], 0)),
INDEX(טבלה2[[SPPR_1986]:[SPPR_symbolic_full_import_as_DC]], MATCH('השוואת פקטורים'!$B27, 'PPRs inner'!$A$2:$A$108, 0), MATCH('השוואת פקטורים'!P$6, טבלה2[[#Headers],[SPPR_1986]:[SPPR_symbolic_full_import_as_DC]], 0)) / INDEX(טבלה2[[SPPR_1986]:[SPPR_symbolic_full_import_as_DC]], MATCH('השוואת פקטורים'!$B27, 'PPRs inner'!$A$2:$A$108, 0), MATCH('השוואת פקטורים'!O$6, טבלה2[[#Headers],[SPPR_1986]:[SPPR_symbolic_full_import_as_DC]], 0))
)</f>
        <v>9.5474842039617563E-2</v>
      </c>
      <c r="Q27" s="9">
        <f>IF($B$4="סהכ",
INDEX(טבלה1[[SPPR_1986]:[SPPR_symbolic_full_import_as_DC]], MATCH('השוואת פקטורים'!$B27, 'PPRs all'!$A$2:$A$108, 0), MATCH('השוואת פקטורים'!Q$6, טבלה1[[#Headers],[SPPR_1986]:[SPPR_symbolic_full_import_as_DC]], 0)) / INDEX(טבלה1[[SPPR_1986]:[SPPR_symbolic_full_import_as_DC]], MATCH('השוואת פקטורים'!$B27, 'PPRs all'!$A$2:$A$108, 0), MATCH('השוואת פקטורים'!P$6, טבלה1[[#Headers],[SPPR_1986]:[SPPR_symbolic_full_import_as_DC]], 0)),
INDEX(טבלה2[[SPPR_1986]:[SPPR_symbolic_full_import_as_DC]], MATCH('השוואת פקטורים'!$B27, 'PPRs inner'!$A$2:$A$108, 0), MATCH('השוואת פקטורים'!Q$6, טבלה2[[#Headers],[SPPR_1986]:[SPPR_symbolic_full_import_as_DC]], 0)) / INDEX(טבלה2[[SPPR_1986]:[SPPR_symbolic_full_import_as_DC]], MATCH('השוואת פקטורים'!$B27, 'PPRs inner'!$A$2:$A$108, 0), MATCH('השוואת פקטורים'!P$6, טבלה2[[#Headers],[SPPR_1986]:[SPPR_symbolic_full_import_as_DC]], 0))
)</f>
        <v>0.99999999999999889</v>
      </c>
      <c r="R27" s="9">
        <f>IF($B$4="סהכ",
INDEX(טבלה1[[SPPR_1986]:[SPPR_symbolic_full_import_as_DC]], MATCH('השוואת פקטורים'!$B27, 'PPRs all'!$A$2:$A$108, 0), MATCH('השוואת פקטורים'!R$6, טבלה1[[#Headers],[SPPR_1986]:[SPPR_symbolic_full_import_as_DC]], 0)) / INDEX(טבלה1[[SPPR_1986]:[SPPR_symbolic_full_import_as_DC]], MATCH('השוואת פקטורים'!$B27, 'PPRs all'!$A$2:$A$108, 0), MATCH('השוואת פקטורים'!Q$6, טבלה1[[#Headers],[SPPR_1986]:[SPPR_symbolic_full_import_as_DC]], 0)),
INDEX(טבלה2[[SPPR_1986]:[SPPR_symbolic_full_import_as_DC]], MATCH('השוואת פקטורים'!$B27, 'PPRs inner'!$A$2:$A$108, 0), MATCH('השוואת פקטורים'!R$6, טבלה2[[#Headers],[SPPR_1986]:[SPPR_symbolic_full_import_as_DC]], 0)) / INDEX(טבלה2[[SPPR_1986]:[SPPR_symbolic_full_import_as_DC]], MATCH('השוואת פקטורים'!$B27, 'PPRs inner'!$A$2:$A$108, 0), MATCH('השוואת פקטורים'!Q$6, טבלה2[[#Headers],[SPPR_1986]:[SPPR_symbolic_full_import_as_DC]], 0))
)</f>
        <v>1.000175428001697</v>
      </c>
      <c r="S27" s="9">
        <f>IF($B$4="סהכ",
INDEX(טבלה1[[SPPR_1986]:[SPPR_symbolic_full_import_as_DC]], MATCH('השוואת פקטורים'!$B27, 'PPRs all'!$A$2:$A$108, 0), MATCH('השוואת פקטורים'!S$6, טבלה1[[#Headers],[SPPR_1986]:[SPPR_symbolic_full_import_as_DC]], 0)) / INDEX(טבלה1[[SPPR_1986]:[SPPR_symbolic_full_import_as_DC]], MATCH('השוואת פקטורים'!$B27, 'PPRs all'!$A$2:$A$108, 0), MATCH('השוואת פקטורים'!R$6, טבלה1[[#Headers],[SPPR_1986]:[SPPR_symbolic_full_import_as_DC]], 0)),
INDEX(טבלה2[[SPPR_1986]:[SPPR_symbolic_full_import_as_DC]], MATCH('השוואת פקטורים'!$B27, 'PPRs inner'!$A$2:$A$108, 0), MATCH('השוואת פקטורים'!S$6, טבלה2[[#Headers],[SPPR_1986]:[SPPR_symbolic_full_import_as_DC]], 0)) / INDEX(טבלה2[[SPPR_1986]:[SPPR_symbolic_full_import_as_DC]], MATCH('השוואת פקטורים'!$B27, 'PPRs inner'!$A$2:$A$108, 0), MATCH('השוואת פקטורים'!R$6, טבלה2[[#Headers],[SPPR_1986]:[SPPR_symbolic_full_import_as_DC]], 0))
)</f>
        <v>0.99982460276788887</v>
      </c>
      <c r="T27" s="9">
        <f>IF($B$4="סהכ",
INDEX(טבלה1[[SPPR_1986]:[SPPR_symbolic_full_import_as_DC]], MATCH('השוואת פקטורים'!$B27, 'PPRs all'!$A$2:$A$108, 0), MATCH('השוואת פקטורים'!T$6, טבלה1[[#Headers],[SPPR_1986]:[SPPR_symbolic_full_import_as_DC]], 0)) / INDEX(טבלה1[[SPPR_1986]:[SPPR_symbolic_full_import_as_DC]], MATCH('השוואת פקטורים'!$B27, 'PPRs all'!$A$2:$A$108, 0), MATCH('השוואת פקטורים'!S$6, טבלה1[[#Headers],[SPPR_1986]:[SPPR_symbolic_full_import_as_DC]], 0)),
INDEX(טבלה2[[SPPR_1986]:[SPPR_symbolic_full_import_as_DC]], MATCH('השוואת פקטורים'!$B27, 'PPRs inner'!$A$2:$A$108, 0), MATCH('השוואת פקטורים'!T$6, טבלה2[[#Headers],[SPPR_1986]:[SPPR_symbolic_full_import_as_DC]], 0)) / INDEX(טבלה2[[SPPR_1986]:[SPPR_symbolic_full_import_as_DC]], MATCH('השוואת פקטורים'!$B27, 'PPRs inner'!$A$2:$A$108, 0), MATCH('השוואת פקטורים'!S$6, טבלה2[[#Headers],[SPPR_1986]:[SPPR_symbolic_full_import_as_DC]], 0))
)</f>
        <v>1.000175428001697</v>
      </c>
      <c r="U27" s="9">
        <f>IF($B$4="סהכ",
INDEX(טבלה1[[SPPR_1986]:[SPPR_symbolic_full_import_as_DC]], MATCH('השוואת פקטורים'!$B27, 'PPRs all'!$A$2:$A$108, 0), MATCH('השוואת פקטורים'!U$6, טבלה1[[#Headers],[SPPR_1986]:[SPPR_symbolic_full_import_as_DC]], 0)) / INDEX(טבלה1[[SPPR_1986]:[SPPR_symbolic_full_import_as_DC]], MATCH('השוואת פקטורים'!$B27, 'PPRs all'!$A$2:$A$108, 0), MATCH('השוואת פקטורים'!T$6, טבלה1[[#Headers],[SPPR_1986]:[SPPR_symbolic_full_import_as_DC]], 0)),
INDEX(טבלה2[[SPPR_1986]:[SPPR_symbolic_full_import_as_DC]], MATCH('השוואת פקטורים'!$B27, 'PPRs inner'!$A$2:$A$108, 0), MATCH('השוואת פקטורים'!U$6, טבלה2[[#Headers],[SPPR_1986]:[SPPR_symbolic_full_import_as_DC]], 0)) / INDEX(טבלה2[[SPPR_1986]:[SPPR_symbolic_full_import_as_DC]], MATCH('השוואת פקטורים'!$B27, 'PPRs inner'!$A$2:$A$108, 0), MATCH('השוואת פקטורים'!T$6, טבלה2[[#Headers],[SPPR_1986]:[SPPR_symbolic_full_import_as_DC]], 0))
)</f>
        <v>0.99982460276788998</v>
      </c>
      <c r="V27" s="9"/>
      <c r="W27" s="9"/>
      <c r="X27" s="14"/>
      <c r="Y27" s="14"/>
      <c r="Z27" s="15">
        <f t="shared" si="2"/>
        <v>0.29294969421280503</v>
      </c>
    </row>
    <row r="28" spans="2:26" x14ac:dyDescent="0.3">
      <c r="B28" s="6" t="s">
        <v>42</v>
      </c>
      <c r="C28" s="12" t="b">
        <v>1</v>
      </c>
      <c r="D28" s="12" t="b">
        <v>1</v>
      </c>
      <c r="E28" s="12" t="b">
        <v>1</v>
      </c>
      <c r="F28" s="12" t="b">
        <f t="shared" si="1"/>
        <v>1</v>
      </c>
      <c r="G28" s="7" t="b">
        <f>ABS(INDEX(טבלה5[[SPPR_1986]:[SPPR_symbolic_full_import_as_DC]],MATCH('השוואת פקטורים'!$B28,טבלה5[עמודה1],0),MATCH($C$4,טבלה5[[#Headers],[SPPR_1986]:[SPPR_symbolic_full_import_as_DC]],0))) &lt; 5</f>
        <v>1</v>
      </c>
      <c r="H28" s="7" t="b">
        <f>INDEX(טבלה3[[SPPR_1986]:[SPPR_symbolic_full_import_as_DC]],MATCH('השוואת פקטורים'!$B28,טבלה3[עמודה1],0),MATCH($C$4,טבלה3[[#Headers],[SPPR_1986]:[SPPR_symbolic_full_import_as_DC]],0))</f>
        <v>1</v>
      </c>
      <c r="I28" s="7" t="b">
        <f t="shared" si="0"/>
        <v>1</v>
      </c>
      <c r="J28" s="13"/>
      <c r="K28" s="9">
        <f>IF($B$4="סהכ",
INDEX(טבלה1[[SPPR_1986]:[SPPR_symbolic_full_import_as_DC]], MATCH('השוואת פקטורים'!$B28, 'PPRs all'!$A$2:$A$108, 0), MATCH('השוואת פקטורים'!K$6, טבלה1[[#Headers],[SPPR_1986]:[SPPR_symbolic_full_import_as_DC]], 0)) / INDEX(טבלה1[[SPPR_1986]:[SPPR_symbolic_full_import_as_DC]], MATCH('השוואת פקטורים'!$B28, 'PPRs all'!$A$2:$A$108, 0), MATCH('השוואת פקטורים'!J$6, טבלה1[[#Headers],[SPPR_1986]:[SPPR_symbolic_full_import_as_DC]], 0)),
INDEX(טבלה2[[SPPR_1986]:[SPPR_symbolic_full_import_as_DC]], MATCH('השוואת פקטורים'!$B28, 'PPRs inner'!$A$2:$A$108, 0), MATCH('השוואת פקטורים'!K$6, טבלה2[[#Headers],[SPPR_1986]:[SPPR_symbolic_full_import_as_DC]], 0)) / INDEX(טבלה2[[SPPR_1986]:[SPPR_symbolic_full_import_as_DC]], MATCH('השוואת פקטורים'!$B28, 'PPRs inner'!$A$2:$A$108, 0), MATCH('השוואת פקטורים'!J$6, טבלה2[[#Headers],[SPPR_1986]:[SPPR_symbolic_full_import_as_DC]], 0))
)</f>
        <v>0.23244071620587212</v>
      </c>
      <c r="L28" s="9">
        <f>IF($B$4="סהכ",
INDEX(טבלה1[[SPPR_1986]:[SPPR_symbolic_full_import_as_DC]], MATCH('השוואת פקטורים'!$B28, 'PPRs all'!$A$2:$A$108, 0), MATCH('השוואת פקטורים'!L$6, טבלה1[[#Headers],[SPPR_1986]:[SPPR_symbolic_full_import_as_DC]], 0)) / INDEX(טבלה1[[SPPR_1986]:[SPPR_symbolic_full_import_as_DC]], MATCH('השוואת פקטורים'!$B28, 'PPRs all'!$A$2:$A$108, 0), MATCH('השוואת פקטורים'!K$6, טבלה1[[#Headers],[SPPR_1986]:[SPPR_symbolic_full_import_as_DC]], 0)),
INDEX(טבלה2[[SPPR_1986]:[SPPR_symbolic_full_import_as_DC]], MATCH('השוואת פקטורים'!$B28, 'PPRs inner'!$A$2:$A$108, 0), MATCH('השוואת פקטורים'!L$6, טבלה2[[#Headers],[SPPR_1986]:[SPPR_symbolic_full_import_as_DC]], 0)) / INDEX(טבלה2[[SPPR_1986]:[SPPR_symbolic_full_import_as_DC]], MATCH('השוואת פקטורים'!$B28, 'PPRs inner'!$A$2:$A$108, 0), MATCH('השוואת פקטורים'!K$6, טבלה2[[#Headers],[SPPR_1986]:[SPPR_symbolic_full_import_as_DC]], 0))
)</f>
        <v>2.4301407606243628</v>
      </c>
      <c r="M28" s="9">
        <f>IF($B$4="סהכ",
INDEX(טבלה1[[SPPR_1986]:[SPPR_symbolic_full_import_as_DC]], MATCH('השוואת פקטורים'!$B28, 'PPRs all'!$A$2:$A$108, 0), MATCH('השוואת פקטורים'!M$6, טבלה1[[#Headers],[SPPR_1986]:[SPPR_symbolic_full_import_as_DC]], 0)) / INDEX(טבלה1[[SPPR_1986]:[SPPR_symbolic_full_import_as_DC]], MATCH('השוואת פקטורים'!$B28, 'PPRs all'!$A$2:$A$108, 0), MATCH('השוואת פקטורים'!L$6, טבלה1[[#Headers],[SPPR_1986]:[SPPR_symbolic_full_import_as_DC]], 0)),
INDEX(טבלה2[[SPPR_1986]:[SPPR_symbolic_full_import_as_DC]], MATCH('השוואת פקטורים'!$B28, 'PPRs inner'!$A$2:$A$108, 0), MATCH('השוואת פקטורים'!M$6, טבלה2[[#Headers],[SPPR_1986]:[SPPR_symbolic_full_import_as_DC]], 0)) / INDEX(טבלה2[[SPPR_1986]:[SPPR_symbolic_full_import_as_DC]], MATCH('השוואת פקטורים'!$B28, 'PPRs inner'!$A$2:$A$108, 0), MATCH('השוואת פקטורים'!L$6, טבלה2[[#Headers],[SPPR_1986]:[SPPR_symbolic_full_import_as_DC]], 0))
)</f>
        <v>4.9462128518157984</v>
      </c>
      <c r="N28" s="9">
        <f>IF($B$4="סהכ",
INDEX(טבלה1[[SPPR_1986]:[SPPR_symbolic_full_import_as_DC]], MATCH('השוואת פקטורים'!$B28, 'PPRs all'!$A$2:$A$108, 0), MATCH('השוואת פקטורים'!N$6, טבלה1[[#Headers],[SPPR_1986]:[SPPR_symbolic_full_import_as_DC]], 0)) / INDEX(טבלה1[[SPPR_1986]:[SPPR_symbolic_full_import_as_DC]], MATCH('השוואת פקטורים'!$B28, 'PPRs all'!$A$2:$A$108, 0), MATCH('השוואת פקטורים'!M$6, טבלה1[[#Headers],[SPPR_1986]:[SPPR_symbolic_full_import_as_DC]], 0)),
INDEX(טבלה2[[SPPR_1986]:[SPPR_symbolic_full_import_as_DC]], MATCH('השוואת פקטורים'!$B28, 'PPRs inner'!$A$2:$A$108, 0), MATCH('השוואת פקטורים'!N$6, טבלה2[[#Headers],[SPPR_1986]:[SPPR_symbolic_full_import_as_DC]], 0)) / INDEX(טבלה2[[SPPR_1986]:[SPPR_symbolic_full_import_as_DC]], MATCH('השוואת פקטורים'!$B28, 'PPRs inner'!$A$2:$A$108, 0), MATCH('השוואת פקטורים'!M$6, טבלה2[[#Headers],[SPPR_1986]:[SPPR_symbolic_full_import_as_DC]], 0))
)</f>
        <v>3.0139919566530073</v>
      </c>
      <c r="O28" s="9">
        <f>IF($B$4="סהכ",
INDEX(טבלה1[[SPPR_1986]:[SPPR_symbolic_full_import_as_DC]], MATCH('השוואת פקטורים'!$B28, 'PPRs all'!$A$2:$A$108, 0), MATCH('השוואת פקטורים'!O$6, טבלה1[[#Headers],[SPPR_1986]:[SPPR_symbolic_full_import_as_DC]], 0)) / INDEX(טבלה1[[SPPR_1986]:[SPPR_symbolic_full_import_as_DC]], MATCH('השוואת פקטורים'!$B28, 'PPRs all'!$A$2:$A$108, 0), MATCH('השוואת פקטורים'!N$6, טבלה1[[#Headers],[SPPR_1986]:[SPPR_symbolic_full_import_as_DC]], 0)),
INDEX(טבלה2[[SPPR_1986]:[SPPR_symbolic_full_import_as_DC]], MATCH('השוואת פקטורים'!$B28, 'PPRs inner'!$A$2:$A$108, 0), MATCH('השוואת פקטורים'!O$6, טבלה2[[#Headers],[SPPR_1986]:[SPPR_symbolic_full_import_as_DC]], 0)) / INDEX(טבלה2[[SPPR_1986]:[SPPR_symbolic_full_import_as_DC]], MATCH('השוואת פקטורים'!$B28, 'PPRs inner'!$A$2:$A$108, 0), MATCH('השוואת פקטורים'!N$6, טבלה2[[#Headers],[SPPR_1986]:[SPPR_symbolic_full_import_as_DC]], 0))
)</f>
        <v>1</v>
      </c>
      <c r="P28" s="9">
        <f>IF($B$4="סהכ",
INDEX(טבלה1[[SPPR_1986]:[SPPR_symbolic_full_import_as_DC]], MATCH('השוואת פקטורים'!$B28, 'PPRs all'!$A$2:$A$108, 0), MATCH('השוואת פקטורים'!P$6, טבלה1[[#Headers],[SPPR_1986]:[SPPR_symbolic_full_import_as_DC]], 0)) / INDEX(טבלה1[[SPPR_1986]:[SPPR_symbolic_full_import_as_DC]], MATCH('השוואת פקטורים'!$B28, 'PPRs all'!$A$2:$A$108, 0), MATCH('השוואת פקטורים'!O$6, טבלה1[[#Headers],[SPPR_1986]:[SPPR_symbolic_full_import_as_DC]], 0)),
INDEX(טבלה2[[SPPR_1986]:[SPPR_symbolic_full_import_as_DC]], MATCH('השוואת פקטורים'!$B28, 'PPRs inner'!$A$2:$A$108, 0), MATCH('השוואת פקטורים'!P$6, טבלה2[[#Headers],[SPPR_1986]:[SPPR_symbolic_full_import_as_DC]], 0)) / INDEX(טבלה2[[SPPR_1986]:[SPPR_symbolic_full_import_as_DC]], MATCH('השוואת פקטורים'!$B28, 'PPRs inner'!$A$2:$A$108, 0), MATCH('השוואת פקטורים'!O$6, טבלה2[[#Headers],[SPPR_1986]:[SPPR_symbolic_full_import_as_DC]], 0))
)</f>
        <v>0.55377543258195205</v>
      </c>
      <c r="Q28" s="9">
        <f>IF($B$4="סהכ",
INDEX(טבלה1[[SPPR_1986]:[SPPR_symbolic_full_import_as_DC]], MATCH('השוואת פקטורים'!$B28, 'PPRs all'!$A$2:$A$108, 0), MATCH('השוואת פקטורים'!Q$6, טבלה1[[#Headers],[SPPR_1986]:[SPPR_symbolic_full_import_as_DC]], 0)) / INDEX(טבלה1[[SPPR_1986]:[SPPR_symbolic_full_import_as_DC]], MATCH('השוואת פקטורים'!$B28, 'PPRs all'!$A$2:$A$108, 0), MATCH('השוואת פקטורים'!P$6, טבלה1[[#Headers],[SPPR_1986]:[SPPR_symbolic_full_import_as_DC]], 0)),
INDEX(טבלה2[[SPPR_1986]:[SPPR_symbolic_full_import_as_DC]], MATCH('השוואת פקטורים'!$B28, 'PPRs inner'!$A$2:$A$108, 0), MATCH('השוואת פקטורים'!Q$6, טבלה2[[#Headers],[SPPR_1986]:[SPPR_symbolic_full_import_as_DC]], 0)) / INDEX(טבלה2[[SPPR_1986]:[SPPR_symbolic_full_import_as_DC]], MATCH('השוואת פקטורים'!$B28, 'PPRs inner'!$A$2:$A$108, 0), MATCH('השוואת פקטורים'!P$6, טבלה2[[#Headers],[SPPR_1986]:[SPPR_symbolic_full_import_as_DC]], 0))
)</f>
        <v>1.0000000000000016</v>
      </c>
      <c r="R28" s="9">
        <f>IF($B$4="סהכ",
INDEX(טבלה1[[SPPR_1986]:[SPPR_symbolic_full_import_as_DC]], MATCH('השוואת פקטורים'!$B28, 'PPRs all'!$A$2:$A$108, 0), MATCH('השוואת פקטורים'!R$6, טבלה1[[#Headers],[SPPR_1986]:[SPPR_symbolic_full_import_as_DC]], 0)) / INDEX(טבלה1[[SPPR_1986]:[SPPR_symbolic_full_import_as_DC]], MATCH('השוואת פקטורים'!$B28, 'PPRs all'!$A$2:$A$108, 0), MATCH('השוואת פקטורים'!Q$6, טבלה1[[#Headers],[SPPR_1986]:[SPPR_symbolic_full_import_as_DC]], 0)),
INDEX(טבלה2[[SPPR_1986]:[SPPR_symbolic_full_import_as_DC]], MATCH('השוואת פקטורים'!$B28, 'PPRs inner'!$A$2:$A$108, 0), MATCH('השוואת פקטורים'!R$6, טבלה2[[#Headers],[SPPR_1986]:[SPPR_symbolic_full_import_as_DC]], 0)) / INDEX(טבלה2[[SPPR_1986]:[SPPR_symbolic_full_import_as_DC]], MATCH('השוואת פקטורים'!$B28, 'PPRs inner'!$A$2:$A$108, 0), MATCH('השוואת פקטורים'!Q$6, טבלה2[[#Headers],[SPPR_1986]:[SPPR_symbolic_full_import_as_DC]], 0))
)</f>
        <v>1.0218879396223999</v>
      </c>
      <c r="S28" s="9">
        <f>IF($B$4="סהכ",
INDEX(טבלה1[[SPPR_1986]:[SPPR_symbolic_full_import_as_DC]], MATCH('השוואת פקטורים'!$B28, 'PPRs all'!$A$2:$A$108, 0), MATCH('השוואת פקטורים'!S$6, טבלה1[[#Headers],[SPPR_1986]:[SPPR_symbolic_full_import_as_DC]], 0)) / INDEX(טבלה1[[SPPR_1986]:[SPPR_symbolic_full_import_as_DC]], MATCH('השוואת פקטורים'!$B28, 'PPRs all'!$A$2:$A$108, 0), MATCH('השוואת פקטורים'!R$6, טבלה1[[#Headers],[SPPR_1986]:[SPPR_symbolic_full_import_as_DC]], 0)),
INDEX(טבלה2[[SPPR_1986]:[SPPR_symbolic_full_import_as_DC]], MATCH('השוואת פקטורים'!$B28, 'PPRs inner'!$A$2:$A$108, 0), MATCH('השוואת פקטורים'!S$6, טבלה2[[#Headers],[SPPR_1986]:[SPPR_symbolic_full_import_as_DC]], 0)) / INDEX(טבלה2[[SPPR_1986]:[SPPR_symbolic_full_import_as_DC]], MATCH('השוואת פקטורים'!$B28, 'PPRs inner'!$A$2:$A$108, 0), MATCH('השוואת פקטורים'!R$6, טבלה2[[#Headers],[SPPR_1986]:[SPPR_symbolic_full_import_as_DC]], 0))
)</f>
        <v>0.97858088076615557</v>
      </c>
      <c r="T28" s="9">
        <f>IF($B$4="סהכ",
INDEX(טבלה1[[SPPR_1986]:[SPPR_symbolic_full_import_as_DC]], MATCH('השוואת פקטורים'!$B28, 'PPRs all'!$A$2:$A$108, 0), MATCH('השוואת פקטורים'!T$6, טבלה1[[#Headers],[SPPR_1986]:[SPPR_symbolic_full_import_as_DC]], 0)) / INDEX(טבלה1[[SPPR_1986]:[SPPR_symbolic_full_import_as_DC]], MATCH('השוואת פקטורים'!$B28, 'PPRs all'!$A$2:$A$108, 0), MATCH('השוואת פקטורים'!S$6, טבלה1[[#Headers],[SPPR_1986]:[SPPR_symbolic_full_import_as_DC]], 0)),
INDEX(טבלה2[[SPPR_1986]:[SPPR_symbolic_full_import_as_DC]], MATCH('השוואת פקטורים'!$B28, 'PPRs inner'!$A$2:$A$108, 0), MATCH('השוואת פקטורים'!T$6, טבלה2[[#Headers],[SPPR_1986]:[SPPR_symbolic_full_import_as_DC]], 0)) / INDEX(טבלה2[[SPPR_1986]:[SPPR_symbolic_full_import_as_DC]], MATCH('השוואת פקטורים'!$B28, 'PPRs inner'!$A$2:$A$108, 0), MATCH('השוואת פקטורים'!S$6, טבלה2[[#Headers],[SPPR_1986]:[SPPR_symbolic_full_import_as_DC]], 0))
)</f>
        <v>1.0218879396223999</v>
      </c>
      <c r="U28" s="9">
        <f>IF($B$4="סהכ",
INDEX(טבלה1[[SPPR_1986]:[SPPR_symbolic_full_import_as_DC]], MATCH('השוואת פקטורים'!$B28, 'PPRs all'!$A$2:$A$108, 0), MATCH('השוואת פקטורים'!U$6, טבלה1[[#Headers],[SPPR_1986]:[SPPR_symbolic_full_import_as_DC]], 0)) / INDEX(טבלה1[[SPPR_1986]:[SPPR_symbolic_full_import_as_DC]], MATCH('השוואת פקטורים'!$B28, 'PPRs all'!$A$2:$A$108, 0), MATCH('השוואת פקטורים'!T$6, טבלה1[[#Headers],[SPPR_1986]:[SPPR_symbolic_full_import_as_DC]], 0)),
INDEX(טבלה2[[SPPR_1986]:[SPPR_symbolic_full_import_as_DC]], MATCH('השוואת פקטורים'!$B28, 'PPRs inner'!$A$2:$A$108, 0), MATCH('השוואת פקטורים'!U$6, טבלה2[[#Headers],[SPPR_1986]:[SPPR_symbolic_full_import_as_DC]], 0)) / INDEX(טבלה2[[SPPR_1986]:[SPPR_symbolic_full_import_as_DC]], MATCH('השוואת פקטורים'!$B28, 'PPRs inner'!$A$2:$A$108, 0), MATCH('השוואת פקטורים'!T$6, טבלה2[[#Headers],[SPPR_1986]:[SPPR_symbolic_full_import_as_DC]], 0))
)</f>
        <v>0.97858088076615413</v>
      </c>
      <c r="V28" s="9"/>
      <c r="W28" s="9"/>
      <c r="X28" s="14"/>
      <c r="Y28" s="14"/>
      <c r="Z28" s="15">
        <f t="shared" si="2"/>
        <v>4.6632877047494929</v>
      </c>
    </row>
    <row r="29" spans="2:26" x14ac:dyDescent="0.3">
      <c r="B29" s="6" t="s">
        <v>43</v>
      </c>
      <c r="C29" s="12" t="b">
        <v>1</v>
      </c>
      <c r="D29" s="12" t="b">
        <v>0</v>
      </c>
      <c r="E29" s="12" t="b">
        <v>1</v>
      </c>
      <c r="F29" s="12" t="b">
        <f t="shared" si="1"/>
        <v>0</v>
      </c>
      <c r="G29" s="7" t="b">
        <f>ABS(INDEX(טבלה5[[SPPR_1986]:[SPPR_symbolic_full_import_as_DC]],MATCH('השוואת פקטורים'!$B29,טבלה5[עמודה1],0),MATCH($C$4,טבלה5[[#Headers],[SPPR_1986]:[SPPR_symbolic_full_import_as_DC]],0))) &lt; 5</f>
        <v>1</v>
      </c>
      <c r="H29" s="7" t="b">
        <f>INDEX(טבלה3[[SPPR_1986]:[SPPR_symbolic_full_import_as_DC]],MATCH('השוואת פקטורים'!$B29,טבלה3[עמודה1],0),MATCH($C$4,טבלה3[[#Headers],[SPPR_1986]:[SPPR_symbolic_full_import_as_DC]],0))</f>
        <v>1</v>
      </c>
      <c r="I29" s="7" t="b">
        <f t="shared" si="0"/>
        <v>0</v>
      </c>
      <c r="J29" s="13"/>
      <c r="K29" s="9">
        <f>IF($B$4="סהכ",
INDEX(טבלה1[[SPPR_1986]:[SPPR_symbolic_full_import_as_DC]], MATCH('השוואת פקטורים'!$B29, 'PPRs all'!$A$2:$A$108, 0), MATCH('השוואת פקטורים'!K$6, טבלה1[[#Headers],[SPPR_1986]:[SPPR_symbolic_full_import_as_DC]], 0)) / INDEX(טבלה1[[SPPR_1986]:[SPPR_symbolic_full_import_as_DC]], MATCH('השוואת פקטורים'!$B29, 'PPRs all'!$A$2:$A$108, 0), MATCH('השוואת פקטורים'!J$6, טבלה1[[#Headers],[SPPR_1986]:[SPPR_symbolic_full_import_as_DC]], 0)),
INDEX(טבלה2[[SPPR_1986]:[SPPR_symbolic_full_import_as_DC]], MATCH('השוואת פקטורים'!$B29, 'PPRs inner'!$A$2:$A$108, 0), MATCH('השוואת פקטורים'!K$6, טבלה2[[#Headers],[SPPR_1986]:[SPPR_symbolic_full_import_as_DC]], 0)) / INDEX(טבלה2[[SPPR_1986]:[SPPR_symbolic_full_import_as_DC]], MATCH('השוואת פקטורים'!$B29, 'PPRs inner'!$A$2:$A$108, 0), MATCH('השוואת פקטורים'!J$6, טבלה2[[#Headers],[SPPR_1986]:[SPPR_symbolic_full_import_as_DC]], 0))
)</f>
        <v>0.30568704202097602</v>
      </c>
      <c r="L29" s="9">
        <f>IF($B$4="סהכ",
INDEX(טבלה1[[SPPR_1986]:[SPPR_symbolic_full_import_as_DC]], MATCH('השוואת פקטורים'!$B29, 'PPRs all'!$A$2:$A$108, 0), MATCH('השוואת פקטורים'!L$6, טבלה1[[#Headers],[SPPR_1986]:[SPPR_symbolic_full_import_as_DC]], 0)) / INDEX(טבלה1[[SPPR_1986]:[SPPR_symbolic_full_import_as_DC]], MATCH('השוואת פקטורים'!$B29, 'PPRs all'!$A$2:$A$108, 0), MATCH('השוואת פקטורים'!K$6, טבלה1[[#Headers],[SPPR_1986]:[SPPR_symbolic_full_import_as_DC]], 0)),
INDEX(טבלה2[[SPPR_1986]:[SPPR_symbolic_full_import_as_DC]], MATCH('השוואת פקטורים'!$B29, 'PPRs inner'!$A$2:$A$108, 0), MATCH('השוואת פקטורים'!L$6, טבלה2[[#Headers],[SPPR_1986]:[SPPR_symbolic_full_import_as_DC]], 0)) / INDEX(טבלה2[[SPPR_1986]:[SPPR_symbolic_full_import_as_DC]], MATCH('השוואת פקטורים'!$B29, 'PPRs inner'!$A$2:$A$108, 0), MATCH('השוואת פקטורים'!K$6, טבלה2[[#Headers],[SPPR_1986]:[SPPR_symbolic_full_import_as_DC]], 0))
)</f>
        <v>2.9843899586218341</v>
      </c>
      <c r="M29" s="9">
        <f>IF($B$4="סהכ",
INDEX(טבלה1[[SPPR_1986]:[SPPR_symbolic_full_import_as_DC]], MATCH('השוואת פקטורים'!$B29, 'PPRs all'!$A$2:$A$108, 0), MATCH('השוואת פקטורים'!M$6, טבלה1[[#Headers],[SPPR_1986]:[SPPR_symbolic_full_import_as_DC]], 0)) / INDEX(טבלה1[[SPPR_1986]:[SPPR_symbolic_full_import_as_DC]], MATCH('השוואת פקטורים'!$B29, 'PPRs all'!$A$2:$A$108, 0), MATCH('השוואת פקטורים'!L$6, טבלה1[[#Headers],[SPPR_1986]:[SPPR_symbolic_full_import_as_DC]], 0)),
INDEX(טבלה2[[SPPR_1986]:[SPPR_symbolic_full_import_as_DC]], MATCH('השוואת פקטורים'!$B29, 'PPRs inner'!$A$2:$A$108, 0), MATCH('השוואת פקטורים'!M$6, טבלה2[[#Headers],[SPPR_1986]:[SPPR_symbolic_full_import_as_DC]], 0)) / INDEX(טבלה2[[SPPR_1986]:[SPPR_symbolic_full_import_as_DC]], MATCH('השוואת פקטורים'!$B29, 'PPRs inner'!$A$2:$A$108, 0), MATCH('השוואת פקטורים'!L$6, טבלה2[[#Headers],[SPPR_1986]:[SPPR_symbolic_full_import_as_DC]], 0))
)</f>
        <v>2.5777790244166074</v>
      </c>
      <c r="N29" s="9">
        <f>IF($B$4="סהכ",
INDEX(טבלה1[[SPPR_1986]:[SPPR_symbolic_full_import_as_DC]], MATCH('השוואת פקטורים'!$B29, 'PPRs all'!$A$2:$A$108, 0), MATCH('השוואת פקטורים'!N$6, טבלה1[[#Headers],[SPPR_1986]:[SPPR_symbolic_full_import_as_DC]], 0)) / INDEX(טבלה1[[SPPR_1986]:[SPPR_symbolic_full_import_as_DC]], MATCH('השוואת פקטורים'!$B29, 'PPRs all'!$A$2:$A$108, 0), MATCH('השוואת פקטורים'!M$6, טבלה1[[#Headers],[SPPR_1986]:[SPPR_symbolic_full_import_as_DC]], 0)),
INDEX(טבלה2[[SPPR_1986]:[SPPR_symbolic_full_import_as_DC]], MATCH('השוואת פקטורים'!$B29, 'PPRs inner'!$A$2:$A$108, 0), MATCH('השוואת פקטורים'!N$6, טבלה2[[#Headers],[SPPR_1986]:[SPPR_symbolic_full_import_as_DC]], 0)) / INDEX(טבלה2[[SPPR_1986]:[SPPR_symbolic_full_import_as_DC]], MATCH('השוואת פקטורים'!$B29, 'PPRs inner'!$A$2:$A$108, 0), MATCH('השוואת פקטורים'!M$6, טבלה2[[#Headers],[SPPR_1986]:[SPPR_symbolic_full_import_as_DC]], 0))
)</f>
        <v>1.2782483251617196</v>
      </c>
      <c r="O29" s="9">
        <f>IF($B$4="סהכ",
INDEX(טבלה1[[SPPR_1986]:[SPPR_symbolic_full_import_as_DC]], MATCH('השוואת פקטורים'!$B29, 'PPRs all'!$A$2:$A$108, 0), MATCH('השוואת פקטורים'!O$6, טבלה1[[#Headers],[SPPR_1986]:[SPPR_symbolic_full_import_as_DC]], 0)) / INDEX(טבלה1[[SPPR_1986]:[SPPR_symbolic_full_import_as_DC]], MATCH('השוואת פקטורים'!$B29, 'PPRs all'!$A$2:$A$108, 0), MATCH('השוואת פקטורים'!N$6, טבלה1[[#Headers],[SPPR_1986]:[SPPR_symbolic_full_import_as_DC]], 0)),
INDEX(טבלה2[[SPPR_1986]:[SPPR_symbolic_full_import_as_DC]], MATCH('השוואת פקטורים'!$B29, 'PPRs inner'!$A$2:$A$108, 0), MATCH('השוואת פקטורים'!O$6, טבלה2[[#Headers],[SPPR_1986]:[SPPR_symbolic_full_import_as_DC]], 0)) / INDEX(טבלה2[[SPPR_1986]:[SPPR_symbolic_full_import_as_DC]], MATCH('השוואת פקטורים'!$B29, 'PPRs inner'!$A$2:$A$108, 0), MATCH('השוואת פקטורים'!N$6, טבלה2[[#Headers],[SPPR_1986]:[SPPR_symbolic_full_import_as_DC]], 0))
)</f>
        <v>1</v>
      </c>
      <c r="P29" s="9">
        <f>IF($B$4="סהכ",
INDEX(טבלה1[[SPPR_1986]:[SPPR_symbolic_full_import_as_DC]], MATCH('השוואת פקטורים'!$B29, 'PPRs all'!$A$2:$A$108, 0), MATCH('השוואת פקטורים'!P$6, טבלה1[[#Headers],[SPPR_1986]:[SPPR_symbolic_full_import_as_DC]], 0)) / INDEX(טבלה1[[SPPR_1986]:[SPPR_symbolic_full_import_as_DC]], MATCH('השוואת פקטורים'!$B29, 'PPRs all'!$A$2:$A$108, 0), MATCH('השוואת פקטורים'!O$6, טבלה1[[#Headers],[SPPR_1986]:[SPPR_symbolic_full_import_as_DC]], 0)),
INDEX(טבלה2[[SPPR_1986]:[SPPR_symbolic_full_import_as_DC]], MATCH('השוואת פקטורים'!$B29, 'PPRs inner'!$A$2:$A$108, 0), MATCH('השוואת פקטורים'!P$6, טבלה2[[#Headers],[SPPR_1986]:[SPPR_symbolic_full_import_as_DC]], 0)) / INDEX(טבלה2[[SPPR_1986]:[SPPR_symbolic_full_import_as_DC]], MATCH('השוואת פקטורים'!$B29, 'PPRs inner'!$A$2:$A$108, 0), MATCH('השוואת פקטורים'!O$6, טבלה2[[#Headers],[SPPR_1986]:[SPPR_symbolic_full_import_as_DC]], 0))
)</f>
        <v>0.24643947214852355</v>
      </c>
      <c r="Q29" s="9">
        <f>IF($B$4="סהכ",
INDEX(טבלה1[[SPPR_1986]:[SPPR_symbolic_full_import_as_DC]], MATCH('השוואת פקטורים'!$B29, 'PPRs all'!$A$2:$A$108, 0), MATCH('השוואת פקטורים'!Q$6, טבלה1[[#Headers],[SPPR_1986]:[SPPR_symbolic_full_import_as_DC]], 0)) / INDEX(טבלה1[[SPPR_1986]:[SPPR_symbolic_full_import_as_DC]], MATCH('השוואת פקטורים'!$B29, 'PPRs all'!$A$2:$A$108, 0), MATCH('השוואת פקטורים'!P$6, טבלה1[[#Headers],[SPPR_1986]:[SPPR_symbolic_full_import_as_DC]], 0)),
INDEX(טבלה2[[SPPR_1986]:[SPPR_symbolic_full_import_as_DC]], MATCH('השוואת פקטורים'!$B29, 'PPRs inner'!$A$2:$A$108, 0), MATCH('השוואת פקטורים'!Q$6, טבלה2[[#Headers],[SPPR_1986]:[SPPR_symbolic_full_import_as_DC]], 0)) / INDEX(טבלה2[[SPPR_1986]:[SPPR_symbolic_full_import_as_DC]], MATCH('השוואת פקטורים'!$B29, 'PPRs inner'!$A$2:$A$108, 0), MATCH('השוואת פקטורים'!P$6, טבלה2[[#Headers],[SPPR_1986]:[SPPR_symbolic_full_import_as_DC]], 0))
)</f>
        <v>0.99999999999999822</v>
      </c>
      <c r="R29" s="9">
        <f>IF($B$4="סהכ",
INDEX(טבלה1[[SPPR_1986]:[SPPR_symbolic_full_import_as_DC]], MATCH('השוואת פקטורים'!$B29, 'PPRs all'!$A$2:$A$108, 0), MATCH('השוואת פקטורים'!R$6, טבלה1[[#Headers],[SPPR_1986]:[SPPR_symbolic_full_import_as_DC]], 0)) / INDEX(טבלה1[[SPPR_1986]:[SPPR_symbolic_full_import_as_DC]], MATCH('השוואת פקטורים'!$B29, 'PPRs all'!$A$2:$A$108, 0), MATCH('השוואת פקטורים'!Q$6, טבלה1[[#Headers],[SPPR_1986]:[SPPR_symbolic_full_import_as_DC]], 0)),
INDEX(טבלה2[[SPPR_1986]:[SPPR_symbolic_full_import_as_DC]], MATCH('השוואת פקטורים'!$B29, 'PPRs inner'!$A$2:$A$108, 0), MATCH('השוואת פקטורים'!R$6, טבלה2[[#Headers],[SPPR_1986]:[SPPR_symbolic_full_import_as_DC]], 0)) / INDEX(טבלה2[[SPPR_1986]:[SPPR_symbolic_full_import_as_DC]], MATCH('השוואת פקטורים'!$B29, 'PPRs inner'!$A$2:$A$108, 0), MATCH('השוואת פקטורים'!Q$6, טבלה2[[#Headers],[SPPR_1986]:[SPPR_symbolic_full_import_as_DC]], 0))
)</f>
        <v>1.005188444156766</v>
      </c>
      <c r="S29" s="9">
        <f>IF($B$4="סהכ",
INDEX(טבלה1[[SPPR_1986]:[SPPR_symbolic_full_import_as_DC]], MATCH('השוואת פקטורים'!$B29, 'PPRs all'!$A$2:$A$108, 0), MATCH('השוואת פקטורים'!S$6, טבלה1[[#Headers],[SPPR_1986]:[SPPR_symbolic_full_import_as_DC]], 0)) / INDEX(טבלה1[[SPPR_1986]:[SPPR_symbolic_full_import_as_DC]], MATCH('השוואת פקטורים'!$B29, 'PPRs all'!$A$2:$A$108, 0), MATCH('השוואת פקטורים'!R$6, טבלה1[[#Headers],[SPPR_1986]:[SPPR_symbolic_full_import_as_DC]], 0)),
INDEX(טבלה2[[SPPR_1986]:[SPPR_symbolic_full_import_as_DC]], MATCH('השוואת פקטורים'!$B29, 'PPRs inner'!$A$2:$A$108, 0), MATCH('השוואת פקטורים'!S$6, טבלה2[[#Headers],[SPPR_1986]:[SPPR_symbolic_full_import_as_DC]], 0)) / INDEX(טבלה2[[SPPR_1986]:[SPPR_symbolic_full_import_as_DC]], MATCH('השוואת פקטורים'!$B29, 'PPRs inner'!$A$2:$A$108, 0), MATCH('השוואת פקטורים'!R$6, טבלה2[[#Headers],[SPPR_1986]:[SPPR_symbolic_full_import_as_DC]], 0))
)</f>
        <v>0.99483833684427347</v>
      </c>
      <c r="T29" s="9">
        <f>IF($B$4="סהכ",
INDEX(טבלה1[[SPPR_1986]:[SPPR_symbolic_full_import_as_DC]], MATCH('השוואת פקטורים'!$B29, 'PPRs all'!$A$2:$A$108, 0), MATCH('השוואת פקטורים'!T$6, טבלה1[[#Headers],[SPPR_1986]:[SPPR_symbolic_full_import_as_DC]], 0)) / INDEX(טבלה1[[SPPR_1986]:[SPPR_symbolic_full_import_as_DC]], MATCH('השוואת פקטורים'!$B29, 'PPRs all'!$A$2:$A$108, 0), MATCH('השוואת פקטורים'!S$6, טבלה1[[#Headers],[SPPR_1986]:[SPPR_symbolic_full_import_as_DC]], 0)),
INDEX(טבלה2[[SPPR_1986]:[SPPR_symbolic_full_import_as_DC]], MATCH('השוואת פקטורים'!$B29, 'PPRs inner'!$A$2:$A$108, 0), MATCH('השוואת פקטורים'!T$6, טבלה2[[#Headers],[SPPR_1986]:[SPPR_symbolic_full_import_as_DC]], 0)) / INDEX(טבלה2[[SPPR_1986]:[SPPR_symbolic_full_import_as_DC]], MATCH('השוואת פקטורים'!$B29, 'PPRs inner'!$A$2:$A$108, 0), MATCH('השוואת פקטורים'!S$6, טבלה2[[#Headers],[SPPR_1986]:[SPPR_symbolic_full_import_as_DC]], 0))
)</f>
        <v>1.005188444156766</v>
      </c>
      <c r="U29" s="9">
        <f>IF($B$4="סהכ",
INDEX(טבלה1[[SPPR_1986]:[SPPR_symbolic_full_import_as_DC]], MATCH('השוואת פקטורים'!$B29, 'PPRs all'!$A$2:$A$108, 0), MATCH('השוואת פקטורים'!U$6, טבלה1[[#Headers],[SPPR_1986]:[SPPR_symbolic_full_import_as_DC]], 0)) / INDEX(טבלה1[[SPPR_1986]:[SPPR_symbolic_full_import_as_DC]], MATCH('השוואת פקטורים'!$B29, 'PPRs all'!$A$2:$A$108, 0), MATCH('השוואת פקטורים'!T$6, טבלה1[[#Headers],[SPPR_1986]:[SPPR_symbolic_full_import_as_DC]], 0)),
INDEX(טבלה2[[SPPR_1986]:[SPPR_symbolic_full_import_as_DC]], MATCH('השוואת פקטורים'!$B29, 'PPRs inner'!$A$2:$A$108, 0), MATCH('השוואת פקטורים'!U$6, טבלה2[[#Headers],[SPPR_1986]:[SPPR_symbolic_full_import_as_DC]], 0)) / INDEX(טבלה2[[SPPR_1986]:[SPPR_symbolic_full_import_as_DC]], MATCH('השוואת פקטורים'!$B29, 'PPRs inner'!$A$2:$A$108, 0), MATCH('השוואת פקטורים'!T$6, טבלה2[[#Headers],[SPPR_1986]:[SPPR_symbolic_full_import_as_DC]], 0))
)</f>
        <v>0.99483833684427514</v>
      </c>
      <c r="V29" s="9"/>
      <c r="W29" s="9"/>
      <c r="X29" s="14"/>
      <c r="Y29" s="14"/>
      <c r="Z29" s="15">
        <f t="shared" si="2"/>
        <v>0.74080479942161614</v>
      </c>
    </row>
    <row r="30" spans="2:26" x14ac:dyDescent="0.3">
      <c r="B30" s="6" t="s">
        <v>44</v>
      </c>
      <c r="C30" s="12" t="b">
        <v>1</v>
      </c>
      <c r="D30" s="12" t="b">
        <v>1</v>
      </c>
      <c r="E30" s="12" t="b">
        <v>1</v>
      </c>
      <c r="F30" s="12" t="b">
        <f t="shared" si="1"/>
        <v>1</v>
      </c>
      <c r="G30" s="7" t="b">
        <f>ABS(INDEX(טבלה5[[SPPR_1986]:[SPPR_symbolic_full_import_as_DC]],MATCH('השוואת פקטורים'!$B30,טבלה5[עמודה1],0),MATCH($C$4,טבלה5[[#Headers],[SPPR_1986]:[SPPR_symbolic_full_import_as_DC]],0))) &lt; 5</f>
        <v>1</v>
      </c>
      <c r="H30" s="7" t="b">
        <f>INDEX(טבלה3[[SPPR_1986]:[SPPR_symbolic_full_import_as_DC]],MATCH('השוואת פקטורים'!$B30,טבלה3[עמודה1],0),MATCH($C$4,טבלה3[[#Headers],[SPPR_1986]:[SPPR_symbolic_full_import_as_DC]],0))</f>
        <v>1</v>
      </c>
      <c r="I30" s="7" t="b">
        <f t="shared" si="0"/>
        <v>1</v>
      </c>
      <c r="J30" s="13"/>
      <c r="K30" s="9">
        <f>IF($B$4="סהכ",
INDEX(טבלה1[[SPPR_1986]:[SPPR_symbolic_full_import_as_DC]], MATCH('השוואת פקטורים'!$B30, 'PPRs all'!$A$2:$A$108, 0), MATCH('השוואת פקטורים'!K$6, טבלה1[[#Headers],[SPPR_1986]:[SPPR_symbolic_full_import_as_DC]], 0)) / INDEX(טבלה1[[SPPR_1986]:[SPPR_symbolic_full_import_as_DC]], MATCH('השוואת פקטורים'!$B30, 'PPRs all'!$A$2:$A$108, 0), MATCH('השוואת פקטורים'!J$6, טבלה1[[#Headers],[SPPR_1986]:[SPPR_symbolic_full_import_as_DC]], 0)),
INDEX(טבלה2[[SPPR_1986]:[SPPR_symbolic_full_import_as_DC]], MATCH('השוואת פקטורים'!$B30, 'PPRs inner'!$A$2:$A$108, 0), MATCH('השוואת פקטורים'!K$6, טבלה2[[#Headers],[SPPR_1986]:[SPPR_symbolic_full_import_as_DC]], 0)) / INDEX(טבלה2[[SPPR_1986]:[SPPR_symbolic_full_import_as_DC]], MATCH('השוואת פקטורים'!$B30, 'PPRs inner'!$A$2:$A$108, 0), MATCH('השוואת פקטורים'!J$6, טבלה2[[#Headers],[SPPR_1986]:[SPPR_symbolic_full_import_as_DC]], 0))
)</f>
        <v>0.57456239400964937</v>
      </c>
      <c r="L30" s="9">
        <f>IF($B$4="סהכ",
INDEX(טבלה1[[SPPR_1986]:[SPPR_symbolic_full_import_as_DC]], MATCH('השוואת פקטורים'!$B30, 'PPRs all'!$A$2:$A$108, 0), MATCH('השוואת פקטורים'!L$6, טבלה1[[#Headers],[SPPR_1986]:[SPPR_symbolic_full_import_as_DC]], 0)) / INDEX(טבלה1[[SPPR_1986]:[SPPR_symbolic_full_import_as_DC]], MATCH('השוואת פקטורים'!$B30, 'PPRs all'!$A$2:$A$108, 0), MATCH('השוואת פקטורים'!K$6, טבלה1[[#Headers],[SPPR_1986]:[SPPR_symbolic_full_import_as_DC]], 0)),
INDEX(טבלה2[[SPPR_1986]:[SPPR_symbolic_full_import_as_DC]], MATCH('השוואת פקטורים'!$B30, 'PPRs inner'!$A$2:$A$108, 0), MATCH('השוואת פקטורים'!L$6, טבלה2[[#Headers],[SPPR_1986]:[SPPR_symbolic_full_import_as_DC]], 0)) / INDEX(טבלה2[[SPPR_1986]:[SPPR_symbolic_full_import_as_DC]], MATCH('השוואת פקטורים'!$B30, 'PPRs inner'!$A$2:$A$108, 0), MATCH('השוואת פקטורים'!K$6, טבלה2[[#Headers],[SPPR_1986]:[SPPR_symbolic_full_import_as_DC]], 0))
)</f>
        <v>1.6816464012082237</v>
      </c>
      <c r="M30" s="9">
        <f>IF($B$4="סהכ",
INDEX(טבלה1[[SPPR_1986]:[SPPR_symbolic_full_import_as_DC]], MATCH('השוואת פקטורים'!$B30, 'PPRs all'!$A$2:$A$108, 0), MATCH('השוואת פקטורים'!M$6, טבלה1[[#Headers],[SPPR_1986]:[SPPR_symbolic_full_import_as_DC]], 0)) / INDEX(טבלה1[[SPPR_1986]:[SPPR_symbolic_full_import_as_DC]], MATCH('השוואת פקטורים'!$B30, 'PPRs all'!$A$2:$A$108, 0), MATCH('השוואת פקטורים'!L$6, טבלה1[[#Headers],[SPPR_1986]:[SPPR_symbolic_full_import_as_DC]], 0)),
INDEX(טבלה2[[SPPR_1986]:[SPPR_symbolic_full_import_as_DC]], MATCH('השוואת פקטורים'!$B30, 'PPRs inner'!$A$2:$A$108, 0), MATCH('השוואת פקטורים'!M$6, טבלה2[[#Headers],[SPPR_1986]:[SPPR_symbolic_full_import_as_DC]], 0)) / INDEX(טבלה2[[SPPR_1986]:[SPPR_symbolic_full_import_as_DC]], MATCH('השוואת פקטורים'!$B30, 'PPRs inner'!$A$2:$A$108, 0), MATCH('השוואת פקטורים'!L$6, טבלה2[[#Headers],[SPPR_1986]:[SPPR_symbolic_full_import_as_DC]], 0))
)</f>
        <v>2.1196210855133986</v>
      </c>
      <c r="N30" s="9">
        <f>IF($B$4="סהכ",
INDEX(טבלה1[[SPPR_1986]:[SPPR_symbolic_full_import_as_DC]], MATCH('השוואת פקטורים'!$B30, 'PPRs all'!$A$2:$A$108, 0), MATCH('השוואת פקטורים'!N$6, טבלה1[[#Headers],[SPPR_1986]:[SPPR_symbolic_full_import_as_DC]], 0)) / INDEX(טבלה1[[SPPR_1986]:[SPPR_symbolic_full_import_as_DC]], MATCH('השוואת פקטורים'!$B30, 'PPRs all'!$A$2:$A$108, 0), MATCH('השוואת פקטורים'!M$6, טבלה1[[#Headers],[SPPR_1986]:[SPPR_symbolic_full_import_as_DC]], 0)),
INDEX(טבלה2[[SPPR_1986]:[SPPR_symbolic_full_import_as_DC]], MATCH('השוואת פקטורים'!$B30, 'PPRs inner'!$A$2:$A$108, 0), MATCH('השוואת פקטורים'!N$6, טבלה2[[#Headers],[SPPR_1986]:[SPPR_symbolic_full_import_as_DC]], 0)) / INDEX(טבלה2[[SPPR_1986]:[SPPR_symbolic_full_import_as_DC]], MATCH('השוואת פקטורים'!$B30, 'PPRs inner'!$A$2:$A$108, 0), MATCH('השוואת פקטורים'!M$6, טבלה2[[#Headers],[SPPR_1986]:[SPPR_symbolic_full_import_as_DC]], 0))
)</f>
        <v>0.96195739702075889</v>
      </c>
      <c r="O30" s="9">
        <f>IF($B$4="סהכ",
INDEX(טבלה1[[SPPR_1986]:[SPPR_symbolic_full_import_as_DC]], MATCH('השוואת פקטורים'!$B30, 'PPRs all'!$A$2:$A$108, 0), MATCH('השוואת פקטורים'!O$6, טבלה1[[#Headers],[SPPR_1986]:[SPPR_symbolic_full_import_as_DC]], 0)) / INDEX(טבלה1[[SPPR_1986]:[SPPR_symbolic_full_import_as_DC]], MATCH('השוואת פקטורים'!$B30, 'PPRs all'!$A$2:$A$108, 0), MATCH('השוואת פקטורים'!N$6, טבלה1[[#Headers],[SPPR_1986]:[SPPR_symbolic_full_import_as_DC]], 0)),
INDEX(טבלה2[[SPPR_1986]:[SPPR_symbolic_full_import_as_DC]], MATCH('השוואת פקטורים'!$B30, 'PPRs inner'!$A$2:$A$108, 0), MATCH('השוואת פקטורים'!O$6, טבלה2[[#Headers],[SPPR_1986]:[SPPR_symbolic_full_import_as_DC]], 0)) / INDEX(טבלה2[[SPPR_1986]:[SPPR_symbolic_full_import_as_DC]], MATCH('השוואת פקטורים'!$B30, 'PPRs inner'!$A$2:$A$108, 0), MATCH('השוואת פקטורים'!N$6, טבלה2[[#Headers],[SPPR_1986]:[SPPR_symbolic_full_import_as_DC]], 0))
)</f>
        <v>0.99999999821345509</v>
      </c>
      <c r="P30" s="9">
        <f>IF($B$4="סהכ",
INDEX(טבלה1[[SPPR_1986]:[SPPR_symbolic_full_import_as_DC]], MATCH('השוואת פקטורים'!$B30, 'PPRs all'!$A$2:$A$108, 0), MATCH('השוואת פקטורים'!P$6, טבלה1[[#Headers],[SPPR_1986]:[SPPR_symbolic_full_import_as_DC]], 0)) / INDEX(טבלה1[[SPPR_1986]:[SPPR_symbolic_full_import_as_DC]], MATCH('השוואת פקטורים'!$B30, 'PPRs all'!$A$2:$A$108, 0), MATCH('השוואת פקטורים'!O$6, טבלה1[[#Headers],[SPPR_1986]:[SPPR_symbolic_full_import_as_DC]], 0)),
INDEX(טבלה2[[SPPR_1986]:[SPPR_symbolic_full_import_as_DC]], MATCH('השוואת פקטורים'!$B30, 'PPRs inner'!$A$2:$A$108, 0), MATCH('השוואת פקטורים'!P$6, טבלה2[[#Headers],[SPPR_1986]:[SPPR_symbolic_full_import_as_DC]], 0)) / INDEX(טבלה2[[SPPR_1986]:[SPPR_symbolic_full_import_as_DC]], MATCH('השוואת פקטורים'!$B30, 'PPRs inner'!$A$2:$A$108, 0), MATCH('השוואת פקטורים'!O$6, טבלה2[[#Headers],[SPPR_1986]:[SPPR_symbolic_full_import_as_DC]], 0))
)</f>
        <v>1.3905921813809972</v>
      </c>
      <c r="Q30" s="9">
        <f>IF($B$4="סהכ",
INDEX(טבלה1[[SPPR_1986]:[SPPR_symbolic_full_import_as_DC]], MATCH('השוואת פקטורים'!$B30, 'PPRs all'!$A$2:$A$108, 0), MATCH('השוואת פקטורים'!Q$6, טבלה1[[#Headers],[SPPR_1986]:[SPPR_symbolic_full_import_as_DC]], 0)) / INDEX(טבלה1[[SPPR_1986]:[SPPR_symbolic_full_import_as_DC]], MATCH('השוואת פקטורים'!$B30, 'PPRs all'!$A$2:$A$108, 0), MATCH('השוואת פקטורים'!P$6, טבלה1[[#Headers],[SPPR_1986]:[SPPR_symbolic_full_import_as_DC]], 0)),
INDEX(טבלה2[[SPPR_1986]:[SPPR_symbolic_full_import_as_DC]], MATCH('השוואת פקטורים'!$B30, 'PPRs inner'!$A$2:$A$108, 0), MATCH('השוואת פקטורים'!Q$6, טבלה2[[#Headers],[SPPR_1986]:[SPPR_symbolic_full_import_as_DC]], 0)) / INDEX(טבלה2[[SPPR_1986]:[SPPR_symbolic_full_import_as_DC]], MATCH('השוואת פקטורים'!$B30, 'PPRs inner'!$A$2:$A$108, 0), MATCH('השוואת פקטורים'!P$6, טבלה2[[#Headers],[SPPR_1986]:[SPPR_symbolic_full_import_as_DC]], 0))
)</f>
        <v>0.99999999999997613</v>
      </c>
      <c r="R30" s="9">
        <f>IF($B$4="סהכ",
INDEX(טבלה1[[SPPR_1986]:[SPPR_symbolic_full_import_as_DC]], MATCH('השוואת פקטורים'!$B30, 'PPRs all'!$A$2:$A$108, 0), MATCH('השוואת פקטורים'!R$6, טבלה1[[#Headers],[SPPR_1986]:[SPPR_symbolic_full_import_as_DC]], 0)) / INDEX(טבלה1[[SPPR_1986]:[SPPR_symbolic_full_import_as_DC]], MATCH('השוואת פקטורים'!$B30, 'PPRs all'!$A$2:$A$108, 0), MATCH('השוואת פקטורים'!Q$6, טבלה1[[#Headers],[SPPR_1986]:[SPPR_symbolic_full_import_as_DC]], 0)),
INDEX(טבלה2[[SPPR_1986]:[SPPR_symbolic_full_import_as_DC]], MATCH('השוואת פקטורים'!$B30, 'PPRs inner'!$A$2:$A$108, 0), MATCH('השוואת פקטורים'!R$6, טבלה2[[#Headers],[SPPR_1986]:[SPPR_symbolic_full_import_as_DC]], 0)) / INDEX(טבלה2[[SPPR_1986]:[SPPR_symbolic_full_import_as_DC]], MATCH('השוואת פקטורים'!$B30, 'PPRs inner'!$A$2:$A$108, 0), MATCH('השוואת פקטורים'!Q$6, טבלה2[[#Headers],[SPPR_1986]:[SPPR_symbolic_full_import_as_DC]], 0))
)</f>
        <v>1</v>
      </c>
      <c r="S30" s="9">
        <f>IF($B$4="סהכ",
INDEX(טבלה1[[SPPR_1986]:[SPPR_symbolic_full_import_as_DC]], MATCH('השוואת פקטורים'!$B30, 'PPRs all'!$A$2:$A$108, 0), MATCH('השוואת פקטורים'!S$6, טבלה1[[#Headers],[SPPR_1986]:[SPPR_symbolic_full_import_as_DC]], 0)) / INDEX(טבלה1[[SPPR_1986]:[SPPR_symbolic_full_import_as_DC]], MATCH('השוואת פקטורים'!$B30, 'PPRs all'!$A$2:$A$108, 0), MATCH('השוואת פקטורים'!R$6, טבלה1[[#Headers],[SPPR_1986]:[SPPR_symbolic_full_import_as_DC]], 0)),
INDEX(טבלה2[[SPPR_1986]:[SPPR_symbolic_full_import_as_DC]], MATCH('השוואת פקטורים'!$B30, 'PPRs inner'!$A$2:$A$108, 0), MATCH('השוואת פקטורים'!S$6, טבלה2[[#Headers],[SPPR_1986]:[SPPR_symbolic_full_import_as_DC]], 0)) / INDEX(טבלה2[[SPPR_1986]:[SPPR_symbolic_full_import_as_DC]], MATCH('השוואת פקטורים'!$B30, 'PPRs inner'!$A$2:$A$108, 0), MATCH('השוואת פקטורים'!R$6, טבלה2[[#Headers],[SPPR_1986]:[SPPR_symbolic_full_import_as_DC]], 0))
)</f>
        <v>1</v>
      </c>
      <c r="T30" s="9">
        <f>IF($B$4="סהכ",
INDEX(טבלה1[[SPPR_1986]:[SPPR_symbolic_full_import_as_DC]], MATCH('השוואת פקטורים'!$B30, 'PPRs all'!$A$2:$A$108, 0), MATCH('השוואת פקטורים'!T$6, טבלה1[[#Headers],[SPPR_1986]:[SPPR_symbolic_full_import_as_DC]], 0)) / INDEX(טבלה1[[SPPR_1986]:[SPPR_symbolic_full_import_as_DC]], MATCH('השוואת פקטורים'!$B30, 'PPRs all'!$A$2:$A$108, 0), MATCH('השוואת פקטורים'!S$6, טבלה1[[#Headers],[SPPR_1986]:[SPPR_symbolic_full_import_as_DC]], 0)),
INDEX(טבלה2[[SPPR_1986]:[SPPR_symbolic_full_import_as_DC]], MATCH('השוואת פקטורים'!$B30, 'PPRs inner'!$A$2:$A$108, 0), MATCH('השוואת פקטורים'!T$6, טבלה2[[#Headers],[SPPR_1986]:[SPPR_symbolic_full_import_as_DC]], 0)) / INDEX(טבלה2[[SPPR_1986]:[SPPR_symbolic_full_import_as_DC]], MATCH('השוואת פקטורים'!$B30, 'PPRs inner'!$A$2:$A$108, 0), MATCH('השוואת פקטורים'!S$6, טבלה2[[#Headers],[SPPR_1986]:[SPPR_symbolic_full_import_as_DC]], 0))
)</f>
        <v>1</v>
      </c>
      <c r="U30" s="9">
        <f>IF($B$4="סהכ",
INDEX(טבלה1[[SPPR_1986]:[SPPR_symbolic_full_import_as_DC]], MATCH('השוואת פקטורים'!$B30, 'PPRs all'!$A$2:$A$108, 0), MATCH('השוואת פקטורים'!U$6, טבלה1[[#Headers],[SPPR_1986]:[SPPR_symbolic_full_import_as_DC]], 0)) / INDEX(טבלה1[[SPPR_1986]:[SPPR_symbolic_full_import_as_DC]], MATCH('השוואת פקטורים'!$B30, 'PPRs all'!$A$2:$A$108, 0), MATCH('השוואת פקטורים'!T$6, טבלה1[[#Headers],[SPPR_1986]:[SPPR_symbolic_full_import_as_DC]], 0)),
INDEX(טבלה2[[SPPR_1986]:[SPPR_symbolic_full_import_as_DC]], MATCH('השוואת פקטורים'!$B30, 'PPRs inner'!$A$2:$A$108, 0), MATCH('השוואת פקטורים'!U$6, טבלה2[[#Headers],[SPPR_1986]:[SPPR_symbolic_full_import_as_DC]], 0)) / INDEX(טבלה2[[SPPR_1986]:[SPPR_symbolic_full_import_as_DC]], MATCH('השוואת פקטורים'!$B30, 'PPRs inner'!$A$2:$A$108, 0), MATCH('השוואת פקטורים'!T$6, טבלה2[[#Headers],[SPPR_1986]:[SPPR_symbolic_full_import_as_DC]], 0))
)</f>
        <v>1.0000000000000238</v>
      </c>
      <c r="V30" s="9"/>
      <c r="W30" s="9"/>
      <c r="X30" s="14"/>
      <c r="Y30" s="14"/>
      <c r="Z30" s="15">
        <f t="shared" si="2"/>
        <v>2.7395910053604235</v>
      </c>
    </row>
    <row r="31" spans="2:26" x14ac:dyDescent="0.3">
      <c r="B31" s="6" t="s">
        <v>45</v>
      </c>
      <c r="C31" s="12" t="b">
        <v>1</v>
      </c>
      <c r="D31" s="12" t="b">
        <v>1</v>
      </c>
      <c r="E31" s="12" t="b">
        <v>1</v>
      </c>
      <c r="F31" s="12" t="b">
        <f t="shared" si="1"/>
        <v>1</v>
      </c>
      <c r="G31" s="7" t="b">
        <f>ABS(INDEX(טבלה5[[SPPR_1986]:[SPPR_symbolic_full_import_as_DC]],MATCH('השוואת פקטורים'!$B31,טבלה5[עמודה1],0),MATCH($C$4,טבלה5[[#Headers],[SPPR_1986]:[SPPR_symbolic_full_import_as_DC]],0))) &lt; 5</f>
        <v>1</v>
      </c>
      <c r="H31" s="7" t="b">
        <f>INDEX(טבלה3[[SPPR_1986]:[SPPR_symbolic_full_import_as_DC]],MATCH('השוואת פקטורים'!$B31,טבלה3[עמודה1],0),MATCH($C$4,טבלה3[[#Headers],[SPPR_1986]:[SPPR_symbolic_full_import_as_DC]],0))</f>
        <v>1</v>
      </c>
      <c r="I31" s="7" t="b">
        <f t="shared" si="0"/>
        <v>1</v>
      </c>
      <c r="J31" s="13"/>
      <c r="K31" s="9">
        <f>IF($B$4="סהכ",
INDEX(טבלה1[[SPPR_1986]:[SPPR_symbolic_full_import_as_DC]], MATCH('השוואת פקטורים'!$B31, 'PPRs all'!$A$2:$A$108, 0), MATCH('השוואת פקטורים'!K$6, טבלה1[[#Headers],[SPPR_1986]:[SPPR_symbolic_full_import_as_DC]], 0)) / INDEX(טבלה1[[SPPR_1986]:[SPPR_symbolic_full_import_as_DC]], MATCH('השוואת פקטורים'!$B31, 'PPRs all'!$A$2:$A$108, 0), MATCH('השוואת פקטורים'!J$6, טבלה1[[#Headers],[SPPR_1986]:[SPPR_symbolic_full_import_as_DC]], 0)),
INDEX(טבלה2[[SPPR_1986]:[SPPR_symbolic_full_import_as_DC]], MATCH('השוואת פקטורים'!$B31, 'PPRs inner'!$A$2:$A$108, 0), MATCH('השוואת פקטורים'!K$6, טבלה2[[#Headers],[SPPR_1986]:[SPPR_symbolic_full_import_as_DC]], 0)) / INDEX(טבלה2[[SPPR_1986]:[SPPR_symbolic_full_import_as_DC]], MATCH('השוואת פקטורים'!$B31, 'PPRs inner'!$A$2:$A$108, 0), MATCH('השוואת פקטורים'!J$6, טבלה2[[#Headers],[SPPR_1986]:[SPPR_symbolic_full_import_as_DC]], 0))
)</f>
        <v>0.80559073833019201</v>
      </c>
      <c r="L31" s="9">
        <f>IF($B$4="סהכ",
INDEX(טבלה1[[SPPR_1986]:[SPPR_symbolic_full_import_as_DC]], MATCH('השוואת פקטורים'!$B31, 'PPRs all'!$A$2:$A$108, 0), MATCH('השוואת פקטורים'!L$6, טבלה1[[#Headers],[SPPR_1986]:[SPPR_symbolic_full_import_as_DC]], 0)) / INDEX(טבלה1[[SPPR_1986]:[SPPR_symbolic_full_import_as_DC]], MATCH('השוואת פקטורים'!$B31, 'PPRs all'!$A$2:$A$108, 0), MATCH('השוואת פקטורים'!K$6, טבלה1[[#Headers],[SPPR_1986]:[SPPR_symbolic_full_import_as_DC]], 0)),
INDEX(טבלה2[[SPPR_1986]:[SPPR_symbolic_full_import_as_DC]], MATCH('השוואת פקטורים'!$B31, 'PPRs inner'!$A$2:$A$108, 0), MATCH('השוואת פקטורים'!L$6, טבלה2[[#Headers],[SPPR_1986]:[SPPR_symbolic_full_import_as_DC]], 0)) / INDEX(טבלה2[[SPPR_1986]:[SPPR_symbolic_full_import_as_DC]], MATCH('השוואת פקטורים'!$B31, 'PPRs inner'!$A$2:$A$108, 0), MATCH('השוואת פקטורים'!K$6, טבלה2[[#Headers],[SPPR_1986]:[SPPR_symbolic_full_import_as_DC]], 0))
)</f>
        <v>2.1494387100599468</v>
      </c>
      <c r="M31" s="9">
        <f>IF($B$4="סהכ",
INDEX(טבלה1[[SPPR_1986]:[SPPR_symbolic_full_import_as_DC]], MATCH('השוואת פקטורים'!$B31, 'PPRs all'!$A$2:$A$108, 0), MATCH('השוואת פקטורים'!M$6, טבלה1[[#Headers],[SPPR_1986]:[SPPR_symbolic_full_import_as_DC]], 0)) / INDEX(טבלה1[[SPPR_1986]:[SPPR_symbolic_full_import_as_DC]], MATCH('השוואת פקטורים'!$B31, 'PPRs all'!$A$2:$A$108, 0), MATCH('השוואת פקטורים'!L$6, טבלה1[[#Headers],[SPPR_1986]:[SPPR_symbolic_full_import_as_DC]], 0)),
INDEX(טבלה2[[SPPR_1986]:[SPPR_symbolic_full_import_as_DC]], MATCH('השוואת פקטורים'!$B31, 'PPRs inner'!$A$2:$A$108, 0), MATCH('השוואת פקטורים'!M$6, טבלה2[[#Headers],[SPPR_1986]:[SPPR_symbolic_full_import_as_DC]], 0)) / INDEX(טבלה2[[SPPR_1986]:[SPPR_symbolic_full_import_as_DC]], MATCH('השוואת פקטורים'!$B31, 'PPRs inner'!$A$2:$A$108, 0), MATCH('השוואת פקטורים'!L$6, טבלה2[[#Headers],[SPPR_1986]:[SPPR_symbolic_full_import_as_DC]], 0))
)</f>
        <v>0.38903259357117287</v>
      </c>
      <c r="N31" s="9">
        <f>IF($B$4="סהכ",
INDEX(טבלה1[[SPPR_1986]:[SPPR_symbolic_full_import_as_DC]], MATCH('השוואת פקטורים'!$B31, 'PPRs all'!$A$2:$A$108, 0), MATCH('השוואת פקטורים'!N$6, טבלה1[[#Headers],[SPPR_1986]:[SPPR_symbolic_full_import_as_DC]], 0)) / INDEX(טבלה1[[SPPR_1986]:[SPPR_symbolic_full_import_as_DC]], MATCH('השוואת פקטורים'!$B31, 'PPRs all'!$A$2:$A$108, 0), MATCH('השוואת פקטורים'!M$6, טבלה1[[#Headers],[SPPR_1986]:[SPPR_symbolic_full_import_as_DC]], 0)),
INDEX(טבלה2[[SPPR_1986]:[SPPR_symbolic_full_import_as_DC]], MATCH('השוואת פקטורים'!$B31, 'PPRs inner'!$A$2:$A$108, 0), MATCH('השוואת פקטורים'!N$6, טבלה2[[#Headers],[SPPR_1986]:[SPPR_symbolic_full_import_as_DC]], 0)) / INDEX(טבלה2[[SPPR_1986]:[SPPR_symbolic_full_import_as_DC]], MATCH('השוואת פקטורים'!$B31, 'PPRs inner'!$A$2:$A$108, 0), MATCH('השוואת פקטורים'!M$6, טבלה2[[#Headers],[SPPR_1986]:[SPPR_symbolic_full_import_as_DC]], 0))
)</f>
        <v>2.1054938814970101</v>
      </c>
      <c r="O31" s="9">
        <f>IF($B$4="סהכ",
INDEX(טבלה1[[SPPR_1986]:[SPPR_symbolic_full_import_as_DC]], MATCH('השוואת פקטורים'!$B31, 'PPRs all'!$A$2:$A$108, 0), MATCH('השוואת פקטורים'!O$6, טבלה1[[#Headers],[SPPR_1986]:[SPPR_symbolic_full_import_as_DC]], 0)) / INDEX(טבלה1[[SPPR_1986]:[SPPR_symbolic_full_import_as_DC]], MATCH('השוואת פקטורים'!$B31, 'PPRs all'!$A$2:$A$108, 0), MATCH('השוואת פקטורים'!N$6, טבלה1[[#Headers],[SPPR_1986]:[SPPR_symbolic_full_import_as_DC]], 0)),
INDEX(טבלה2[[SPPR_1986]:[SPPR_symbolic_full_import_as_DC]], MATCH('השוואת פקטורים'!$B31, 'PPRs inner'!$A$2:$A$108, 0), MATCH('השוואת פקטורים'!O$6, טבלה2[[#Headers],[SPPR_1986]:[SPPR_symbolic_full_import_as_DC]], 0)) / INDEX(טבלה2[[SPPR_1986]:[SPPR_symbolic_full_import_as_DC]], MATCH('השוואת פקטורים'!$B31, 'PPRs inner'!$A$2:$A$108, 0), MATCH('השוואת פקטורים'!N$6, טבלה2[[#Headers],[SPPR_1986]:[SPPR_symbolic_full_import_as_DC]], 0))
)</f>
        <v>1.0000000000000013</v>
      </c>
      <c r="P31" s="9">
        <f>IF($B$4="סהכ",
INDEX(טבלה1[[SPPR_1986]:[SPPR_symbolic_full_import_as_DC]], MATCH('השוואת פקטורים'!$B31, 'PPRs all'!$A$2:$A$108, 0), MATCH('השוואת פקטורים'!P$6, טבלה1[[#Headers],[SPPR_1986]:[SPPR_symbolic_full_import_as_DC]], 0)) / INDEX(טבלה1[[SPPR_1986]:[SPPR_symbolic_full_import_as_DC]], MATCH('השוואת פקטורים'!$B31, 'PPRs all'!$A$2:$A$108, 0), MATCH('השוואת פקטורים'!O$6, טבלה1[[#Headers],[SPPR_1986]:[SPPR_symbolic_full_import_as_DC]], 0)),
INDEX(טבלה2[[SPPR_1986]:[SPPR_symbolic_full_import_as_DC]], MATCH('השוואת פקטורים'!$B31, 'PPRs inner'!$A$2:$A$108, 0), MATCH('השוואת פקטורים'!P$6, טבלה2[[#Headers],[SPPR_1986]:[SPPR_symbolic_full_import_as_DC]], 0)) / INDEX(טבלה2[[SPPR_1986]:[SPPR_symbolic_full_import_as_DC]], MATCH('השוואת פקטורים'!$B31, 'PPRs inner'!$A$2:$A$108, 0), MATCH('השוואת פקטורים'!O$6, טבלה2[[#Headers],[SPPR_1986]:[SPPR_symbolic_full_import_as_DC]], 0))
)</f>
        <v>0.90837159745245377</v>
      </c>
      <c r="Q31" s="9">
        <f>IF($B$4="סהכ",
INDEX(טבלה1[[SPPR_1986]:[SPPR_symbolic_full_import_as_DC]], MATCH('השוואת פקטורים'!$B31, 'PPRs all'!$A$2:$A$108, 0), MATCH('השוואת פקטורים'!Q$6, טבלה1[[#Headers],[SPPR_1986]:[SPPR_symbolic_full_import_as_DC]], 0)) / INDEX(טבלה1[[SPPR_1986]:[SPPR_symbolic_full_import_as_DC]], MATCH('השוואת פקטורים'!$B31, 'PPRs all'!$A$2:$A$108, 0), MATCH('השוואת פקטורים'!P$6, טבלה1[[#Headers],[SPPR_1986]:[SPPR_symbolic_full_import_as_DC]], 0)),
INDEX(טבלה2[[SPPR_1986]:[SPPR_symbolic_full_import_as_DC]], MATCH('השוואת פקטורים'!$B31, 'PPRs inner'!$A$2:$A$108, 0), MATCH('השוואת פקטורים'!Q$6, טבלה2[[#Headers],[SPPR_1986]:[SPPR_symbolic_full_import_as_DC]], 0)) / INDEX(טבלה2[[SPPR_1986]:[SPPR_symbolic_full_import_as_DC]], MATCH('השוואת פקטורים'!$B31, 'PPRs inner'!$A$2:$A$108, 0), MATCH('השוואת פקטורים'!P$6, טבלה2[[#Headers],[SPPR_1986]:[SPPR_symbolic_full_import_as_DC]], 0))
)</f>
        <v>1.0000000000000011</v>
      </c>
      <c r="R31" s="9">
        <f>IF($B$4="סהכ",
INDEX(טבלה1[[SPPR_1986]:[SPPR_symbolic_full_import_as_DC]], MATCH('השוואת פקטורים'!$B31, 'PPRs all'!$A$2:$A$108, 0), MATCH('השוואת פקטורים'!R$6, טבלה1[[#Headers],[SPPR_1986]:[SPPR_symbolic_full_import_as_DC]], 0)) / INDEX(טבלה1[[SPPR_1986]:[SPPR_symbolic_full_import_as_DC]], MATCH('השוואת פקטורים'!$B31, 'PPRs all'!$A$2:$A$108, 0), MATCH('השוואת פקטורים'!Q$6, טבלה1[[#Headers],[SPPR_1986]:[SPPR_symbolic_full_import_as_DC]], 0)),
INDEX(טבלה2[[SPPR_1986]:[SPPR_symbolic_full_import_as_DC]], MATCH('השוואת פקטורים'!$B31, 'PPRs inner'!$A$2:$A$108, 0), MATCH('השוואת פקטורים'!R$6, טבלה2[[#Headers],[SPPR_1986]:[SPPR_symbolic_full_import_as_DC]], 0)) / INDEX(טבלה2[[SPPR_1986]:[SPPR_symbolic_full_import_as_DC]], MATCH('השוואת פקטורים'!$B31, 'PPRs inner'!$A$2:$A$108, 0), MATCH('השוואת פקטורים'!Q$6, טבלה2[[#Headers],[SPPR_1986]:[SPPR_symbolic_full_import_as_DC]], 0))
)</f>
        <v>1</v>
      </c>
      <c r="S31" s="9">
        <f>IF($B$4="סהכ",
INDEX(טבלה1[[SPPR_1986]:[SPPR_symbolic_full_import_as_DC]], MATCH('השוואת פקטורים'!$B31, 'PPRs all'!$A$2:$A$108, 0), MATCH('השוואת פקטורים'!S$6, טבלה1[[#Headers],[SPPR_1986]:[SPPR_symbolic_full_import_as_DC]], 0)) / INDEX(טבלה1[[SPPR_1986]:[SPPR_symbolic_full_import_as_DC]], MATCH('השוואת פקטורים'!$B31, 'PPRs all'!$A$2:$A$108, 0), MATCH('השוואת פקטורים'!R$6, טבלה1[[#Headers],[SPPR_1986]:[SPPR_symbolic_full_import_as_DC]], 0)),
INDEX(טבלה2[[SPPR_1986]:[SPPR_symbolic_full_import_as_DC]], MATCH('השוואת פקטורים'!$B31, 'PPRs inner'!$A$2:$A$108, 0), MATCH('השוואת פקטורים'!S$6, טבלה2[[#Headers],[SPPR_1986]:[SPPR_symbolic_full_import_as_DC]], 0)) / INDEX(טבלה2[[SPPR_1986]:[SPPR_symbolic_full_import_as_DC]], MATCH('השוואת פקטורים'!$B31, 'PPRs inner'!$A$2:$A$108, 0), MATCH('השוואת פקטורים'!R$6, טבלה2[[#Headers],[SPPR_1986]:[SPPR_symbolic_full_import_as_DC]], 0))
)</f>
        <v>1</v>
      </c>
      <c r="T31" s="9">
        <f>IF($B$4="סהכ",
INDEX(טבלה1[[SPPR_1986]:[SPPR_symbolic_full_import_as_DC]], MATCH('השוואת פקטורים'!$B31, 'PPRs all'!$A$2:$A$108, 0), MATCH('השוואת פקטורים'!T$6, טבלה1[[#Headers],[SPPR_1986]:[SPPR_symbolic_full_import_as_DC]], 0)) / INDEX(טבלה1[[SPPR_1986]:[SPPR_symbolic_full_import_as_DC]], MATCH('השוואת פקטורים'!$B31, 'PPRs all'!$A$2:$A$108, 0), MATCH('השוואת פקטורים'!S$6, טבלה1[[#Headers],[SPPR_1986]:[SPPR_symbolic_full_import_as_DC]], 0)),
INDEX(טבלה2[[SPPR_1986]:[SPPR_symbolic_full_import_as_DC]], MATCH('השוואת פקטורים'!$B31, 'PPRs inner'!$A$2:$A$108, 0), MATCH('השוואת פקטורים'!T$6, טבלה2[[#Headers],[SPPR_1986]:[SPPR_symbolic_full_import_as_DC]], 0)) / INDEX(טבלה2[[SPPR_1986]:[SPPR_symbolic_full_import_as_DC]], MATCH('השוואת פקטורים'!$B31, 'PPRs inner'!$A$2:$A$108, 0), MATCH('השוואת פקטורים'!S$6, טבלה2[[#Headers],[SPPR_1986]:[SPPR_symbolic_full_import_as_DC]], 0))
)</f>
        <v>1</v>
      </c>
      <c r="U31" s="9">
        <f>IF($B$4="סהכ",
INDEX(טבלה1[[SPPR_1986]:[SPPR_symbolic_full_import_as_DC]], MATCH('השוואת פקטורים'!$B31, 'PPRs all'!$A$2:$A$108, 0), MATCH('השוואת פקטורים'!U$6, טבלה1[[#Headers],[SPPR_1986]:[SPPR_symbolic_full_import_as_DC]], 0)) / INDEX(טבלה1[[SPPR_1986]:[SPPR_symbolic_full_import_as_DC]], MATCH('השוואת פקטורים'!$B31, 'PPRs all'!$A$2:$A$108, 0), MATCH('השוואת פקטורים'!T$6, טבלה1[[#Headers],[SPPR_1986]:[SPPR_symbolic_full_import_as_DC]], 0)),
INDEX(טבלה2[[SPPR_1986]:[SPPR_symbolic_full_import_as_DC]], MATCH('השוואת פקטורים'!$B31, 'PPRs inner'!$A$2:$A$108, 0), MATCH('השוואת פקטורים'!U$6, טבלה2[[#Headers],[SPPR_1986]:[SPPR_symbolic_full_import_as_DC]], 0)) / INDEX(טבלה2[[SPPR_1986]:[SPPR_symbolic_full_import_as_DC]], MATCH('השוואת פקטורים'!$B31, 'PPRs inner'!$A$2:$A$108, 0), MATCH('השוואת פקטורים'!T$6, טבלה2[[#Headers],[SPPR_1986]:[SPPR_symbolic_full_import_as_DC]], 0))
)</f>
        <v>0.999999999999999</v>
      </c>
      <c r="V31" s="9"/>
      <c r="W31" s="9"/>
      <c r="X31" s="14"/>
      <c r="Y31" s="14"/>
      <c r="Z31" s="15">
        <f t="shared" si="2"/>
        <v>1.2883772551919386</v>
      </c>
    </row>
    <row r="32" spans="2:26" x14ac:dyDescent="0.3">
      <c r="B32" s="6" t="s">
        <v>46</v>
      </c>
      <c r="C32" s="12" t="b">
        <v>1</v>
      </c>
      <c r="D32" s="12" t="b">
        <v>0</v>
      </c>
      <c r="E32" s="12" t="b">
        <v>1</v>
      </c>
      <c r="F32" s="12" t="b">
        <f t="shared" si="1"/>
        <v>0</v>
      </c>
      <c r="G32" s="7" t="b">
        <f>ABS(INDEX(טבלה5[[SPPR_1986]:[SPPR_symbolic_full_import_as_DC]],MATCH('השוואת פקטורים'!$B32,טבלה5[עמודה1],0),MATCH($C$4,טבלה5[[#Headers],[SPPR_1986]:[SPPR_symbolic_full_import_as_DC]],0))) &lt; 5</f>
        <v>1</v>
      </c>
      <c r="H32" s="7" t="b">
        <f>INDEX(טבלה3[[SPPR_1986]:[SPPR_symbolic_full_import_as_DC]],MATCH('השוואת פקטורים'!$B32,טבלה3[עמודה1],0),MATCH($C$4,טבלה3[[#Headers],[SPPR_1986]:[SPPR_symbolic_full_import_as_DC]],0))</f>
        <v>1</v>
      </c>
      <c r="I32" s="7" t="b">
        <f t="shared" si="0"/>
        <v>0</v>
      </c>
      <c r="J32" s="13"/>
      <c r="K32" s="9">
        <f>IF($B$4="סהכ",
INDEX(טבלה1[[SPPR_1986]:[SPPR_symbolic_full_import_as_DC]], MATCH('השוואת פקטורים'!$B32, 'PPRs all'!$A$2:$A$108, 0), MATCH('השוואת פקטורים'!K$6, טבלה1[[#Headers],[SPPR_1986]:[SPPR_symbolic_full_import_as_DC]], 0)) / INDEX(טבלה1[[SPPR_1986]:[SPPR_symbolic_full_import_as_DC]], MATCH('השוואת פקטורים'!$B32, 'PPRs all'!$A$2:$A$108, 0), MATCH('השוואת פקטורים'!J$6, טבלה1[[#Headers],[SPPR_1986]:[SPPR_symbolic_full_import_as_DC]], 0)),
INDEX(טבלה2[[SPPR_1986]:[SPPR_symbolic_full_import_as_DC]], MATCH('השוואת פקטורים'!$B32, 'PPRs inner'!$A$2:$A$108, 0), MATCH('השוואת פקטורים'!K$6, טבלה2[[#Headers],[SPPR_1986]:[SPPR_symbolic_full_import_as_DC]], 0)) / INDEX(טבלה2[[SPPR_1986]:[SPPR_symbolic_full_import_as_DC]], MATCH('השוואת פקטורים'!$B32, 'PPRs inner'!$A$2:$A$108, 0), MATCH('השוואת פקטורים'!J$6, טבלה2[[#Headers],[SPPR_1986]:[SPPR_symbolic_full_import_as_DC]], 0))
)</f>
        <v>0.52266689245294873</v>
      </c>
      <c r="L32" s="9">
        <f>IF($B$4="סהכ",
INDEX(טבלה1[[SPPR_1986]:[SPPR_symbolic_full_import_as_DC]], MATCH('השוואת פקטורים'!$B32, 'PPRs all'!$A$2:$A$108, 0), MATCH('השוואת פקטורים'!L$6, טבלה1[[#Headers],[SPPR_1986]:[SPPR_symbolic_full_import_as_DC]], 0)) / INDEX(טבלה1[[SPPR_1986]:[SPPR_symbolic_full_import_as_DC]], MATCH('השוואת פקטורים'!$B32, 'PPRs all'!$A$2:$A$108, 0), MATCH('השוואת פקטורים'!K$6, טבלה1[[#Headers],[SPPR_1986]:[SPPR_symbolic_full_import_as_DC]], 0)),
INDEX(טבלה2[[SPPR_1986]:[SPPR_symbolic_full_import_as_DC]], MATCH('השוואת פקטורים'!$B32, 'PPRs inner'!$A$2:$A$108, 0), MATCH('השוואת פקטורים'!L$6, טבלה2[[#Headers],[SPPR_1986]:[SPPR_symbolic_full_import_as_DC]], 0)) / INDEX(טבלה2[[SPPR_1986]:[SPPR_symbolic_full_import_as_DC]], MATCH('השוואת פקטורים'!$B32, 'PPRs inner'!$A$2:$A$108, 0), MATCH('השוואת פקטורים'!K$6, טבלה2[[#Headers],[SPPR_1986]:[SPPR_symbolic_full_import_as_DC]], 0))
)</f>
        <v>2.7000784821380157</v>
      </c>
      <c r="M32" s="9">
        <f>IF($B$4="סהכ",
INDEX(טבלה1[[SPPR_1986]:[SPPR_symbolic_full_import_as_DC]], MATCH('השוואת פקטורים'!$B32, 'PPRs all'!$A$2:$A$108, 0), MATCH('השוואת פקטורים'!M$6, טבלה1[[#Headers],[SPPR_1986]:[SPPR_symbolic_full_import_as_DC]], 0)) / INDEX(טבלה1[[SPPR_1986]:[SPPR_symbolic_full_import_as_DC]], MATCH('השוואת פקטורים'!$B32, 'PPRs all'!$A$2:$A$108, 0), MATCH('השוואת פקטורים'!L$6, טבלה1[[#Headers],[SPPR_1986]:[SPPR_symbolic_full_import_as_DC]], 0)),
INDEX(טבלה2[[SPPR_1986]:[SPPR_symbolic_full_import_as_DC]], MATCH('השוואת פקטורים'!$B32, 'PPRs inner'!$A$2:$A$108, 0), MATCH('השוואת פקטורים'!M$6, טבלה2[[#Headers],[SPPR_1986]:[SPPR_symbolic_full_import_as_DC]], 0)) / INDEX(טבלה2[[SPPR_1986]:[SPPR_symbolic_full_import_as_DC]], MATCH('השוואת פקטורים'!$B32, 'PPRs inner'!$A$2:$A$108, 0), MATCH('השוואת פקטורים'!L$6, טבלה2[[#Headers],[SPPR_1986]:[SPPR_symbolic_full_import_as_DC]], 0))
)</f>
        <v>5.793234053552526</v>
      </c>
      <c r="N32" s="9">
        <f>IF($B$4="סהכ",
INDEX(טבלה1[[SPPR_1986]:[SPPR_symbolic_full_import_as_DC]], MATCH('השוואת פקטורים'!$B32, 'PPRs all'!$A$2:$A$108, 0), MATCH('השוואת פקטורים'!N$6, טבלה1[[#Headers],[SPPR_1986]:[SPPR_symbolic_full_import_as_DC]], 0)) / INDEX(טבלה1[[SPPR_1986]:[SPPR_symbolic_full_import_as_DC]], MATCH('השוואת פקטורים'!$B32, 'PPRs all'!$A$2:$A$108, 0), MATCH('השוואת פקטורים'!M$6, טבלה1[[#Headers],[SPPR_1986]:[SPPR_symbolic_full_import_as_DC]], 0)),
INDEX(טבלה2[[SPPR_1986]:[SPPR_symbolic_full_import_as_DC]], MATCH('השוואת פקטורים'!$B32, 'PPRs inner'!$A$2:$A$108, 0), MATCH('השוואת פקטורים'!N$6, טבלה2[[#Headers],[SPPR_1986]:[SPPR_symbolic_full_import_as_DC]], 0)) / INDEX(טבלה2[[SPPR_1986]:[SPPR_symbolic_full_import_as_DC]], MATCH('השוואת פקטורים'!$B32, 'PPRs inner'!$A$2:$A$108, 0), MATCH('השוואת פקטורים'!M$6, טבלה2[[#Headers],[SPPR_1986]:[SPPR_symbolic_full_import_as_DC]], 0))
)</f>
        <v>0.68645787124486757</v>
      </c>
      <c r="O32" s="9">
        <f>IF($B$4="סהכ",
INDEX(טבלה1[[SPPR_1986]:[SPPR_symbolic_full_import_as_DC]], MATCH('השוואת פקטורים'!$B32, 'PPRs all'!$A$2:$A$108, 0), MATCH('השוואת פקטורים'!O$6, טבלה1[[#Headers],[SPPR_1986]:[SPPR_symbolic_full_import_as_DC]], 0)) / INDEX(טבלה1[[SPPR_1986]:[SPPR_symbolic_full_import_as_DC]], MATCH('השוואת פקטורים'!$B32, 'PPRs all'!$A$2:$A$108, 0), MATCH('השוואת פקטורים'!N$6, טבלה1[[#Headers],[SPPR_1986]:[SPPR_symbolic_full_import_as_DC]], 0)),
INDEX(טבלה2[[SPPR_1986]:[SPPR_symbolic_full_import_as_DC]], MATCH('השוואת פקטורים'!$B32, 'PPRs inner'!$A$2:$A$108, 0), MATCH('השוואת פקטורים'!O$6, טבלה2[[#Headers],[SPPR_1986]:[SPPR_symbolic_full_import_as_DC]], 0)) / INDEX(טבלה2[[SPPR_1986]:[SPPR_symbolic_full_import_as_DC]], MATCH('השוואת פקטורים'!$B32, 'PPRs inner'!$A$2:$A$108, 0), MATCH('השוואת פקטורים'!N$6, טבלה2[[#Headers],[SPPR_1986]:[SPPR_symbolic_full_import_as_DC]], 0))
)</f>
        <v>1.0000000000000009</v>
      </c>
      <c r="P32" s="9">
        <f>IF($B$4="סהכ",
INDEX(טבלה1[[SPPR_1986]:[SPPR_symbolic_full_import_as_DC]], MATCH('השוואת פקטורים'!$B32, 'PPRs all'!$A$2:$A$108, 0), MATCH('השוואת פקטורים'!P$6, טבלה1[[#Headers],[SPPR_1986]:[SPPR_symbolic_full_import_as_DC]], 0)) / INDEX(טבלה1[[SPPR_1986]:[SPPR_symbolic_full_import_as_DC]], MATCH('השוואת פקטורים'!$B32, 'PPRs all'!$A$2:$A$108, 0), MATCH('השוואת פקטורים'!O$6, טבלה1[[#Headers],[SPPR_1986]:[SPPR_symbolic_full_import_as_DC]], 0)),
INDEX(טבלה2[[SPPR_1986]:[SPPR_symbolic_full_import_as_DC]], MATCH('השוואת פקטורים'!$B32, 'PPRs inner'!$A$2:$A$108, 0), MATCH('השוואת פקטורים'!P$6, טבלה2[[#Headers],[SPPR_1986]:[SPPR_symbolic_full_import_as_DC]], 0)) / INDEX(טבלה2[[SPPR_1986]:[SPPR_symbolic_full_import_as_DC]], MATCH('השוואת פקטורים'!$B32, 'PPRs inner'!$A$2:$A$108, 0), MATCH('השוואת פקטורים'!O$6, טבלה2[[#Headers],[SPPR_1986]:[SPPR_symbolic_full_import_as_DC]], 0))
)</f>
        <v>0.36071200539726533</v>
      </c>
      <c r="Q32" s="9">
        <f>IF($B$4="סהכ",
INDEX(טבלה1[[SPPR_1986]:[SPPR_symbolic_full_import_as_DC]], MATCH('השוואת פקטורים'!$B32, 'PPRs all'!$A$2:$A$108, 0), MATCH('השוואת פקטורים'!Q$6, טבלה1[[#Headers],[SPPR_1986]:[SPPR_symbolic_full_import_as_DC]], 0)) / INDEX(טבלה1[[SPPR_1986]:[SPPR_symbolic_full_import_as_DC]], MATCH('השוואת פקטורים'!$B32, 'PPRs all'!$A$2:$A$108, 0), MATCH('השוואת פקטורים'!P$6, טבלה1[[#Headers],[SPPR_1986]:[SPPR_symbolic_full_import_as_DC]], 0)),
INDEX(טבלה2[[SPPR_1986]:[SPPR_symbolic_full_import_as_DC]], MATCH('השוואת פקטורים'!$B32, 'PPRs inner'!$A$2:$A$108, 0), MATCH('השוואת פקטורים'!Q$6, טבלה2[[#Headers],[SPPR_1986]:[SPPR_symbolic_full_import_as_DC]], 0)) / INDEX(טבלה2[[SPPR_1986]:[SPPR_symbolic_full_import_as_DC]], MATCH('השוואת פקטורים'!$B32, 'PPRs inner'!$A$2:$A$108, 0), MATCH('השוואת פקטורים'!P$6, טבלה2[[#Headers],[SPPR_1986]:[SPPR_symbolic_full_import_as_DC]], 0))
)</f>
        <v>0.99999999999999378</v>
      </c>
      <c r="R32" s="9">
        <f>IF($B$4="סהכ",
INDEX(טבלה1[[SPPR_1986]:[SPPR_symbolic_full_import_as_DC]], MATCH('השוואת פקטורים'!$B32, 'PPRs all'!$A$2:$A$108, 0), MATCH('השוואת פקטורים'!R$6, טבלה1[[#Headers],[SPPR_1986]:[SPPR_symbolic_full_import_as_DC]], 0)) / INDEX(טבלה1[[SPPR_1986]:[SPPR_symbolic_full_import_as_DC]], MATCH('השוואת פקטורים'!$B32, 'PPRs all'!$A$2:$A$108, 0), MATCH('השוואת פקטורים'!Q$6, טבלה1[[#Headers],[SPPR_1986]:[SPPR_symbolic_full_import_as_DC]], 0)),
INDEX(טבלה2[[SPPR_1986]:[SPPR_symbolic_full_import_as_DC]], MATCH('השוואת פקטורים'!$B32, 'PPRs inner'!$A$2:$A$108, 0), MATCH('השוואת פקטורים'!R$6, טבלה2[[#Headers],[SPPR_1986]:[SPPR_symbolic_full_import_as_DC]], 0)) / INDEX(טבלה2[[SPPR_1986]:[SPPR_symbolic_full_import_as_DC]], MATCH('השוואת פקטורים'!$B32, 'PPRs inner'!$A$2:$A$108, 0), MATCH('השוואת פקטורים'!Q$6, טבלה2[[#Headers],[SPPR_1986]:[SPPR_symbolic_full_import_as_DC]], 0))
)</f>
        <v>1</v>
      </c>
      <c r="S32" s="9">
        <f>IF($B$4="סהכ",
INDEX(טבלה1[[SPPR_1986]:[SPPR_symbolic_full_import_as_DC]], MATCH('השוואת פקטורים'!$B32, 'PPRs all'!$A$2:$A$108, 0), MATCH('השוואת פקטורים'!S$6, טבלה1[[#Headers],[SPPR_1986]:[SPPR_symbolic_full_import_as_DC]], 0)) / INDEX(טבלה1[[SPPR_1986]:[SPPR_symbolic_full_import_as_DC]], MATCH('השוואת פקטורים'!$B32, 'PPRs all'!$A$2:$A$108, 0), MATCH('השוואת פקטורים'!R$6, טבלה1[[#Headers],[SPPR_1986]:[SPPR_symbolic_full_import_as_DC]], 0)),
INDEX(טבלה2[[SPPR_1986]:[SPPR_symbolic_full_import_as_DC]], MATCH('השוואת פקטורים'!$B32, 'PPRs inner'!$A$2:$A$108, 0), MATCH('השוואת פקטורים'!S$6, טבלה2[[#Headers],[SPPR_1986]:[SPPR_symbolic_full_import_as_DC]], 0)) / INDEX(טבלה2[[SPPR_1986]:[SPPR_symbolic_full_import_as_DC]], MATCH('השוואת פקטורים'!$B32, 'PPRs inner'!$A$2:$A$108, 0), MATCH('השוואת פקטורים'!R$6, טבלה2[[#Headers],[SPPR_1986]:[SPPR_symbolic_full_import_as_DC]], 0))
)</f>
        <v>1</v>
      </c>
      <c r="T32" s="9">
        <f>IF($B$4="סהכ",
INDEX(טבלה1[[SPPR_1986]:[SPPR_symbolic_full_import_as_DC]], MATCH('השוואת פקטורים'!$B32, 'PPRs all'!$A$2:$A$108, 0), MATCH('השוואת פקטורים'!T$6, טבלה1[[#Headers],[SPPR_1986]:[SPPR_symbolic_full_import_as_DC]], 0)) / INDEX(טבלה1[[SPPR_1986]:[SPPR_symbolic_full_import_as_DC]], MATCH('השוואת פקטורים'!$B32, 'PPRs all'!$A$2:$A$108, 0), MATCH('השוואת פקטורים'!S$6, טבלה1[[#Headers],[SPPR_1986]:[SPPR_symbolic_full_import_as_DC]], 0)),
INDEX(טבלה2[[SPPR_1986]:[SPPR_symbolic_full_import_as_DC]], MATCH('השוואת פקטורים'!$B32, 'PPRs inner'!$A$2:$A$108, 0), MATCH('השוואת פקטורים'!T$6, טבלה2[[#Headers],[SPPR_1986]:[SPPR_symbolic_full_import_as_DC]], 0)) / INDEX(טבלה2[[SPPR_1986]:[SPPR_symbolic_full_import_as_DC]], MATCH('השוואת פקטורים'!$B32, 'PPRs inner'!$A$2:$A$108, 0), MATCH('השוואת פקטורים'!S$6, טבלה2[[#Headers],[SPPR_1986]:[SPPR_symbolic_full_import_as_DC]], 0))
)</f>
        <v>1</v>
      </c>
      <c r="U32" s="9">
        <f>IF($B$4="סהכ",
INDEX(טבלה1[[SPPR_1986]:[SPPR_symbolic_full_import_as_DC]], MATCH('השוואת פקטורים'!$B32, 'PPRs all'!$A$2:$A$108, 0), MATCH('השוואת פקטורים'!U$6, טבלה1[[#Headers],[SPPR_1986]:[SPPR_symbolic_full_import_as_DC]], 0)) / INDEX(טבלה1[[SPPR_1986]:[SPPR_symbolic_full_import_as_DC]], MATCH('השוואת פקטורים'!$B32, 'PPRs all'!$A$2:$A$108, 0), MATCH('השוואת פקטורים'!T$6, טבלה1[[#Headers],[SPPR_1986]:[SPPR_symbolic_full_import_as_DC]], 0)),
INDEX(טבלה2[[SPPR_1986]:[SPPR_symbolic_full_import_as_DC]], MATCH('השוואת פקטורים'!$B32, 'PPRs inner'!$A$2:$A$108, 0), MATCH('השוואת פקטורים'!U$6, טבלה2[[#Headers],[SPPR_1986]:[SPPR_symbolic_full_import_as_DC]], 0)) / INDEX(טבלה2[[SPPR_1986]:[SPPR_symbolic_full_import_as_DC]], MATCH('השוואת פקטורים'!$B32, 'PPRs inner'!$A$2:$A$108, 0), MATCH('השוואת פקטורים'!T$6, טבלה2[[#Headers],[SPPR_1986]:[SPPR_symbolic_full_import_as_DC]], 0))
)</f>
        <v>1.0000000000000062</v>
      </c>
      <c r="V32" s="9"/>
      <c r="W32" s="9"/>
      <c r="X32" s="14"/>
      <c r="Y32" s="14"/>
      <c r="Z32" s="15">
        <f t="shared" si="2"/>
        <v>2.0244028502188347</v>
      </c>
    </row>
    <row r="33" spans="2:26" x14ac:dyDescent="0.3">
      <c r="B33" s="6" t="s">
        <v>47</v>
      </c>
      <c r="C33" s="12" t="b">
        <v>1</v>
      </c>
      <c r="D33" s="12" t="b">
        <v>1</v>
      </c>
      <c r="E33" s="12" t="b">
        <v>1</v>
      </c>
      <c r="F33" s="12" t="b">
        <f t="shared" si="1"/>
        <v>1</v>
      </c>
      <c r="G33" s="7" t="b">
        <f>ABS(INDEX(טבלה5[[SPPR_1986]:[SPPR_symbolic_full_import_as_DC]],MATCH('השוואת פקטורים'!$B33,טבלה5[עמודה1],0),MATCH($C$4,טבלה5[[#Headers],[SPPR_1986]:[SPPR_symbolic_full_import_as_DC]],0))) &lt; 5</f>
        <v>1</v>
      </c>
      <c r="H33" s="7" t="b">
        <f>INDEX(טבלה3[[SPPR_1986]:[SPPR_symbolic_full_import_as_DC]],MATCH('השוואת פקטורים'!$B33,טבלה3[עמודה1],0),MATCH($C$4,טבלה3[[#Headers],[SPPR_1986]:[SPPR_symbolic_full_import_as_DC]],0))</f>
        <v>1</v>
      </c>
      <c r="I33" s="7" t="b">
        <f t="shared" si="0"/>
        <v>1</v>
      </c>
      <c r="J33" s="13"/>
      <c r="K33" s="9">
        <f>IF($B$4="סהכ",
INDEX(טבלה1[[SPPR_1986]:[SPPR_symbolic_full_import_as_DC]], MATCH('השוואת פקטורים'!$B33, 'PPRs all'!$A$2:$A$108, 0), MATCH('השוואת פקטורים'!K$6, טבלה1[[#Headers],[SPPR_1986]:[SPPR_symbolic_full_import_as_DC]], 0)) / INDEX(טבלה1[[SPPR_1986]:[SPPR_symbolic_full_import_as_DC]], MATCH('השוואת פקטורים'!$B33, 'PPRs all'!$A$2:$A$108, 0), MATCH('השוואת פקטורים'!J$6, טבלה1[[#Headers],[SPPR_1986]:[SPPR_symbolic_full_import_as_DC]], 0)),
INDEX(טבלה2[[SPPR_1986]:[SPPR_symbolic_full_import_as_DC]], MATCH('השוואת פקטורים'!$B33, 'PPRs inner'!$A$2:$A$108, 0), MATCH('השוואת פקטורים'!K$6, טבלה2[[#Headers],[SPPR_1986]:[SPPR_symbolic_full_import_as_DC]], 0)) / INDEX(טבלה2[[SPPR_1986]:[SPPR_symbolic_full_import_as_DC]], MATCH('השוואת פקטורים'!$B33, 'PPRs inner'!$A$2:$A$108, 0), MATCH('השוואת פקטורים'!J$6, טבלה2[[#Headers],[SPPR_1986]:[SPPR_symbolic_full_import_as_DC]], 0))
)</f>
        <v>0.21782668808085551</v>
      </c>
      <c r="L33" s="9">
        <f>IF($B$4="סהכ",
INDEX(טבלה1[[SPPR_1986]:[SPPR_symbolic_full_import_as_DC]], MATCH('השוואת פקטורים'!$B33, 'PPRs all'!$A$2:$A$108, 0), MATCH('השוואת פקטורים'!L$6, טבלה1[[#Headers],[SPPR_1986]:[SPPR_symbolic_full_import_as_DC]], 0)) / INDEX(טבלה1[[SPPR_1986]:[SPPR_symbolic_full_import_as_DC]], MATCH('השוואת פקטורים'!$B33, 'PPRs all'!$A$2:$A$108, 0), MATCH('השוואת פקטורים'!K$6, טבלה1[[#Headers],[SPPR_1986]:[SPPR_symbolic_full_import_as_DC]], 0)),
INDEX(טבלה2[[SPPR_1986]:[SPPR_symbolic_full_import_as_DC]], MATCH('השוואת פקטורים'!$B33, 'PPRs inner'!$A$2:$A$108, 0), MATCH('השוואת פקטורים'!L$6, טבלה2[[#Headers],[SPPR_1986]:[SPPR_symbolic_full_import_as_DC]], 0)) / INDEX(טבלה2[[SPPR_1986]:[SPPR_symbolic_full_import_as_DC]], MATCH('השוואת פקטורים'!$B33, 'PPRs inner'!$A$2:$A$108, 0), MATCH('השוואת פקטורים'!K$6, טבלה2[[#Headers],[SPPR_1986]:[SPPR_symbolic_full_import_as_DC]], 0))
)</f>
        <v>1.5558237844600844</v>
      </c>
      <c r="M33" s="9">
        <f>IF($B$4="סהכ",
INDEX(טבלה1[[SPPR_1986]:[SPPR_symbolic_full_import_as_DC]], MATCH('השוואת פקטורים'!$B33, 'PPRs all'!$A$2:$A$108, 0), MATCH('השוואת פקטורים'!M$6, טבלה1[[#Headers],[SPPR_1986]:[SPPR_symbolic_full_import_as_DC]], 0)) / INDEX(טבלה1[[SPPR_1986]:[SPPR_symbolic_full_import_as_DC]], MATCH('השוואת פקטורים'!$B33, 'PPRs all'!$A$2:$A$108, 0), MATCH('השוואת פקטורים'!L$6, טבלה1[[#Headers],[SPPR_1986]:[SPPR_symbolic_full_import_as_DC]], 0)),
INDEX(טבלה2[[SPPR_1986]:[SPPR_symbolic_full_import_as_DC]], MATCH('השוואת פקטורים'!$B33, 'PPRs inner'!$A$2:$A$108, 0), MATCH('השוואת פקטורים'!M$6, טבלה2[[#Headers],[SPPR_1986]:[SPPR_symbolic_full_import_as_DC]], 0)) / INDEX(טבלה2[[SPPR_1986]:[SPPR_symbolic_full_import_as_DC]], MATCH('השוואת פקטורים'!$B33, 'PPRs inner'!$A$2:$A$108, 0), MATCH('השוואת פקטורים'!L$6, טבלה2[[#Headers],[SPPR_1986]:[SPPR_symbolic_full_import_as_DC]], 0))
)</f>
        <v>2.7959389247603741</v>
      </c>
      <c r="N33" s="9">
        <f>IF($B$4="סהכ",
INDEX(טבלה1[[SPPR_1986]:[SPPR_symbolic_full_import_as_DC]], MATCH('השוואת פקטורים'!$B33, 'PPRs all'!$A$2:$A$108, 0), MATCH('השוואת פקטורים'!N$6, טבלה1[[#Headers],[SPPR_1986]:[SPPR_symbolic_full_import_as_DC]], 0)) / INDEX(טבלה1[[SPPR_1986]:[SPPR_symbolic_full_import_as_DC]], MATCH('השוואת פקטורים'!$B33, 'PPRs all'!$A$2:$A$108, 0), MATCH('השוואת פקטורים'!M$6, טבלה1[[#Headers],[SPPR_1986]:[SPPR_symbolic_full_import_as_DC]], 0)),
INDEX(טבלה2[[SPPR_1986]:[SPPR_symbolic_full_import_as_DC]], MATCH('השוואת פקטורים'!$B33, 'PPRs inner'!$A$2:$A$108, 0), MATCH('השוואת פקטורים'!N$6, טבלה2[[#Headers],[SPPR_1986]:[SPPR_symbolic_full_import_as_DC]], 0)) / INDEX(טבלה2[[SPPR_1986]:[SPPR_symbolic_full_import_as_DC]], MATCH('השוואת פקטורים'!$B33, 'PPRs inner'!$A$2:$A$108, 0), MATCH('השוואת פקטורים'!M$6, טבלה2[[#Headers],[SPPR_1986]:[SPPR_symbolic_full_import_as_DC]], 0))
)</f>
        <v>1.5004382114991048</v>
      </c>
      <c r="O33" s="9">
        <f>IF($B$4="סהכ",
INDEX(טבלה1[[SPPR_1986]:[SPPR_symbolic_full_import_as_DC]], MATCH('השוואת פקטורים'!$B33, 'PPRs all'!$A$2:$A$108, 0), MATCH('השוואת פקטורים'!O$6, טבלה1[[#Headers],[SPPR_1986]:[SPPR_symbolic_full_import_as_DC]], 0)) / INDEX(טבלה1[[SPPR_1986]:[SPPR_symbolic_full_import_as_DC]], MATCH('השוואת פקטורים'!$B33, 'PPRs all'!$A$2:$A$108, 0), MATCH('השוואת פקטורים'!N$6, טבלה1[[#Headers],[SPPR_1986]:[SPPR_symbolic_full_import_as_DC]], 0)),
INDEX(טבלה2[[SPPR_1986]:[SPPR_symbolic_full_import_as_DC]], MATCH('השוואת פקטורים'!$B33, 'PPRs inner'!$A$2:$A$108, 0), MATCH('השוואת פקטורים'!O$6, טבלה2[[#Headers],[SPPR_1986]:[SPPR_symbolic_full_import_as_DC]], 0)) / INDEX(טבלה2[[SPPR_1986]:[SPPR_symbolic_full_import_as_DC]], MATCH('השוואת פקטורים'!$B33, 'PPRs inner'!$A$2:$A$108, 0), MATCH('השוואת פקטורים'!N$6, טבלה2[[#Headers],[SPPR_1986]:[SPPR_symbolic_full_import_as_DC]], 0))
)</f>
        <v>1.0000000000000002</v>
      </c>
      <c r="P33" s="9">
        <f>IF($B$4="סהכ",
INDEX(טבלה1[[SPPR_1986]:[SPPR_symbolic_full_import_as_DC]], MATCH('השוואת פקטורים'!$B33, 'PPRs all'!$A$2:$A$108, 0), MATCH('השוואת פקטורים'!P$6, טבלה1[[#Headers],[SPPR_1986]:[SPPR_symbolic_full_import_as_DC]], 0)) / INDEX(טבלה1[[SPPR_1986]:[SPPR_symbolic_full_import_as_DC]], MATCH('השוואת פקטורים'!$B33, 'PPRs all'!$A$2:$A$108, 0), MATCH('השוואת פקטורים'!O$6, טבלה1[[#Headers],[SPPR_1986]:[SPPR_symbolic_full_import_as_DC]], 0)),
INDEX(טבלה2[[SPPR_1986]:[SPPR_symbolic_full_import_as_DC]], MATCH('השוואת פקטורים'!$B33, 'PPRs inner'!$A$2:$A$108, 0), MATCH('השוואת פקטורים'!P$6, טבלה2[[#Headers],[SPPR_1986]:[SPPR_symbolic_full_import_as_DC]], 0)) / INDEX(טבלה2[[SPPR_1986]:[SPPR_symbolic_full_import_as_DC]], MATCH('השוואת פקטורים'!$B33, 'PPRs inner'!$A$2:$A$108, 0), MATCH('השוואת פקטורים'!O$6, טבלה2[[#Headers],[SPPR_1986]:[SPPR_symbolic_full_import_as_DC]], 0))
)</f>
        <v>0.57973550970797605</v>
      </c>
      <c r="Q33" s="9">
        <f>IF($B$4="סהכ",
INDEX(טבלה1[[SPPR_1986]:[SPPR_symbolic_full_import_as_DC]], MATCH('השוואת פקטורים'!$B33, 'PPRs all'!$A$2:$A$108, 0), MATCH('השוואת פקטורים'!Q$6, טבלה1[[#Headers],[SPPR_1986]:[SPPR_symbolic_full_import_as_DC]], 0)) / INDEX(טבלה1[[SPPR_1986]:[SPPR_symbolic_full_import_as_DC]], MATCH('השוואת פקטורים'!$B33, 'PPRs all'!$A$2:$A$108, 0), MATCH('השוואת פקטורים'!P$6, טבלה1[[#Headers],[SPPR_1986]:[SPPR_symbolic_full_import_as_DC]], 0)),
INDEX(טבלה2[[SPPR_1986]:[SPPR_symbolic_full_import_as_DC]], MATCH('השוואת פקטורים'!$B33, 'PPRs inner'!$A$2:$A$108, 0), MATCH('השוואת פקטורים'!Q$6, טבלה2[[#Headers],[SPPR_1986]:[SPPR_symbolic_full_import_as_DC]], 0)) / INDEX(טבלה2[[SPPR_1986]:[SPPR_symbolic_full_import_as_DC]], MATCH('השוואת פקטורים'!$B33, 'PPRs inner'!$A$2:$A$108, 0), MATCH('השוואת פקטורים'!P$6, טבלה2[[#Headers],[SPPR_1986]:[SPPR_symbolic_full_import_as_DC]], 0))
)</f>
        <v>0.99999999999999989</v>
      </c>
      <c r="R33" s="9">
        <f>IF($B$4="סהכ",
INDEX(טבלה1[[SPPR_1986]:[SPPR_symbolic_full_import_as_DC]], MATCH('השוואת פקטורים'!$B33, 'PPRs all'!$A$2:$A$108, 0), MATCH('השוואת פקטורים'!R$6, טבלה1[[#Headers],[SPPR_1986]:[SPPR_symbolic_full_import_as_DC]], 0)) / INDEX(טבלה1[[SPPR_1986]:[SPPR_symbolic_full_import_as_DC]], MATCH('השוואת פקטורים'!$B33, 'PPRs all'!$A$2:$A$108, 0), MATCH('השוואת פקטורים'!Q$6, טבלה1[[#Headers],[SPPR_1986]:[SPPR_symbolic_full_import_as_DC]], 0)),
INDEX(טבלה2[[SPPR_1986]:[SPPR_symbolic_full_import_as_DC]], MATCH('השוואת פקטורים'!$B33, 'PPRs inner'!$A$2:$A$108, 0), MATCH('השוואת פקטורים'!R$6, טבלה2[[#Headers],[SPPR_1986]:[SPPR_symbolic_full_import_as_DC]], 0)) / INDEX(טבלה2[[SPPR_1986]:[SPPR_symbolic_full_import_as_DC]], MATCH('השוואת פקטורים'!$B33, 'PPRs inner'!$A$2:$A$108, 0), MATCH('השוואת פקטורים'!Q$6, טבלה2[[#Headers],[SPPR_1986]:[SPPR_symbolic_full_import_as_DC]], 0))
)</f>
        <v>1</v>
      </c>
      <c r="S33" s="9">
        <f>IF($B$4="סהכ",
INDEX(טבלה1[[SPPR_1986]:[SPPR_symbolic_full_import_as_DC]], MATCH('השוואת פקטורים'!$B33, 'PPRs all'!$A$2:$A$108, 0), MATCH('השוואת פקטורים'!S$6, טבלה1[[#Headers],[SPPR_1986]:[SPPR_symbolic_full_import_as_DC]], 0)) / INDEX(טבלה1[[SPPR_1986]:[SPPR_symbolic_full_import_as_DC]], MATCH('השוואת פקטורים'!$B33, 'PPRs all'!$A$2:$A$108, 0), MATCH('השוואת פקטורים'!R$6, טבלה1[[#Headers],[SPPR_1986]:[SPPR_symbolic_full_import_as_DC]], 0)),
INDEX(טבלה2[[SPPR_1986]:[SPPR_symbolic_full_import_as_DC]], MATCH('השוואת פקטורים'!$B33, 'PPRs inner'!$A$2:$A$108, 0), MATCH('השוואת פקטורים'!S$6, טבלה2[[#Headers],[SPPR_1986]:[SPPR_symbolic_full_import_as_DC]], 0)) / INDEX(טבלה2[[SPPR_1986]:[SPPR_symbolic_full_import_as_DC]], MATCH('השוואת פקטורים'!$B33, 'PPRs inner'!$A$2:$A$108, 0), MATCH('השוואת פקטורים'!R$6, טבלה2[[#Headers],[SPPR_1986]:[SPPR_symbolic_full_import_as_DC]], 0))
)</f>
        <v>1</v>
      </c>
      <c r="T33" s="9">
        <f>IF($B$4="סהכ",
INDEX(טבלה1[[SPPR_1986]:[SPPR_symbolic_full_import_as_DC]], MATCH('השוואת פקטורים'!$B33, 'PPRs all'!$A$2:$A$108, 0), MATCH('השוואת פקטורים'!T$6, טבלה1[[#Headers],[SPPR_1986]:[SPPR_symbolic_full_import_as_DC]], 0)) / INDEX(טבלה1[[SPPR_1986]:[SPPR_symbolic_full_import_as_DC]], MATCH('השוואת פקטורים'!$B33, 'PPRs all'!$A$2:$A$108, 0), MATCH('השוואת פקטורים'!S$6, טבלה1[[#Headers],[SPPR_1986]:[SPPR_symbolic_full_import_as_DC]], 0)),
INDEX(טבלה2[[SPPR_1986]:[SPPR_symbolic_full_import_as_DC]], MATCH('השוואת פקטורים'!$B33, 'PPRs inner'!$A$2:$A$108, 0), MATCH('השוואת פקטורים'!T$6, טבלה2[[#Headers],[SPPR_1986]:[SPPR_symbolic_full_import_as_DC]], 0)) / INDEX(טבלה2[[SPPR_1986]:[SPPR_symbolic_full_import_as_DC]], MATCH('השוואת פקטורים'!$B33, 'PPRs inner'!$A$2:$A$108, 0), MATCH('השוואת פקטורים'!S$6, טבלה2[[#Headers],[SPPR_1986]:[SPPR_symbolic_full_import_as_DC]], 0))
)</f>
        <v>1</v>
      </c>
      <c r="U33" s="9">
        <f>IF($B$4="סהכ",
INDEX(טבלה1[[SPPR_1986]:[SPPR_symbolic_full_import_as_DC]], MATCH('השוואת פקטורים'!$B33, 'PPRs all'!$A$2:$A$108, 0), MATCH('השוואת פקטורים'!U$6, טבלה1[[#Headers],[SPPR_1986]:[SPPR_symbolic_full_import_as_DC]], 0)) / INDEX(טבלה1[[SPPR_1986]:[SPPR_symbolic_full_import_as_DC]], MATCH('השוואת פקטורים'!$B33, 'PPRs all'!$A$2:$A$108, 0), MATCH('השוואת פקטורים'!T$6, טבלה1[[#Headers],[SPPR_1986]:[SPPR_symbolic_full_import_as_DC]], 0)),
INDEX(טבלה2[[SPPR_1986]:[SPPR_symbolic_full_import_as_DC]], MATCH('השוואת פקטורים'!$B33, 'PPRs inner'!$A$2:$A$108, 0), MATCH('השוואת פקטורים'!U$6, טבלה2[[#Headers],[SPPR_1986]:[SPPR_symbolic_full_import_as_DC]], 0)) / INDEX(טבלה2[[SPPR_1986]:[SPPR_symbolic_full_import_as_DC]], MATCH('השוואת פקטורים'!$B33, 'PPRs inner'!$A$2:$A$108, 0), MATCH('השוואת פקטורים'!T$6, טבלה2[[#Headers],[SPPR_1986]:[SPPR_symbolic_full_import_as_DC]], 0))
)</f>
        <v>1.0000000000000002</v>
      </c>
      <c r="V33" s="9"/>
      <c r="W33" s="9"/>
      <c r="X33" s="14"/>
      <c r="Y33" s="14"/>
      <c r="Z33" s="15">
        <f t="shared" si="2"/>
        <v>0.82422767608334724</v>
      </c>
    </row>
    <row r="34" spans="2:26" x14ac:dyDescent="0.3">
      <c r="B34" s="6" t="s">
        <v>48</v>
      </c>
      <c r="C34" s="12" t="b">
        <v>1</v>
      </c>
      <c r="D34" s="12" t="b">
        <v>1</v>
      </c>
      <c r="E34" s="12" t="b">
        <v>1</v>
      </c>
      <c r="F34" s="12" t="b">
        <f t="shared" si="1"/>
        <v>1</v>
      </c>
      <c r="G34" s="7" t="b">
        <f>ABS(INDEX(טבלה5[[SPPR_1986]:[SPPR_symbolic_full_import_as_DC]],MATCH('השוואת פקטורים'!$B34,טבלה5[עמודה1],0),MATCH($C$4,טבלה5[[#Headers],[SPPR_1986]:[SPPR_symbolic_full_import_as_DC]],0))) &lt; 5</f>
        <v>1</v>
      </c>
      <c r="H34" s="7" t="b">
        <f>INDEX(טבלה3[[SPPR_1986]:[SPPR_symbolic_full_import_as_DC]],MATCH('השוואת פקטורים'!$B34,טבלה3[עמודה1],0),MATCH($C$4,טבלה3[[#Headers],[SPPR_1986]:[SPPR_symbolic_full_import_as_DC]],0))</f>
        <v>1</v>
      </c>
      <c r="I34" s="7" t="b">
        <f t="shared" si="0"/>
        <v>1</v>
      </c>
      <c r="J34" s="13"/>
      <c r="K34" s="9">
        <f>IF($B$4="סהכ",
INDEX(טבלה1[[SPPR_1986]:[SPPR_symbolic_full_import_as_DC]], MATCH('השוואת פקטורים'!$B34, 'PPRs all'!$A$2:$A$108, 0), MATCH('השוואת פקטורים'!K$6, טבלה1[[#Headers],[SPPR_1986]:[SPPR_symbolic_full_import_as_DC]], 0)) / INDEX(טבלה1[[SPPR_1986]:[SPPR_symbolic_full_import_as_DC]], MATCH('השוואת פקטורים'!$B34, 'PPRs all'!$A$2:$A$108, 0), MATCH('השוואת פקטורים'!J$6, טבלה1[[#Headers],[SPPR_1986]:[SPPR_symbolic_full_import_as_DC]], 0)),
INDEX(טבלה2[[SPPR_1986]:[SPPR_symbolic_full_import_as_DC]], MATCH('השוואת פקטורים'!$B34, 'PPRs inner'!$A$2:$A$108, 0), MATCH('השוואת פקטורים'!K$6, טבלה2[[#Headers],[SPPR_1986]:[SPPR_symbolic_full_import_as_DC]], 0)) / INDEX(טבלה2[[SPPR_1986]:[SPPR_symbolic_full_import_as_DC]], MATCH('השוואת פקטורים'!$B34, 'PPRs inner'!$A$2:$A$108, 0), MATCH('השוואת פקטורים'!J$6, טבלה2[[#Headers],[SPPR_1986]:[SPPR_symbolic_full_import_as_DC]], 0))
)</f>
        <v>0.89166210281889191</v>
      </c>
      <c r="L34" s="9">
        <f>IF($B$4="סהכ",
INDEX(טבלה1[[SPPR_1986]:[SPPR_symbolic_full_import_as_DC]], MATCH('השוואת פקטורים'!$B34, 'PPRs all'!$A$2:$A$108, 0), MATCH('השוואת פקטורים'!L$6, טבלה1[[#Headers],[SPPR_1986]:[SPPR_symbolic_full_import_as_DC]], 0)) / INDEX(טבלה1[[SPPR_1986]:[SPPR_symbolic_full_import_as_DC]], MATCH('השוואת פקטורים'!$B34, 'PPRs all'!$A$2:$A$108, 0), MATCH('השוואת פקטורים'!K$6, טבלה1[[#Headers],[SPPR_1986]:[SPPR_symbolic_full_import_as_DC]], 0)),
INDEX(טבלה2[[SPPR_1986]:[SPPR_symbolic_full_import_as_DC]], MATCH('השוואת פקטורים'!$B34, 'PPRs inner'!$A$2:$A$108, 0), MATCH('השוואת פקטורים'!L$6, טבלה2[[#Headers],[SPPR_1986]:[SPPR_symbolic_full_import_as_DC]], 0)) / INDEX(טבלה2[[SPPR_1986]:[SPPR_symbolic_full_import_as_DC]], MATCH('השוואת פקטורים'!$B34, 'PPRs inner'!$A$2:$A$108, 0), MATCH('השוואת פקטורים'!K$6, טבלה2[[#Headers],[SPPR_1986]:[SPPR_symbolic_full_import_as_DC]], 0))
)</f>
        <v>2.2160822641316611</v>
      </c>
      <c r="M34" s="9">
        <f>IF($B$4="סהכ",
INDEX(טבלה1[[SPPR_1986]:[SPPR_symbolic_full_import_as_DC]], MATCH('השוואת פקטורים'!$B34, 'PPRs all'!$A$2:$A$108, 0), MATCH('השוואת פקטורים'!M$6, טבלה1[[#Headers],[SPPR_1986]:[SPPR_symbolic_full_import_as_DC]], 0)) / INDEX(טבלה1[[SPPR_1986]:[SPPR_symbolic_full_import_as_DC]], MATCH('השוואת פקטורים'!$B34, 'PPRs all'!$A$2:$A$108, 0), MATCH('השוואת פקטורים'!L$6, טבלה1[[#Headers],[SPPR_1986]:[SPPR_symbolic_full_import_as_DC]], 0)),
INDEX(טבלה2[[SPPR_1986]:[SPPR_symbolic_full_import_as_DC]], MATCH('השוואת פקטורים'!$B34, 'PPRs inner'!$A$2:$A$108, 0), MATCH('השוואת פקטורים'!M$6, טבלה2[[#Headers],[SPPR_1986]:[SPPR_symbolic_full_import_as_DC]], 0)) / INDEX(טבלה2[[SPPR_1986]:[SPPR_symbolic_full_import_as_DC]], MATCH('השוואת פקטורים'!$B34, 'PPRs inner'!$A$2:$A$108, 0), MATCH('השוואת פקטורים'!L$6, טבלה2[[#Headers],[SPPR_1986]:[SPPR_symbolic_full_import_as_DC]], 0))
)</f>
        <v>0.43024555016962379</v>
      </c>
      <c r="N34" s="9">
        <f>IF($B$4="סהכ",
INDEX(טבלה1[[SPPR_1986]:[SPPR_symbolic_full_import_as_DC]], MATCH('השוואת פקטורים'!$B34, 'PPRs all'!$A$2:$A$108, 0), MATCH('השוואת פקטורים'!N$6, טבלה1[[#Headers],[SPPR_1986]:[SPPR_symbolic_full_import_as_DC]], 0)) / INDEX(טבלה1[[SPPR_1986]:[SPPR_symbolic_full_import_as_DC]], MATCH('השוואת פקטורים'!$B34, 'PPRs all'!$A$2:$A$108, 0), MATCH('השוואת פקטורים'!M$6, טבלה1[[#Headers],[SPPR_1986]:[SPPR_symbolic_full_import_as_DC]], 0)),
INDEX(טבלה2[[SPPR_1986]:[SPPR_symbolic_full_import_as_DC]], MATCH('השוואת פקטורים'!$B34, 'PPRs inner'!$A$2:$A$108, 0), MATCH('השוואת פקטורים'!N$6, טבלה2[[#Headers],[SPPR_1986]:[SPPR_symbolic_full_import_as_DC]], 0)) / INDEX(טבלה2[[SPPR_1986]:[SPPR_symbolic_full_import_as_DC]], MATCH('השוואת פקטורים'!$B34, 'PPRs inner'!$A$2:$A$108, 0), MATCH('השוואת פקטורים'!M$6, טבלה2[[#Headers],[SPPR_1986]:[SPPR_symbolic_full_import_as_DC]], 0))
)</f>
        <v>3.0988542990879515</v>
      </c>
      <c r="O34" s="9">
        <f>IF($B$4="סהכ",
INDEX(טבלה1[[SPPR_1986]:[SPPR_symbolic_full_import_as_DC]], MATCH('השוואת פקטורים'!$B34, 'PPRs all'!$A$2:$A$108, 0), MATCH('השוואת פקטורים'!O$6, טבלה1[[#Headers],[SPPR_1986]:[SPPR_symbolic_full_import_as_DC]], 0)) / INDEX(טבלה1[[SPPR_1986]:[SPPR_symbolic_full_import_as_DC]], MATCH('השוואת פקטורים'!$B34, 'PPRs all'!$A$2:$A$108, 0), MATCH('השוואת פקטורים'!N$6, טבלה1[[#Headers],[SPPR_1986]:[SPPR_symbolic_full_import_as_DC]], 0)),
INDEX(טבלה2[[SPPR_1986]:[SPPR_symbolic_full_import_as_DC]], MATCH('השוואת פקטורים'!$B34, 'PPRs inner'!$A$2:$A$108, 0), MATCH('השוואת פקטורים'!O$6, טבלה2[[#Headers],[SPPR_1986]:[SPPR_symbolic_full_import_as_DC]], 0)) / INDEX(טבלה2[[SPPR_1986]:[SPPR_symbolic_full_import_as_DC]], MATCH('השוואת פקטורים'!$B34, 'PPRs inner'!$A$2:$A$108, 0), MATCH('השוואת פקטורים'!N$6, טבלה2[[#Headers],[SPPR_1986]:[SPPR_symbolic_full_import_as_DC]], 0))
)</f>
        <v>1</v>
      </c>
      <c r="P34" s="9">
        <f>IF($B$4="סהכ",
INDEX(טבלה1[[SPPR_1986]:[SPPR_symbolic_full_import_as_DC]], MATCH('השוואת פקטורים'!$B34, 'PPRs all'!$A$2:$A$108, 0), MATCH('השוואת פקטורים'!P$6, טבלה1[[#Headers],[SPPR_1986]:[SPPR_symbolic_full_import_as_DC]], 0)) / INDEX(טבלה1[[SPPR_1986]:[SPPR_symbolic_full_import_as_DC]], MATCH('השוואת פקטורים'!$B34, 'PPRs all'!$A$2:$A$108, 0), MATCH('השוואת פקטורים'!O$6, טבלה1[[#Headers],[SPPR_1986]:[SPPR_symbolic_full_import_as_DC]], 0)),
INDEX(טבלה2[[SPPR_1986]:[SPPR_symbolic_full_import_as_DC]], MATCH('השוואת פקטורים'!$B34, 'PPRs inner'!$A$2:$A$108, 0), MATCH('השוואת פקטורים'!P$6, טבלה2[[#Headers],[SPPR_1986]:[SPPR_symbolic_full_import_as_DC]], 0)) / INDEX(טבלה2[[SPPR_1986]:[SPPR_symbolic_full_import_as_DC]], MATCH('השוואת פקטורים'!$B34, 'PPRs inner'!$A$2:$A$108, 0), MATCH('השוואת פקטורים'!O$6, טבלה2[[#Headers],[SPPR_1986]:[SPPR_symbolic_full_import_as_DC]], 0))
)</f>
        <v>0.45866896275045516</v>
      </c>
      <c r="Q34" s="9">
        <f>IF($B$4="סהכ",
INDEX(טבלה1[[SPPR_1986]:[SPPR_symbolic_full_import_as_DC]], MATCH('השוואת פקטורים'!$B34, 'PPRs all'!$A$2:$A$108, 0), MATCH('השוואת פקטורים'!Q$6, טבלה1[[#Headers],[SPPR_1986]:[SPPR_symbolic_full_import_as_DC]], 0)) / INDEX(טבלה1[[SPPR_1986]:[SPPR_symbolic_full_import_as_DC]], MATCH('השוואת פקטורים'!$B34, 'PPRs all'!$A$2:$A$108, 0), MATCH('השוואת פקטורים'!P$6, טבלה1[[#Headers],[SPPR_1986]:[SPPR_symbolic_full_import_as_DC]], 0)),
INDEX(טבלה2[[SPPR_1986]:[SPPR_symbolic_full_import_as_DC]], MATCH('השוואת פקטורים'!$B34, 'PPRs inner'!$A$2:$A$108, 0), MATCH('השוואת פקטורים'!Q$6, טבלה2[[#Headers],[SPPR_1986]:[SPPR_symbolic_full_import_as_DC]], 0)) / INDEX(טבלה2[[SPPR_1986]:[SPPR_symbolic_full_import_as_DC]], MATCH('השוואת פקטורים'!$B34, 'PPRs inner'!$A$2:$A$108, 0), MATCH('השוואת פקטורים'!P$6, טבלה2[[#Headers],[SPPR_1986]:[SPPR_symbolic_full_import_as_DC]], 0))
)</f>
        <v>1.0000000000000004</v>
      </c>
      <c r="R34" s="9">
        <f>IF($B$4="סהכ",
INDEX(טבלה1[[SPPR_1986]:[SPPR_symbolic_full_import_as_DC]], MATCH('השוואת פקטורים'!$B34, 'PPRs all'!$A$2:$A$108, 0), MATCH('השוואת פקטורים'!R$6, טבלה1[[#Headers],[SPPR_1986]:[SPPR_symbolic_full_import_as_DC]], 0)) / INDEX(טבלה1[[SPPR_1986]:[SPPR_symbolic_full_import_as_DC]], MATCH('השוואת פקטורים'!$B34, 'PPRs all'!$A$2:$A$108, 0), MATCH('השוואת פקטורים'!Q$6, טבלה1[[#Headers],[SPPR_1986]:[SPPR_symbolic_full_import_as_DC]], 0)),
INDEX(טבלה2[[SPPR_1986]:[SPPR_symbolic_full_import_as_DC]], MATCH('השוואת פקטורים'!$B34, 'PPRs inner'!$A$2:$A$108, 0), MATCH('השוואת פקטורים'!R$6, טבלה2[[#Headers],[SPPR_1986]:[SPPR_symbolic_full_import_as_DC]], 0)) / INDEX(טבלה2[[SPPR_1986]:[SPPR_symbolic_full_import_as_DC]], MATCH('השוואת פקטורים'!$B34, 'PPRs inner'!$A$2:$A$108, 0), MATCH('השוואת פקטורים'!Q$6, טבלה2[[#Headers],[SPPR_1986]:[SPPR_symbolic_full_import_as_DC]], 0))
)</f>
        <v>1</v>
      </c>
      <c r="S34" s="9">
        <f>IF($B$4="סהכ",
INDEX(טבלה1[[SPPR_1986]:[SPPR_symbolic_full_import_as_DC]], MATCH('השוואת פקטורים'!$B34, 'PPRs all'!$A$2:$A$108, 0), MATCH('השוואת פקטורים'!S$6, טבלה1[[#Headers],[SPPR_1986]:[SPPR_symbolic_full_import_as_DC]], 0)) / INDEX(טבלה1[[SPPR_1986]:[SPPR_symbolic_full_import_as_DC]], MATCH('השוואת פקטורים'!$B34, 'PPRs all'!$A$2:$A$108, 0), MATCH('השוואת פקטורים'!R$6, טבלה1[[#Headers],[SPPR_1986]:[SPPR_symbolic_full_import_as_DC]], 0)),
INDEX(טבלה2[[SPPR_1986]:[SPPR_symbolic_full_import_as_DC]], MATCH('השוואת פקטורים'!$B34, 'PPRs inner'!$A$2:$A$108, 0), MATCH('השוואת פקטורים'!S$6, טבלה2[[#Headers],[SPPR_1986]:[SPPR_symbolic_full_import_as_DC]], 0)) / INDEX(טבלה2[[SPPR_1986]:[SPPR_symbolic_full_import_as_DC]], MATCH('השוואת פקטורים'!$B34, 'PPRs inner'!$A$2:$A$108, 0), MATCH('השוואת פקטורים'!R$6, טבלה2[[#Headers],[SPPR_1986]:[SPPR_symbolic_full_import_as_DC]], 0))
)</f>
        <v>1</v>
      </c>
      <c r="T34" s="9">
        <f>IF($B$4="סהכ",
INDEX(טבלה1[[SPPR_1986]:[SPPR_symbolic_full_import_as_DC]], MATCH('השוואת פקטורים'!$B34, 'PPRs all'!$A$2:$A$108, 0), MATCH('השוואת פקטורים'!T$6, טבלה1[[#Headers],[SPPR_1986]:[SPPR_symbolic_full_import_as_DC]], 0)) / INDEX(טבלה1[[SPPR_1986]:[SPPR_symbolic_full_import_as_DC]], MATCH('השוואת פקטורים'!$B34, 'PPRs all'!$A$2:$A$108, 0), MATCH('השוואת פקטורים'!S$6, טבלה1[[#Headers],[SPPR_1986]:[SPPR_symbolic_full_import_as_DC]], 0)),
INDEX(טבלה2[[SPPR_1986]:[SPPR_symbolic_full_import_as_DC]], MATCH('השוואת פקטורים'!$B34, 'PPRs inner'!$A$2:$A$108, 0), MATCH('השוואת פקטורים'!T$6, טבלה2[[#Headers],[SPPR_1986]:[SPPR_symbolic_full_import_as_DC]], 0)) / INDEX(טבלה2[[SPPR_1986]:[SPPR_symbolic_full_import_as_DC]], MATCH('השוואת פקטורים'!$B34, 'PPRs inner'!$A$2:$A$108, 0), MATCH('השוואת פקטורים'!S$6, טבלה2[[#Headers],[SPPR_1986]:[SPPR_symbolic_full_import_as_DC]], 0))
)</f>
        <v>1</v>
      </c>
      <c r="U34" s="9">
        <f>IF($B$4="סהכ",
INDEX(טבלה1[[SPPR_1986]:[SPPR_symbolic_full_import_as_DC]], MATCH('השוואת פקטורים'!$B34, 'PPRs all'!$A$2:$A$108, 0), MATCH('השוואת פקטורים'!U$6, טבלה1[[#Headers],[SPPR_1986]:[SPPR_symbolic_full_import_as_DC]], 0)) / INDEX(טבלה1[[SPPR_1986]:[SPPR_symbolic_full_import_as_DC]], MATCH('השוואת פקטורים'!$B34, 'PPRs all'!$A$2:$A$108, 0), MATCH('השוואת פקטורים'!T$6, טבלה1[[#Headers],[SPPR_1986]:[SPPR_symbolic_full_import_as_DC]], 0)),
INDEX(טבלה2[[SPPR_1986]:[SPPR_symbolic_full_import_as_DC]], MATCH('השוואת פקטורים'!$B34, 'PPRs inner'!$A$2:$A$108, 0), MATCH('השוואת פקטורים'!U$6, טבלה2[[#Headers],[SPPR_1986]:[SPPR_symbolic_full_import_as_DC]], 0)) / INDEX(טבלה2[[SPPR_1986]:[SPPR_symbolic_full_import_as_DC]], MATCH('השוואת פקטורים'!$B34, 'PPRs inner'!$A$2:$A$108, 0), MATCH('השוואת פקטורים'!T$6, טבלה2[[#Headers],[SPPR_1986]:[SPPR_symbolic_full_import_as_DC]], 0))
)</f>
        <v>0.99999999999999956</v>
      </c>
      <c r="V34" s="9"/>
      <c r="W34" s="9"/>
      <c r="X34" s="14"/>
      <c r="Y34" s="14"/>
      <c r="Z34" s="15">
        <f t="shared" si="2"/>
        <v>1.2083787643629924</v>
      </c>
    </row>
    <row r="35" spans="2:26" x14ac:dyDescent="0.3">
      <c r="B35" s="6" t="s">
        <v>49</v>
      </c>
      <c r="C35" s="12" t="b">
        <v>1</v>
      </c>
      <c r="D35" s="12" t="b">
        <v>1</v>
      </c>
      <c r="E35" s="12" t="b">
        <v>1</v>
      </c>
      <c r="F35" s="12" t="b">
        <f t="shared" si="1"/>
        <v>1</v>
      </c>
      <c r="G35" s="7" t="b">
        <f>ABS(INDEX(טבלה5[[SPPR_1986]:[SPPR_symbolic_full_import_as_DC]],MATCH('השוואת פקטורים'!$B35,טבלה5[עמודה1],0),MATCH($C$4,טבלה5[[#Headers],[SPPR_1986]:[SPPR_symbolic_full_import_as_DC]],0))) &lt; 5</f>
        <v>1</v>
      </c>
      <c r="H35" s="7" t="b">
        <f>INDEX(טבלה3[[SPPR_1986]:[SPPR_symbolic_full_import_as_DC]],MATCH('השוואת פקטורים'!$B35,טבלה3[עמודה1],0),MATCH($C$4,טבלה3[[#Headers],[SPPR_1986]:[SPPR_symbolic_full_import_as_DC]],0))</f>
        <v>1</v>
      </c>
      <c r="I35" s="7" t="b">
        <f t="shared" si="0"/>
        <v>1</v>
      </c>
      <c r="J35" s="13"/>
      <c r="K35" s="9">
        <f>IF($B$4="סהכ",
INDEX(טבלה1[[SPPR_1986]:[SPPR_symbolic_full_import_as_DC]], MATCH('השוואת פקטורים'!$B35, 'PPRs all'!$A$2:$A$108, 0), MATCH('השוואת פקטורים'!K$6, טבלה1[[#Headers],[SPPR_1986]:[SPPR_symbolic_full_import_as_DC]], 0)) / INDEX(טבלה1[[SPPR_1986]:[SPPR_symbolic_full_import_as_DC]], MATCH('השוואת פקטורים'!$B35, 'PPRs all'!$A$2:$A$108, 0), MATCH('השוואת פקטורים'!J$6, טבלה1[[#Headers],[SPPR_1986]:[SPPR_symbolic_full_import_as_DC]], 0)),
INDEX(טבלה2[[SPPR_1986]:[SPPR_symbolic_full_import_as_DC]], MATCH('השוואת פקטורים'!$B35, 'PPRs inner'!$A$2:$A$108, 0), MATCH('השוואת פקטורים'!K$6, טבלה2[[#Headers],[SPPR_1986]:[SPPR_symbolic_full_import_as_DC]], 0)) / INDEX(טבלה2[[SPPR_1986]:[SPPR_symbolic_full_import_as_DC]], MATCH('השוואת פקטורים'!$B35, 'PPRs inner'!$A$2:$A$108, 0), MATCH('השוואת פקטורים'!J$6, טבלה2[[#Headers],[SPPR_1986]:[SPPR_symbolic_full_import_as_DC]], 0))
)</f>
        <v>1.7037176695738505</v>
      </c>
      <c r="L35" s="9">
        <f>IF($B$4="סהכ",
INDEX(טבלה1[[SPPR_1986]:[SPPR_symbolic_full_import_as_DC]], MATCH('השוואת פקטורים'!$B35, 'PPRs all'!$A$2:$A$108, 0), MATCH('השוואת פקטורים'!L$6, טבלה1[[#Headers],[SPPR_1986]:[SPPR_symbolic_full_import_as_DC]], 0)) / INDEX(טבלה1[[SPPR_1986]:[SPPR_symbolic_full_import_as_DC]], MATCH('השוואת פקטורים'!$B35, 'PPRs all'!$A$2:$A$108, 0), MATCH('השוואת פקטורים'!K$6, טבלה1[[#Headers],[SPPR_1986]:[SPPR_symbolic_full_import_as_DC]], 0)),
INDEX(טבלה2[[SPPR_1986]:[SPPR_symbolic_full_import_as_DC]], MATCH('השוואת פקטורים'!$B35, 'PPRs inner'!$A$2:$A$108, 0), MATCH('השוואת פקטורים'!L$6, טבלה2[[#Headers],[SPPR_1986]:[SPPR_symbolic_full_import_as_DC]], 0)) / INDEX(טבלה2[[SPPR_1986]:[SPPR_symbolic_full_import_as_DC]], MATCH('השוואת פקטורים'!$B35, 'PPRs inner'!$A$2:$A$108, 0), MATCH('השוואת פקטורים'!K$6, טבלה2[[#Headers],[SPPR_1986]:[SPPR_symbolic_full_import_as_DC]], 0))
)</f>
        <v>6.0737534874833479</v>
      </c>
      <c r="M35" s="9">
        <f>IF($B$4="סהכ",
INDEX(טבלה1[[SPPR_1986]:[SPPR_symbolic_full_import_as_DC]], MATCH('השוואת פקטורים'!$B35, 'PPRs all'!$A$2:$A$108, 0), MATCH('השוואת פקטורים'!M$6, טבלה1[[#Headers],[SPPR_1986]:[SPPR_symbolic_full_import_as_DC]], 0)) / INDEX(טבלה1[[SPPR_1986]:[SPPR_symbolic_full_import_as_DC]], MATCH('השוואת פקטורים'!$B35, 'PPRs all'!$A$2:$A$108, 0), MATCH('השוואת פקטורים'!L$6, טבלה1[[#Headers],[SPPR_1986]:[SPPR_symbolic_full_import_as_DC]], 0)),
INDEX(טבלה2[[SPPR_1986]:[SPPR_symbolic_full_import_as_DC]], MATCH('השוואת פקטורים'!$B35, 'PPRs inner'!$A$2:$A$108, 0), MATCH('השוואת פקטורים'!M$6, טבלה2[[#Headers],[SPPR_1986]:[SPPR_symbolic_full_import_as_DC]], 0)) / INDEX(טבלה2[[SPPR_1986]:[SPPR_symbolic_full_import_as_DC]], MATCH('השוואת פקטורים'!$B35, 'PPRs inner'!$A$2:$A$108, 0), MATCH('השוואת פקטורים'!L$6, טבלה2[[#Headers],[SPPR_1986]:[SPPR_symbolic_full_import_as_DC]], 0))
)</f>
        <v>0.53535090793457685</v>
      </c>
      <c r="N35" s="9">
        <f>IF($B$4="סהכ",
INDEX(טבלה1[[SPPR_1986]:[SPPR_symbolic_full_import_as_DC]], MATCH('השוואת פקטורים'!$B35, 'PPRs all'!$A$2:$A$108, 0), MATCH('השוואת פקטורים'!N$6, טבלה1[[#Headers],[SPPR_1986]:[SPPR_symbolic_full_import_as_DC]], 0)) / INDEX(טבלה1[[SPPR_1986]:[SPPR_symbolic_full_import_as_DC]], MATCH('השוואת פקטורים'!$B35, 'PPRs all'!$A$2:$A$108, 0), MATCH('השוואת פקטורים'!M$6, טבלה1[[#Headers],[SPPR_1986]:[SPPR_symbolic_full_import_as_DC]], 0)),
INDEX(טבלה2[[SPPR_1986]:[SPPR_symbolic_full_import_as_DC]], MATCH('השוואת פקטורים'!$B35, 'PPRs inner'!$A$2:$A$108, 0), MATCH('השוואת פקטורים'!N$6, טבלה2[[#Headers],[SPPR_1986]:[SPPR_symbolic_full_import_as_DC]], 0)) / INDEX(טבלה2[[SPPR_1986]:[SPPR_symbolic_full_import_as_DC]], MATCH('השוואת פקטורים'!$B35, 'PPRs inner'!$A$2:$A$108, 0), MATCH('השוואת פקטורים'!M$6, טבלה2[[#Headers],[SPPR_1986]:[SPPR_symbolic_full_import_as_DC]], 0))
)</f>
        <v>1.7438061044675892</v>
      </c>
      <c r="O35" s="9">
        <f>IF($B$4="סהכ",
INDEX(טבלה1[[SPPR_1986]:[SPPR_symbolic_full_import_as_DC]], MATCH('השוואת פקטורים'!$B35, 'PPRs all'!$A$2:$A$108, 0), MATCH('השוואת פקטורים'!O$6, טבלה1[[#Headers],[SPPR_1986]:[SPPR_symbolic_full_import_as_DC]], 0)) / INDEX(טבלה1[[SPPR_1986]:[SPPR_symbolic_full_import_as_DC]], MATCH('השוואת פקטורים'!$B35, 'PPRs all'!$A$2:$A$108, 0), MATCH('השוואת פקטורים'!N$6, טבלה1[[#Headers],[SPPR_1986]:[SPPR_symbolic_full_import_as_DC]], 0)),
INDEX(טבלה2[[SPPR_1986]:[SPPR_symbolic_full_import_as_DC]], MATCH('השוואת פקטורים'!$B35, 'PPRs inner'!$A$2:$A$108, 0), MATCH('השוואת פקטורים'!O$6, טבלה2[[#Headers],[SPPR_1986]:[SPPR_symbolic_full_import_as_DC]], 0)) / INDEX(טבלה2[[SPPR_1986]:[SPPR_symbolic_full_import_as_DC]], MATCH('השוואת פקטורים'!$B35, 'PPRs inner'!$A$2:$A$108, 0), MATCH('השוואת פקטורים'!N$6, טבלה2[[#Headers],[SPPR_1986]:[SPPR_symbolic_full_import_as_DC]], 0))
)</f>
        <v>0.99999999999999822</v>
      </c>
      <c r="P35" s="9">
        <f>IF($B$4="סהכ",
INDEX(טבלה1[[SPPR_1986]:[SPPR_symbolic_full_import_as_DC]], MATCH('השוואת פקטורים'!$B35, 'PPRs all'!$A$2:$A$108, 0), MATCH('השוואת פקטורים'!P$6, טבלה1[[#Headers],[SPPR_1986]:[SPPR_symbolic_full_import_as_DC]], 0)) / INDEX(טבלה1[[SPPR_1986]:[SPPR_symbolic_full_import_as_DC]], MATCH('השוואת פקטורים'!$B35, 'PPRs all'!$A$2:$A$108, 0), MATCH('השוואת פקטורים'!O$6, טבלה1[[#Headers],[SPPR_1986]:[SPPR_symbolic_full_import_as_DC]], 0)),
INDEX(טבלה2[[SPPR_1986]:[SPPR_symbolic_full_import_as_DC]], MATCH('השוואת פקטורים'!$B35, 'PPRs inner'!$A$2:$A$108, 0), MATCH('השוואת פקטורים'!P$6, טבלה2[[#Headers],[SPPR_1986]:[SPPR_symbolic_full_import_as_DC]], 0)) / INDEX(טבלה2[[SPPR_1986]:[SPPR_symbolic_full_import_as_DC]], MATCH('השוואת פקטורים'!$B35, 'PPRs inner'!$A$2:$A$108, 0), MATCH('השוואת פקטורים'!O$6, טבלה2[[#Headers],[SPPR_1986]:[SPPR_symbolic_full_import_as_DC]], 0))
)</f>
        <v>0.30032140237549698</v>
      </c>
      <c r="Q35" s="9">
        <f>IF($B$4="סהכ",
INDEX(טבלה1[[SPPR_1986]:[SPPR_symbolic_full_import_as_DC]], MATCH('השוואת פקטורים'!$B35, 'PPRs all'!$A$2:$A$108, 0), MATCH('השוואת פקטורים'!Q$6, טבלה1[[#Headers],[SPPR_1986]:[SPPR_symbolic_full_import_as_DC]], 0)) / INDEX(טבלה1[[SPPR_1986]:[SPPR_symbolic_full_import_as_DC]], MATCH('השוואת פקטורים'!$B35, 'PPRs all'!$A$2:$A$108, 0), MATCH('השוואת פקטורים'!P$6, טבלה1[[#Headers],[SPPR_1986]:[SPPR_symbolic_full_import_as_DC]], 0)),
INDEX(טבלה2[[SPPR_1986]:[SPPR_symbolic_full_import_as_DC]], MATCH('השוואת פקטורים'!$B35, 'PPRs inner'!$A$2:$A$108, 0), MATCH('השוואת פקטורים'!Q$6, טבלה2[[#Headers],[SPPR_1986]:[SPPR_symbolic_full_import_as_DC]], 0)) / INDEX(טבלה2[[SPPR_1986]:[SPPR_symbolic_full_import_as_DC]], MATCH('השוואת פקטורים'!$B35, 'PPRs inner'!$A$2:$A$108, 0), MATCH('השוואת פקטורים'!P$6, טבלה2[[#Headers],[SPPR_1986]:[SPPR_symbolic_full_import_as_DC]], 0))
)</f>
        <v>0.99999999999999933</v>
      </c>
      <c r="R35" s="9">
        <f>IF($B$4="סהכ",
INDEX(טבלה1[[SPPR_1986]:[SPPR_symbolic_full_import_as_DC]], MATCH('השוואת פקטורים'!$B35, 'PPRs all'!$A$2:$A$108, 0), MATCH('השוואת פקטורים'!R$6, טבלה1[[#Headers],[SPPR_1986]:[SPPR_symbolic_full_import_as_DC]], 0)) / INDEX(טבלה1[[SPPR_1986]:[SPPR_symbolic_full_import_as_DC]], MATCH('השוואת פקטורים'!$B35, 'PPRs all'!$A$2:$A$108, 0), MATCH('השוואת פקטורים'!Q$6, טבלה1[[#Headers],[SPPR_1986]:[SPPR_symbolic_full_import_as_DC]], 0)),
INDEX(טבלה2[[SPPR_1986]:[SPPR_symbolic_full_import_as_DC]], MATCH('השוואת פקטורים'!$B35, 'PPRs inner'!$A$2:$A$108, 0), MATCH('השוואת פקטורים'!R$6, טבלה2[[#Headers],[SPPR_1986]:[SPPR_symbolic_full_import_as_DC]], 0)) / INDEX(טבלה2[[SPPR_1986]:[SPPR_symbolic_full_import_as_DC]], MATCH('השוואת פקטורים'!$B35, 'PPRs inner'!$A$2:$A$108, 0), MATCH('השוואת פקטורים'!Q$6, טבלה2[[#Headers],[SPPR_1986]:[SPPR_symbolic_full_import_as_DC]], 0))
)</f>
        <v>1</v>
      </c>
      <c r="S35" s="9">
        <f>IF($B$4="סהכ",
INDEX(טבלה1[[SPPR_1986]:[SPPR_symbolic_full_import_as_DC]], MATCH('השוואת פקטורים'!$B35, 'PPRs all'!$A$2:$A$108, 0), MATCH('השוואת פקטורים'!S$6, טבלה1[[#Headers],[SPPR_1986]:[SPPR_symbolic_full_import_as_DC]], 0)) / INDEX(טבלה1[[SPPR_1986]:[SPPR_symbolic_full_import_as_DC]], MATCH('השוואת פקטורים'!$B35, 'PPRs all'!$A$2:$A$108, 0), MATCH('השוואת פקטורים'!R$6, טבלה1[[#Headers],[SPPR_1986]:[SPPR_symbolic_full_import_as_DC]], 0)),
INDEX(טבלה2[[SPPR_1986]:[SPPR_symbolic_full_import_as_DC]], MATCH('השוואת פקטורים'!$B35, 'PPRs inner'!$A$2:$A$108, 0), MATCH('השוואת פקטורים'!S$6, טבלה2[[#Headers],[SPPR_1986]:[SPPR_symbolic_full_import_as_DC]], 0)) / INDEX(טבלה2[[SPPR_1986]:[SPPR_symbolic_full_import_as_DC]], MATCH('השוואת פקטורים'!$B35, 'PPRs inner'!$A$2:$A$108, 0), MATCH('השוואת פקטורים'!R$6, טבלה2[[#Headers],[SPPR_1986]:[SPPR_symbolic_full_import_as_DC]], 0))
)</f>
        <v>1</v>
      </c>
      <c r="T35" s="9">
        <f>IF($B$4="סהכ",
INDEX(טבלה1[[SPPR_1986]:[SPPR_symbolic_full_import_as_DC]], MATCH('השוואת פקטורים'!$B35, 'PPRs all'!$A$2:$A$108, 0), MATCH('השוואת פקטורים'!T$6, טבלה1[[#Headers],[SPPR_1986]:[SPPR_symbolic_full_import_as_DC]], 0)) / INDEX(טבלה1[[SPPR_1986]:[SPPR_symbolic_full_import_as_DC]], MATCH('השוואת פקטורים'!$B35, 'PPRs all'!$A$2:$A$108, 0), MATCH('השוואת פקטורים'!S$6, טבלה1[[#Headers],[SPPR_1986]:[SPPR_symbolic_full_import_as_DC]], 0)),
INDEX(טבלה2[[SPPR_1986]:[SPPR_symbolic_full_import_as_DC]], MATCH('השוואת פקטורים'!$B35, 'PPRs inner'!$A$2:$A$108, 0), MATCH('השוואת פקטורים'!T$6, טבלה2[[#Headers],[SPPR_1986]:[SPPR_symbolic_full_import_as_DC]], 0)) / INDEX(טבלה2[[SPPR_1986]:[SPPR_symbolic_full_import_as_DC]], MATCH('השוואת פקטורים'!$B35, 'PPRs inner'!$A$2:$A$108, 0), MATCH('השוואת פקטורים'!S$6, טבלה2[[#Headers],[SPPR_1986]:[SPPR_symbolic_full_import_as_DC]], 0))
)</f>
        <v>1</v>
      </c>
      <c r="U35" s="9">
        <f>IF($B$4="סהכ",
INDEX(טבלה1[[SPPR_1986]:[SPPR_symbolic_full_import_as_DC]], MATCH('השוואת פקטורים'!$B35, 'PPRs all'!$A$2:$A$108, 0), MATCH('השוואת פקטורים'!U$6, טבלה1[[#Headers],[SPPR_1986]:[SPPR_symbolic_full_import_as_DC]], 0)) / INDEX(טבלה1[[SPPR_1986]:[SPPR_symbolic_full_import_as_DC]], MATCH('השוואת פקטורים'!$B35, 'PPRs all'!$A$2:$A$108, 0), MATCH('השוואת פקטורים'!T$6, טבלה1[[#Headers],[SPPR_1986]:[SPPR_symbolic_full_import_as_DC]], 0)),
INDEX(טבלה2[[SPPR_1986]:[SPPR_symbolic_full_import_as_DC]], MATCH('השוואת פקטורים'!$B35, 'PPRs inner'!$A$2:$A$108, 0), MATCH('השוואת פקטורים'!U$6, טבלה2[[#Headers],[SPPR_1986]:[SPPR_symbolic_full_import_as_DC]], 0)) / INDEX(טבלה2[[SPPR_1986]:[SPPR_symbolic_full_import_as_DC]], MATCH('השוואת פקטורים'!$B35, 'PPRs inner'!$A$2:$A$108, 0), MATCH('השוואת פקטורים'!T$6, טבלה2[[#Headers],[SPPR_1986]:[SPPR_symbolic_full_import_as_DC]], 0))
)</f>
        <v>1.0000000000000007</v>
      </c>
      <c r="V35" s="9"/>
      <c r="W35" s="9"/>
      <c r="X35" s="14"/>
      <c r="Y35" s="14"/>
      <c r="Z35" s="15">
        <f t="shared" si="2"/>
        <v>2.9012009398129188</v>
      </c>
    </row>
    <row r="36" spans="2:26" x14ac:dyDescent="0.3">
      <c r="B36" s="6" t="s">
        <v>50</v>
      </c>
      <c r="C36" s="12" t="b">
        <v>1</v>
      </c>
      <c r="D36" s="12" t="b">
        <v>1</v>
      </c>
      <c r="E36" s="12" t="b">
        <v>1</v>
      </c>
      <c r="F36" s="12" t="b">
        <f t="shared" si="1"/>
        <v>1</v>
      </c>
      <c r="G36" s="7" t="b">
        <f>ABS(INDEX(טבלה5[[SPPR_1986]:[SPPR_symbolic_full_import_as_DC]],MATCH('השוואת פקטורים'!$B36,טבלה5[עמודה1],0),MATCH($C$4,טבלה5[[#Headers],[SPPR_1986]:[SPPR_symbolic_full_import_as_DC]],0))) &lt; 5</f>
        <v>1</v>
      </c>
      <c r="H36" s="7" t="b">
        <f>INDEX(טבלה3[[SPPR_1986]:[SPPR_symbolic_full_import_as_DC]],MATCH('השוואת פקטורים'!$B36,טבלה3[עמודה1],0),MATCH($C$4,טבלה3[[#Headers],[SPPR_1986]:[SPPR_symbolic_full_import_as_DC]],0))</f>
        <v>1</v>
      </c>
      <c r="I36" s="7" t="b">
        <f t="shared" si="0"/>
        <v>1</v>
      </c>
      <c r="J36" s="13"/>
      <c r="K36" s="9">
        <f>IF($B$4="סהכ",
INDEX(טבלה1[[SPPR_1986]:[SPPR_symbolic_full_import_as_DC]], MATCH('השוואת פקטורים'!$B36, 'PPRs all'!$A$2:$A$108, 0), MATCH('השוואת פקטורים'!K$6, טבלה1[[#Headers],[SPPR_1986]:[SPPR_symbolic_full_import_as_DC]], 0)) / INDEX(טבלה1[[SPPR_1986]:[SPPR_symbolic_full_import_as_DC]], MATCH('השוואת פקטורים'!$B36, 'PPRs all'!$A$2:$A$108, 0), MATCH('השוואת פקטורים'!J$6, טבלה1[[#Headers],[SPPR_1986]:[SPPR_symbolic_full_import_as_DC]], 0)),
INDEX(טבלה2[[SPPR_1986]:[SPPR_symbolic_full_import_as_DC]], MATCH('השוואת פקטורים'!$B36, 'PPRs inner'!$A$2:$A$108, 0), MATCH('השוואת פקטורים'!K$6, טבלה2[[#Headers],[SPPR_1986]:[SPPR_symbolic_full_import_as_DC]], 0)) / INDEX(טבלה2[[SPPR_1986]:[SPPR_symbolic_full_import_as_DC]], MATCH('השוואת פקטורים'!$B36, 'PPRs inner'!$A$2:$A$108, 0), MATCH('השוואת פקטורים'!J$6, טבלה2[[#Headers],[SPPR_1986]:[SPPR_symbolic_full_import_as_DC]], 0))
)</f>
        <v>0.2796421124136812</v>
      </c>
      <c r="L36" s="9">
        <f>IF($B$4="סהכ",
INDEX(טבלה1[[SPPR_1986]:[SPPR_symbolic_full_import_as_DC]], MATCH('השוואת פקטורים'!$B36, 'PPRs all'!$A$2:$A$108, 0), MATCH('השוואת פקטורים'!L$6, טבלה1[[#Headers],[SPPR_1986]:[SPPR_symbolic_full_import_as_DC]], 0)) / INDEX(טבלה1[[SPPR_1986]:[SPPR_symbolic_full_import_as_DC]], MATCH('השוואת פקטורים'!$B36, 'PPRs all'!$A$2:$A$108, 0), MATCH('השוואת פקטורים'!K$6, טבלה1[[#Headers],[SPPR_1986]:[SPPR_symbolic_full_import_as_DC]], 0)),
INDEX(טבלה2[[SPPR_1986]:[SPPR_symbolic_full_import_as_DC]], MATCH('השוואת פקטורים'!$B36, 'PPRs inner'!$A$2:$A$108, 0), MATCH('השוואת פקטורים'!L$6, טבלה2[[#Headers],[SPPR_1986]:[SPPR_symbolic_full_import_as_DC]], 0)) / INDEX(טבלה2[[SPPR_1986]:[SPPR_symbolic_full_import_as_DC]], MATCH('השוואת פקטורים'!$B36, 'PPRs inner'!$A$2:$A$108, 0), MATCH('השוואת פקטורים'!K$6, טבלה2[[#Headers],[SPPR_1986]:[SPPR_symbolic_full_import_as_DC]], 0))
)</f>
        <v>1.4845204514504833</v>
      </c>
      <c r="M36" s="9">
        <f>IF($B$4="סהכ",
INDEX(טבלה1[[SPPR_1986]:[SPPR_symbolic_full_import_as_DC]], MATCH('השוואת פקטורים'!$B36, 'PPRs all'!$A$2:$A$108, 0), MATCH('השוואת פקטורים'!M$6, טבלה1[[#Headers],[SPPR_1986]:[SPPR_symbolic_full_import_as_DC]], 0)) / INDEX(טבלה1[[SPPR_1986]:[SPPR_symbolic_full_import_as_DC]], MATCH('השוואת פקטורים'!$B36, 'PPRs all'!$A$2:$A$108, 0), MATCH('השוואת פקטורים'!L$6, טבלה1[[#Headers],[SPPR_1986]:[SPPR_symbolic_full_import_as_DC]], 0)),
INDEX(טבלה2[[SPPR_1986]:[SPPR_symbolic_full_import_as_DC]], MATCH('השוואת פקטורים'!$B36, 'PPRs inner'!$A$2:$A$108, 0), MATCH('השוואת פקטורים'!M$6, טבלה2[[#Headers],[SPPR_1986]:[SPPR_symbolic_full_import_as_DC]], 0)) / INDEX(טבלה2[[SPPR_1986]:[SPPR_symbolic_full_import_as_DC]], MATCH('השוואת פקטורים'!$B36, 'PPRs inner'!$A$2:$A$108, 0), MATCH('השוואת פקטורים'!L$6, טבלה2[[#Headers],[SPPR_1986]:[SPPR_symbolic_full_import_as_DC]], 0))
)</f>
        <v>1.7971288518717494</v>
      </c>
      <c r="N36" s="9">
        <f>IF($B$4="סהכ",
INDEX(טבלה1[[SPPR_1986]:[SPPR_symbolic_full_import_as_DC]], MATCH('השוואת פקטורים'!$B36, 'PPRs all'!$A$2:$A$108, 0), MATCH('השוואת פקטורים'!N$6, טבלה1[[#Headers],[SPPR_1986]:[SPPR_symbolic_full_import_as_DC]], 0)) / INDEX(טבלה1[[SPPR_1986]:[SPPR_symbolic_full_import_as_DC]], MATCH('השוואת פקטורים'!$B36, 'PPRs all'!$A$2:$A$108, 0), MATCH('השוואת פקטורים'!M$6, טבלה1[[#Headers],[SPPR_1986]:[SPPR_symbolic_full_import_as_DC]], 0)),
INDEX(טבלה2[[SPPR_1986]:[SPPR_symbolic_full_import_as_DC]], MATCH('השוואת פקטורים'!$B36, 'PPRs inner'!$A$2:$A$108, 0), MATCH('השוואת פקטורים'!N$6, טבלה2[[#Headers],[SPPR_1986]:[SPPR_symbolic_full_import_as_DC]], 0)) / INDEX(טבלה2[[SPPR_1986]:[SPPR_symbolic_full_import_as_DC]], MATCH('השוואת פקטורים'!$B36, 'PPRs inner'!$A$2:$A$108, 0), MATCH('השוואת פקטורים'!M$6, טבלה2[[#Headers],[SPPR_1986]:[SPPR_symbolic_full_import_as_DC]], 0))
)</f>
        <v>8.0099288642842179</v>
      </c>
      <c r="O36" s="9">
        <f>IF($B$4="סהכ",
INDEX(טבלה1[[SPPR_1986]:[SPPR_symbolic_full_import_as_DC]], MATCH('השוואת פקטורים'!$B36, 'PPRs all'!$A$2:$A$108, 0), MATCH('השוואת פקטורים'!O$6, טבלה1[[#Headers],[SPPR_1986]:[SPPR_symbolic_full_import_as_DC]], 0)) / INDEX(טבלה1[[SPPR_1986]:[SPPR_symbolic_full_import_as_DC]], MATCH('השוואת פקטורים'!$B36, 'PPRs all'!$A$2:$A$108, 0), MATCH('השוואת פקטורים'!N$6, טבלה1[[#Headers],[SPPR_1986]:[SPPR_symbolic_full_import_as_DC]], 0)),
INDEX(טבלה2[[SPPR_1986]:[SPPR_symbolic_full_import_as_DC]], MATCH('השוואת פקטורים'!$B36, 'PPRs inner'!$A$2:$A$108, 0), MATCH('השוואת פקטורים'!O$6, טבלה2[[#Headers],[SPPR_1986]:[SPPR_symbolic_full_import_as_DC]], 0)) / INDEX(טבלה2[[SPPR_1986]:[SPPR_symbolic_full_import_as_DC]], MATCH('השוואת פקטורים'!$B36, 'PPRs inner'!$A$2:$A$108, 0), MATCH('השוואת פקטורים'!N$6, טבלה2[[#Headers],[SPPR_1986]:[SPPR_symbolic_full_import_as_DC]], 0))
)</f>
        <v>1.000000000000002</v>
      </c>
      <c r="P36" s="9">
        <f>IF($B$4="סהכ",
INDEX(טבלה1[[SPPR_1986]:[SPPR_symbolic_full_import_as_DC]], MATCH('השוואת פקטורים'!$B36, 'PPRs all'!$A$2:$A$108, 0), MATCH('השוואת פקטורים'!P$6, טבלה1[[#Headers],[SPPR_1986]:[SPPR_symbolic_full_import_as_DC]], 0)) / INDEX(טבלה1[[SPPR_1986]:[SPPR_symbolic_full_import_as_DC]], MATCH('השוואת פקטורים'!$B36, 'PPRs all'!$A$2:$A$108, 0), MATCH('השוואת פקטורים'!O$6, טבלה1[[#Headers],[SPPR_1986]:[SPPR_symbolic_full_import_as_DC]], 0)),
INDEX(טבלה2[[SPPR_1986]:[SPPR_symbolic_full_import_as_DC]], MATCH('השוואת פקטורים'!$B36, 'PPRs inner'!$A$2:$A$108, 0), MATCH('השוואת פקטורים'!P$6, טבלה2[[#Headers],[SPPR_1986]:[SPPR_symbolic_full_import_as_DC]], 0)) / INDEX(טבלה2[[SPPR_1986]:[SPPR_symbolic_full_import_as_DC]], MATCH('השוואת פקטורים'!$B36, 'PPRs inner'!$A$2:$A$108, 0), MATCH('השוואת פקטורים'!O$6, טבלה2[[#Headers],[SPPR_1986]:[SPPR_symbolic_full_import_as_DC]], 0))
)</f>
        <v>9.8269580954967739E-2</v>
      </c>
      <c r="Q36" s="9">
        <f>IF($B$4="סהכ",
INDEX(טבלה1[[SPPR_1986]:[SPPR_symbolic_full_import_as_DC]], MATCH('השוואת פקטורים'!$B36, 'PPRs all'!$A$2:$A$108, 0), MATCH('השוואת פקטורים'!Q$6, טבלה1[[#Headers],[SPPR_1986]:[SPPR_symbolic_full_import_as_DC]], 0)) / INDEX(טבלה1[[SPPR_1986]:[SPPR_symbolic_full_import_as_DC]], MATCH('השוואת פקטורים'!$B36, 'PPRs all'!$A$2:$A$108, 0), MATCH('השוואת פקטורים'!P$6, טבלה1[[#Headers],[SPPR_1986]:[SPPR_symbolic_full_import_as_DC]], 0)),
INDEX(טבלה2[[SPPR_1986]:[SPPR_symbolic_full_import_as_DC]], MATCH('השוואת פקטורים'!$B36, 'PPRs inner'!$A$2:$A$108, 0), MATCH('השוואת פקטורים'!Q$6, טבלה2[[#Headers],[SPPR_1986]:[SPPR_symbolic_full_import_as_DC]], 0)) / INDEX(טבלה2[[SPPR_1986]:[SPPR_symbolic_full_import_as_DC]], MATCH('השוואת פקטורים'!$B36, 'PPRs inner'!$A$2:$A$108, 0), MATCH('השוואת פקטורים'!P$6, טבלה2[[#Headers],[SPPR_1986]:[SPPR_symbolic_full_import_as_DC]], 0))
)</f>
        <v>1.0000000000000013</v>
      </c>
      <c r="R36" s="9">
        <f>IF($B$4="סהכ",
INDEX(טבלה1[[SPPR_1986]:[SPPR_symbolic_full_import_as_DC]], MATCH('השוואת פקטורים'!$B36, 'PPRs all'!$A$2:$A$108, 0), MATCH('השוואת פקטורים'!R$6, טבלה1[[#Headers],[SPPR_1986]:[SPPR_symbolic_full_import_as_DC]], 0)) / INDEX(טבלה1[[SPPR_1986]:[SPPR_symbolic_full_import_as_DC]], MATCH('השוואת פקטורים'!$B36, 'PPRs all'!$A$2:$A$108, 0), MATCH('השוואת פקטורים'!Q$6, טבלה1[[#Headers],[SPPR_1986]:[SPPR_symbolic_full_import_as_DC]], 0)),
INDEX(טבלה2[[SPPR_1986]:[SPPR_symbolic_full_import_as_DC]], MATCH('השוואת פקטורים'!$B36, 'PPRs inner'!$A$2:$A$108, 0), MATCH('השוואת פקטורים'!R$6, טבלה2[[#Headers],[SPPR_1986]:[SPPR_symbolic_full_import_as_DC]], 0)) / INDEX(טבלה2[[SPPR_1986]:[SPPR_symbolic_full_import_as_DC]], MATCH('השוואת פקטורים'!$B36, 'PPRs inner'!$A$2:$A$108, 0), MATCH('השוואת פקטורים'!Q$6, טבלה2[[#Headers],[SPPR_1986]:[SPPR_symbolic_full_import_as_DC]], 0))
)</f>
        <v>1</v>
      </c>
      <c r="S36" s="9">
        <f>IF($B$4="סהכ",
INDEX(טבלה1[[SPPR_1986]:[SPPR_symbolic_full_import_as_DC]], MATCH('השוואת פקטורים'!$B36, 'PPRs all'!$A$2:$A$108, 0), MATCH('השוואת פקטורים'!S$6, טבלה1[[#Headers],[SPPR_1986]:[SPPR_symbolic_full_import_as_DC]], 0)) / INDEX(טבלה1[[SPPR_1986]:[SPPR_symbolic_full_import_as_DC]], MATCH('השוואת פקטורים'!$B36, 'PPRs all'!$A$2:$A$108, 0), MATCH('השוואת פקטורים'!R$6, טבלה1[[#Headers],[SPPR_1986]:[SPPR_symbolic_full_import_as_DC]], 0)),
INDEX(טבלה2[[SPPR_1986]:[SPPR_symbolic_full_import_as_DC]], MATCH('השוואת פקטורים'!$B36, 'PPRs inner'!$A$2:$A$108, 0), MATCH('השוואת פקטורים'!S$6, טבלה2[[#Headers],[SPPR_1986]:[SPPR_symbolic_full_import_as_DC]], 0)) / INDEX(טבלה2[[SPPR_1986]:[SPPR_symbolic_full_import_as_DC]], MATCH('השוואת פקטורים'!$B36, 'PPRs inner'!$A$2:$A$108, 0), MATCH('השוואת פקטורים'!R$6, טבלה2[[#Headers],[SPPR_1986]:[SPPR_symbolic_full_import_as_DC]], 0))
)</f>
        <v>1</v>
      </c>
      <c r="T36" s="9">
        <f>IF($B$4="סהכ",
INDEX(טבלה1[[SPPR_1986]:[SPPR_symbolic_full_import_as_DC]], MATCH('השוואת פקטורים'!$B36, 'PPRs all'!$A$2:$A$108, 0), MATCH('השוואת פקטורים'!T$6, טבלה1[[#Headers],[SPPR_1986]:[SPPR_symbolic_full_import_as_DC]], 0)) / INDEX(טבלה1[[SPPR_1986]:[SPPR_symbolic_full_import_as_DC]], MATCH('השוואת פקטורים'!$B36, 'PPRs all'!$A$2:$A$108, 0), MATCH('השוואת פקטורים'!S$6, טבלה1[[#Headers],[SPPR_1986]:[SPPR_symbolic_full_import_as_DC]], 0)),
INDEX(טבלה2[[SPPR_1986]:[SPPR_symbolic_full_import_as_DC]], MATCH('השוואת פקטורים'!$B36, 'PPRs inner'!$A$2:$A$108, 0), MATCH('השוואת פקטורים'!T$6, טבלה2[[#Headers],[SPPR_1986]:[SPPR_symbolic_full_import_as_DC]], 0)) / INDEX(טבלה2[[SPPR_1986]:[SPPR_symbolic_full_import_as_DC]], MATCH('השוואת פקטורים'!$B36, 'PPRs inner'!$A$2:$A$108, 0), MATCH('השוואת פקטורים'!S$6, טבלה2[[#Headers],[SPPR_1986]:[SPPR_symbolic_full_import_as_DC]], 0))
)</f>
        <v>1</v>
      </c>
      <c r="U36" s="9">
        <f>IF($B$4="סהכ",
INDEX(טבלה1[[SPPR_1986]:[SPPR_symbolic_full_import_as_DC]], MATCH('השוואת פקטורים'!$B36, 'PPRs all'!$A$2:$A$108, 0), MATCH('השוואת פקטורים'!U$6, טבלה1[[#Headers],[SPPR_1986]:[SPPR_symbolic_full_import_as_DC]], 0)) / INDEX(טבלה1[[SPPR_1986]:[SPPR_symbolic_full_import_as_DC]], MATCH('השוואת פקטורים'!$B36, 'PPRs all'!$A$2:$A$108, 0), MATCH('השוואת פקטורים'!T$6, טבלה1[[#Headers],[SPPR_1986]:[SPPR_symbolic_full_import_as_DC]], 0)),
INDEX(טבלה2[[SPPR_1986]:[SPPR_symbolic_full_import_as_DC]], MATCH('השוואת פקטורים'!$B36, 'PPRs inner'!$A$2:$A$108, 0), MATCH('השוואת פקטורים'!U$6, טבלה2[[#Headers],[SPPR_1986]:[SPPR_symbolic_full_import_as_DC]], 0)) / INDEX(טבלה2[[SPPR_1986]:[SPPR_symbolic_full_import_as_DC]], MATCH('השוואת פקטורים'!$B36, 'PPRs inner'!$A$2:$A$108, 0), MATCH('השוואת פקטורים'!T$6, טבלה2[[#Headers],[SPPR_1986]:[SPPR_symbolic_full_import_as_DC]], 0))
)</f>
        <v>0.99999999999999867</v>
      </c>
      <c r="V36" s="9"/>
      <c r="W36" s="9"/>
      <c r="X36" s="14"/>
      <c r="Y36" s="14"/>
      <c r="Z36" s="15">
        <f t="shared" si="2"/>
        <v>0.58724014741282382</v>
      </c>
    </row>
    <row r="37" spans="2:26" x14ac:dyDescent="0.3">
      <c r="B37" s="6" t="s">
        <v>51</v>
      </c>
      <c r="C37" s="12" t="b">
        <v>1</v>
      </c>
      <c r="D37" s="12" t="b">
        <v>1</v>
      </c>
      <c r="E37" s="12" t="b">
        <v>1</v>
      </c>
      <c r="F37" s="12" t="b">
        <f t="shared" si="1"/>
        <v>1</v>
      </c>
      <c r="G37" s="7" t="b">
        <f>ABS(INDEX(טבלה5[[SPPR_1986]:[SPPR_symbolic_full_import_as_DC]],MATCH('השוואת פקטורים'!$B37,טבלה5[עמודה1],0),MATCH($C$4,טבלה5[[#Headers],[SPPR_1986]:[SPPR_symbolic_full_import_as_DC]],0))) &lt; 5</f>
        <v>1</v>
      </c>
      <c r="H37" s="7" t="b">
        <f>INDEX(טבלה3[[SPPR_1986]:[SPPR_symbolic_full_import_as_DC]],MATCH('השוואת פקטורים'!$B37,טבלה3[עמודה1],0),MATCH($C$4,טבלה3[[#Headers],[SPPR_1986]:[SPPR_symbolic_full_import_as_DC]],0))</f>
        <v>1</v>
      </c>
      <c r="I37" s="7" t="b">
        <f t="shared" si="0"/>
        <v>1</v>
      </c>
      <c r="J37" s="13"/>
      <c r="K37" s="9">
        <f>IF($B$4="סהכ",
INDEX(טבלה1[[SPPR_1986]:[SPPR_symbolic_full_import_as_DC]], MATCH('השוואת פקטורים'!$B37, 'PPRs all'!$A$2:$A$108, 0), MATCH('השוואת פקטורים'!K$6, טבלה1[[#Headers],[SPPR_1986]:[SPPR_symbolic_full_import_as_DC]], 0)) / INDEX(טבלה1[[SPPR_1986]:[SPPR_symbolic_full_import_as_DC]], MATCH('השוואת פקטורים'!$B37, 'PPRs all'!$A$2:$A$108, 0), MATCH('השוואת פקטורים'!J$6, טבלה1[[#Headers],[SPPR_1986]:[SPPR_symbolic_full_import_as_DC]], 0)),
INDEX(טבלה2[[SPPR_1986]:[SPPR_symbolic_full_import_as_DC]], MATCH('השוואת פקטורים'!$B37, 'PPRs inner'!$A$2:$A$108, 0), MATCH('השוואת פקטורים'!K$6, טבלה2[[#Headers],[SPPR_1986]:[SPPR_symbolic_full_import_as_DC]], 0)) / INDEX(טבלה2[[SPPR_1986]:[SPPR_symbolic_full_import_as_DC]], MATCH('השוואת פקטורים'!$B37, 'PPRs inner'!$A$2:$A$108, 0), MATCH('השוואת פקטורים'!J$6, טבלה2[[#Headers],[SPPR_1986]:[SPPR_symbolic_full_import_as_DC]], 0))
)</f>
        <v>0.18068469485287345</v>
      </c>
      <c r="L37" s="9">
        <f>IF($B$4="סהכ",
INDEX(טבלה1[[SPPR_1986]:[SPPR_symbolic_full_import_as_DC]], MATCH('השוואת פקטורים'!$B37, 'PPRs all'!$A$2:$A$108, 0), MATCH('השוואת פקטורים'!L$6, טבלה1[[#Headers],[SPPR_1986]:[SPPR_symbolic_full_import_as_DC]], 0)) / INDEX(טבלה1[[SPPR_1986]:[SPPR_symbolic_full_import_as_DC]], MATCH('השוואת פקטורים'!$B37, 'PPRs all'!$A$2:$A$108, 0), MATCH('השוואת פקטורים'!K$6, טבלה1[[#Headers],[SPPR_1986]:[SPPR_symbolic_full_import_as_DC]], 0)),
INDEX(טבלה2[[SPPR_1986]:[SPPR_symbolic_full_import_as_DC]], MATCH('השוואת פקטורים'!$B37, 'PPRs inner'!$A$2:$A$108, 0), MATCH('השוואת פקטורים'!L$6, טבלה2[[#Headers],[SPPR_1986]:[SPPR_symbolic_full_import_as_DC]], 0)) / INDEX(טבלה2[[SPPR_1986]:[SPPR_symbolic_full_import_as_DC]], MATCH('השוואת פקטורים'!$B37, 'PPRs inner'!$A$2:$A$108, 0), MATCH('השוואת פקטורים'!K$6, טבלה2[[#Headers],[SPPR_1986]:[SPPR_symbolic_full_import_as_DC]], 0))
)</f>
        <v>1.8350433202080596</v>
      </c>
      <c r="M37" s="9">
        <f>IF($B$4="סהכ",
INDEX(טבלה1[[SPPR_1986]:[SPPR_symbolic_full_import_as_DC]], MATCH('השוואת פקטורים'!$B37, 'PPRs all'!$A$2:$A$108, 0), MATCH('השוואת פקטורים'!M$6, טבלה1[[#Headers],[SPPR_1986]:[SPPR_symbolic_full_import_as_DC]], 0)) / INDEX(טבלה1[[SPPR_1986]:[SPPR_symbolic_full_import_as_DC]], MATCH('השוואת פקטורים'!$B37, 'PPRs all'!$A$2:$A$108, 0), MATCH('השוואת פקטורים'!L$6, טבלה1[[#Headers],[SPPR_1986]:[SPPR_symbolic_full_import_as_DC]], 0)),
INDEX(טבלה2[[SPPR_1986]:[SPPR_symbolic_full_import_as_DC]], MATCH('השוואת פקטורים'!$B37, 'PPRs inner'!$A$2:$A$108, 0), MATCH('השוואת פקטורים'!M$6, טבלה2[[#Headers],[SPPR_1986]:[SPPR_symbolic_full_import_as_DC]], 0)) / INDEX(טבלה2[[SPPR_1986]:[SPPR_symbolic_full_import_as_DC]], MATCH('השוואת פקטורים'!$B37, 'PPRs inner'!$A$2:$A$108, 0), MATCH('השוואת פקטורים'!L$6, טבלה2[[#Headers],[SPPR_1986]:[SPPR_symbolic_full_import_as_DC]], 0))
)</f>
        <v>0.900398555408779</v>
      </c>
      <c r="N37" s="9">
        <f>IF($B$4="סהכ",
INDEX(טבלה1[[SPPR_1986]:[SPPR_symbolic_full_import_as_DC]], MATCH('השוואת פקטורים'!$B37, 'PPRs all'!$A$2:$A$108, 0), MATCH('השוואת פקטורים'!N$6, טבלה1[[#Headers],[SPPR_1986]:[SPPR_symbolic_full_import_as_DC]], 0)) / INDEX(טבלה1[[SPPR_1986]:[SPPR_symbolic_full_import_as_DC]], MATCH('השוואת פקטורים'!$B37, 'PPRs all'!$A$2:$A$108, 0), MATCH('השוואת פקטורים'!M$6, טבלה1[[#Headers],[SPPR_1986]:[SPPR_symbolic_full_import_as_DC]], 0)),
INDEX(טבלה2[[SPPR_1986]:[SPPR_symbolic_full_import_as_DC]], MATCH('השוואת פקטורים'!$B37, 'PPRs inner'!$A$2:$A$108, 0), MATCH('השוואת פקטורים'!N$6, טבלה2[[#Headers],[SPPR_1986]:[SPPR_symbolic_full_import_as_DC]], 0)) / INDEX(טבלה2[[SPPR_1986]:[SPPR_symbolic_full_import_as_DC]], MATCH('השוואת פקטורים'!$B37, 'PPRs inner'!$A$2:$A$108, 0), MATCH('השוואת פקטורים'!M$6, טבלה2[[#Headers],[SPPR_1986]:[SPPR_symbolic_full_import_as_DC]], 0))
)</f>
        <v>7.3305600571196399</v>
      </c>
      <c r="O37" s="9">
        <f>IF($B$4="סהכ",
INDEX(טבלה1[[SPPR_1986]:[SPPR_symbolic_full_import_as_DC]], MATCH('השוואת פקטורים'!$B37, 'PPRs all'!$A$2:$A$108, 0), MATCH('השוואת פקטורים'!O$6, טבלה1[[#Headers],[SPPR_1986]:[SPPR_symbolic_full_import_as_DC]], 0)) / INDEX(טבלה1[[SPPR_1986]:[SPPR_symbolic_full_import_as_DC]], MATCH('השוואת פקטורים'!$B37, 'PPRs all'!$A$2:$A$108, 0), MATCH('השוואת פקטורים'!N$6, טבלה1[[#Headers],[SPPR_1986]:[SPPR_symbolic_full_import_as_DC]], 0)),
INDEX(טבלה2[[SPPR_1986]:[SPPR_symbolic_full_import_as_DC]], MATCH('השוואת פקטורים'!$B37, 'PPRs inner'!$A$2:$A$108, 0), MATCH('השוואת פקטורים'!O$6, טבלה2[[#Headers],[SPPR_1986]:[SPPR_symbolic_full_import_as_DC]], 0)) / INDEX(טבלה2[[SPPR_1986]:[SPPR_symbolic_full_import_as_DC]], MATCH('השוואת פקטורים'!$B37, 'PPRs inner'!$A$2:$A$108, 0), MATCH('השוואת פקטורים'!N$6, טבלה2[[#Headers],[SPPR_1986]:[SPPR_symbolic_full_import_as_DC]], 0))
)</f>
        <v>1.0000000000000007</v>
      </c>
      <c r="P37" s="9">
        <f>IF($B$4="סהכ",
INDEX(טבלה1[[SPPR_1986]:[SPPR_symbolic_full_import_as_DC]], MATCH('השוואת פקטורים'!$B37, 'PPRs all'!$A$2:$A$108, 0), MATCH('השוואת פקטורים'!P$6, טבלה1[[#Headers],[SPPR_1986]:[SPPR_symbolic_full_import_as_DC]], 0)) / INDEX(טבלה1[[SPPR_1986]:[SPPR_symbolic_full_import_as_DC]], MATCH('השוואת פקטורים'!$B37, 'PPRs all'!$A$2:$A$108, 0), MATCH('השוואת פקטורים'!O$6, טבלה1[[#Headers],[SPPR_1986]:[SPPR_symbolic_full_import_as_DC]], 0)),
INDEX(טבלה2[[SPPR_1986]:[SPPR_symbolic_full_import_as_DC]], MATCH('השוואת פקטורים'!$B37, 'PPRs inner'!$A$2:$A$108, 0), MATCH('השוואת פקטורים'!P$6, טבלה2[[#Headers],[SPPR_1986]:[SPPR_symbolic_full_import_as_DC]], 0)) / INDEX(טבלה2[[SPPR_1986]:[SPPR_symbolic_full_import_as_DC]], MATCH('השוואת פקטורים'!$B37, 'PPRs inner'!$A$2:$A$108, 0), MATCH('השוואת פקטורים'!O$6, טבלה2[[#Headers],[SPPR_1986]:[SPPR_symbolic_full_import_as_DC]], 0))
)</f>
        <v>0.33501207484449091</v>
      </c>
      <c r="Q37" s="9">
        <f>IF($B$4="סהכ",
INDEX(טבלה1[[SPPR_1986]:[SPPR_symbolic_full_import_as_DC]], MATCH('השוואת פקטורים'!$B37, 'PPRs all'!$A$2:$A$108, 0), MATCH('השוואת פקטורים'!Q$6, טבלה1[[#Headers],[SPPR_1986]:[SPPR_symbolic_full_import_as_DC]], 0)) / INDEX(טבלה1[[SPPR_1986]:[SPPR_symbolic_full_import_as_DC]], MATCH('השוואת פקטורים'!$B37, 'PPRs all'!$A$2:$A$108, 0), MATCH('השוואת פקטורים'!P$6, טבלה1[[#Headers],[SPPR_1986]:[SPPR_symbolic_full_import_as_DC]], 0)),
INDEX(טבלה2[[SPPR_1986]:[SPPR_symbolic_full_import_as_DC]], MATCH('השוואת פקטורים'!$B37, 'PPRs inner'!$A$2:$A$108, 0), MATCH('השוואת פקטורים'!Q$6, טבלה2[[#Headers],[SPPR_1986]:[SPPR_symbolic_full_import_as_DC]], 0)) / INDEX(טבלה2[[SPPR_1986]:[SPPR_symbolic_full_import_as_DC]], MATCH('השוואת פקטורים'!$B37, 'PPRs inner'!$A$2:$A$108, 0), MATCH('השוואת פקטורים'!P$6, טבלה2[[#Headers],[SPPR_1986]:[SPPR_symbolic_full_import_as_DC]], 0))
)</f>
        <v>1.0000000000000004</v>
      </c>
      <c r="R37" s="9">
        <f>IF($B$4="סהכ",
INDEX(טבלה1[[SPPR_1986]:[SPPR_symbolic_full_import_as_DC]], MATCH('השוואת פקטורים'!$B37, 'PPRs all'!$A$2:$A$108, 0), MATCH('השוואת פקטורים'!R$6, טבלה1[[#Headers],[SPPR_1986]:[SPPR_symbolic_full_import_as_DC]], 0)) / INDEX(טבלה1[[SPPR_1986]:[SPPR_symbolic_full_import_as_DC]], MATCH('השוואת פקטורים'!$B37, 'PPRs all'!$A$2:$A$108, 0), MATCH('השוואת פקטורים'!Q$6, טבלה1[[#Headers],[SPPR_1986]:[SPPR_symbolic_full_import_as_DC]], 0)),
INDEX(טבלה2[[SPPR_1986]:[SPPR_symbolic_full_import_as_DC]], MATCH('השוואת פקטורים'!$B37, 'PPRs inner'!$A$2:$A$108, 0), MATCH('השוואת פקטורים'!R$6, טבלה2[[#Headers],[SPPR_1986]:[SPPR_symbolic_full_import_as_DC]], 0)) / INDEX(טבלה2[[SPPR_1986]:[SPPR_symbolic_full_import_as_DC]], MATCH('השוואת פקטורים'!$B37, 'PPRs inner'!$A$2:$A$108, 0), MATCH('השוואת פקטורים'!Q$6, טבלה2[[#Headers],[SPPR_1986]:[SPPR_symbolic_full_import_as_DC]], 0))
)</f>
        <v>1</v>
      </c>
      <c r="S37" s="9">
        <f>IF($B$4="סהכ",
INDEX(טבלה1[[SPPR_1986]:[SPPR_symbolic_full_import_as_DC]], MATCH('השוואת פקטורים'!$B37, 'PPRs all'!$A$2:$A$108, 0), MATCH('השוואת פקטורים'!S$6, טבלה1[[#Headers],[SPPR_1986]:[SPPR_symbolic_full_import_as_DC]], 0)) / INDEX(טבלה1[[SPPR_1986]:[SPPR_symbolic_full_import_as_DC]], MATCH('השוואת פקטורים'!$B37, 'PPRs all'!$A$2:$A$108, 0), MATCH('השוואת פקטורים'!R$6, טבלה1[[#Headers],[SPPR_1986]:[SPPR_symbolic_full_import_as_DC]], 0)),
INDEX(טבלה2[[SPPR_1986]:[SPPR_symbolic_full_import_as_DC]], MATCH('השוואת פקטורים'!$B37, 'PPRs inner'!$A$2:$A$108, 0), MATCH('השוואת פקטורים'!S$6, טבלה2[[#Headers],[SPPR_1986]:[SPPR_symbolic_full_import_as_DC]], 0)) / INDEX(טבלה2[[SPPR_1986]:[SPPR_symbolic_full_import_as_DC]], MATCH('השוואת פקטורים'!$B37, 'PPRs inner'!$A$2:$A$108, 0), MATCH('השוואת פקטורים'!R$6, טבלה2[[#Headers],[SPPR_1986]:[SPPR_symbolic_full_import_as_DC]], 0))
)</f>
        <v>1</v>
      </c>
      <c r="T37" s="9">
        <f>IF($B$4="סהכ",
INDEX(טבלה1[[SPPR_1986]:[SPPR_symbolic_full_import_as_DC]], MATCH('השוואת פקטורים'!$B37, 'PPRs all'!$A$2:$A$108, 0), MATCH('השוואת פקטורים'!T$6, טבלה1[[#Headers],[SPPR_1986]:[SPPR_symbolic_full_import_as_DC]], 0)) / INDEX(טבלה1[[SPPR_1986]:[SPPR_symbolic_full_import_as_DC]], MATCH('השוואת פקטורים'!$B37, 'PPRs all'!$A$2:$A$108, 0), MATCH('השוואת פקטורים'!S$6, טבלה1[[#Headers],[SPPR_1986]:[SPPR_symbolic_full_import_as_DC]], 0)),
INDEX(טבלה2[[SPPR_1986]:[SPPR_symbolic_full_import_as_DC]], MATCH('השוואת פקטורים'!$B37, 'PPRs inner'!$A$2:$A$108, 0), MATCH('השוואת פקטורים'!T$6, טבלה2[[#Headers],[SPPR_1986]:[SPPR_symbolic_full_import_as_DC]], 0)) / INDEX(טבלה2[[SPPR_1986]:[SPPR_symbolic_full_import_as_DC]], MATCH('השוואת פקטורים'!$B37, 'PPRs inner'!$A$2:$A$108, 0), MATCH('השוואת פקטורים'!S$6, טבלה2[[#Headers],[SPPR_1986]:[SPPR_symbolic_full_import_as_DC]], 0))
)</f>
        <v>1</v>
      </c>
      <c r="U37" s="9">
        <f>IF($B$4="סהכ",
INDEX(טבלה1[[SPPR_1986]:[SPPR_symbolic_full_import_as_DC]], MATCH('השוואת פקטורים'!$B37, 'PPRs all'!$A$2:$A$108, 0), MATCH('השוואת פקטורים'!U$6, טבלה1[[#Headers],[SPPR_1986]:[SPPR_symbolic_full_import_as_DC]], 0)) / INDEX(טבלה1[[SPPR_1986]:[SPPR_symbolic_full_import_as_DC]], MATCH('השוואת פקטורים'!$B37, 'PPRs all'!$A$2:$A$108, 0), MATCH('השוואת פקטורים'!T$6, טבלה1[[#Headers],[SPPR_1986]:[SPPR_symbolic_full_import_as_DC]], 0)),
INDEX(טבלה2[[SPPR_1986]:[SPPR_symbolic_full_import_as_DC]], MATCH('השוואת פקטורים'!$B37, 'PPRs inner'!$A$2:$A$108, 0), MATCH('השוואת פקטורים'!U$6, טבלה2[[#Headers],[SPPR_1986]:[SPPR_symbolic_full_import_as_DC]], 0)) / INDEX(טבלה2[[SPPR_1986]:[SPPR_symbolic_full_import_as_DC]], MATCH('השוואת פקטורים'!$B37, 'PPRs inner'!$A$2:$A$108, 0), MATCH('השוואת פקטורים'!T$6, טבלה2[[#Headers],[SPPR_1986]:[SPPR_symbolic_full_import_as_DC]], 0))
)</f>
        <v>0.99999999999999967</v>
      </c>
      <c r="V37" s="9"/>
      <c r="W37" s="9"/>
      <c r="X37" s="14"/>
      <c r="Y37" s="14"/>
      <c r="Z37" s="15">
        <f t="shared" si="2"/>
        <v>0.7331622478500579</v>
      </c>
    </row>
    <row r="38" spans="2:26" x14ac:dyDescent="0.3">
      <c r="B38" s="6" t="s">
        <v>52</v>
      </c>
      <c r="C38" s="12" t="b">
        <v>1</v>
      </c>
      <c r="D38" s="12" t="b">
        <v>1</v>
      </c>
      <c r="E38" s="12" t="b">
        <v>1</v>
      </c>
      <c r="F38" s="12" t="b">
        <f t="shared" si="1"/>
        <v>1</v>
      </c>
      <c r="G38" s="7" t="b">
        <f>ABS(INDEX(טבלה5[[SPPR_1986]:[SPPR_symbolic_full_import_as_DC]],MATCH('השוואת פקטורים'!$B38,טבלה5[עמודה1],0),MATCH($C$4,טבלה5[[#Headers],[SPPR_1986]:[SPPR_symbolic_full_import_as_DC]],0))) &lt; 5</f>
        <v>1</v>
      </c>
      <c r="H38" s="7" t="b">
        <f>INDEX(טבלה3[[SPPR_1986]:[SPPR_symbolic_full_import_as_DC]],MATCH('השוואת פקטורים'!$B38,טבלה3[עמודה1],0),MATCH($C$4,טבלה3[[#Headers],[SPPR_1986]:[SPPR_symbolic_full_import_as_DC]],0))</f>
        <v>1</v>
      </c>
      <c r="I38" s="7" t="b">
        <f t="shared" si="0"/>
        <v>1</v>
      </c>
      <c r="J38" s="13"/>
      <c r="K38" s="9">
        <f>IF($B$4="סהכ",
INDEX(טבלה1[[SPPR_1986]:[SPPR_symbolic_full_import_as_DC]], MATCH('השוואת פקטורים'!$B38, 'PPRs all'!$A$2:$A$108, 0), MATCH('השוואת פקטורים'!K$6, טבלה1[[#Headers],[SPPR_1986]:[SPPR_symbolic_full_import_as_DC]], 0)) / INDEX(טבלה1[[SPPR_1986]:[SPPR_symbolic_full_import_as_DC]], MATCH('השוואת פקטורים'!$B38, 'PPRs all'!$A$2:$A$108, 0), MATCH('השוואת פקטורים'!J$6, טבלה1[[#Headers],[SPPR_1986]:[SPPR_symbolic_full_import_as_DC]], 0)),
INDEX(טבלה2[[SPPR_1986]:[SPPR_symbolic_full_import_as_DC]], MATCH('השוואת פקטורים'!$B38, 'PPRs inner'!$A$2:$A$108, 0), MATCH('השוואת פקטורים'!K$6, טבלה2[[#Headers],[SPPR_1986]:[SPPR_symbolic_full_import_as_DC]], 0)) / INDEX(טבלה2[[SPPR_1986]:[SPPR_symbolic_full_import_as_DC]], MATCH('השוואת פקטורים'!$B38, 'PPRs inner'!$A$2:$A$108, 0), MATCH('השוואת פקטורים'!J$6, טבלה2[[#Headers],[SPPR_1986]:[SPPR_symbolic_full_import_as_DC]], 0))
)</f>
        <v>0.91251228848934018</v>
      </c>
      <c r="L38" s="9">
        <f>IF($B$4="סהכ",
INDEX(טבלה1[[SPPR_1986]:[SPPR_symbolic_full_import_as_DC]], MATCH('השוואת פקטורים'!$B38, 'PPRs all'!$A$2:$A$108, 0), MATCH('השוואת פקטורים'!L$6, טבלה1[[#Headers],[SPPR_1986]:[SPPR_symbolic_full_import_as_DC]], 0)) / INDEX(טבלה1[[SPPR_1986]:[SPPR_symbolic_full_import_as_DC]], MATCH('השוואת פקטורים'!$B38, 'PPRs all'!$A$2:$A$108, 0), MATCH('השוואת פקטורים'!K$6, טבלה1[[#Headers],[SPPR_1986]:[SPPR_symbolic_full_import_as_DC]], 0)),
INDEX(טבלה2[[SPPR_1986]:[SPPR_symbolic_full_import_as_DC]], MATCH('השוואת פקטורים'!$B38, 'PPRs inner'!$A$2:$A$108, 0), MATCH('השוואת פקטורים'!L$6, טבלה2[[#Headers],[SPPR_1986]:[SPPR_symbolic_full_import_as_DC]], 0)) / INDEX(טבלה2[[SPPR_1986]:[SPPR_symbolic_full_import_as_DC]], MATCH('השוואת פקטורים'!$B38, 'PPRs inner'!$A$2:$A$108, 0), MATCH('השוואת פקטורים'!K$6, טבלה2[[#Headers],[SPPR_1986]:[SPPR_symbolic_full_import_as_DC]], 0))
)</f>
        <v>2.8280305948954716</v>
      </c>
      <c r="M38" s="9">
        <f>IF($B$4="סהכ",
INDEX(טבלה1[[SPPR_1986]:[SPPR_symbolic_full_import_as_DC]], MATCH('השוואת פקטורים'!$B38, 'PPRs all'!$A$2:$A$108, 0), MATCH('השוואת פקטורים'!M$6, טבלה1[[#Headers],[SPPR_1986]:[SPPR_symbolic_full_import_as_DC]], 0)) / INDEX(טבלה1[[SPPR_1986]:[SPPR_symbolic_full_import_as_DC]], MATCH('השוואת פקטורים'!$B38, 'PPRs all'!$A$2:$A$108, 0), MATCH('השוואת פקטורים'!L$6, טבלה1[[#Headers],[SPPR_1986]:[SPPR_symbolic_full_import_as_DC]], 0)),
INDEX(טבלה2[[SPPR_1986]:[SPPR_symbolic_full_import_as_DC]], MATCH('השוואת פקטורים'!$B38, 'PPRs inner'!$A$2:$A$108, 0), MATCH('השוואת פקטורים'!M$6, טבלה2[[#Headers],[SPPR_1986]:[SPPR_symbolic_full_import_as_DC]], 0)) / INDEX(טבלה2[[SPPR_1986]:[SPPR_symbolic_full_import_as_DC]], MATCH('השוואת פקטורים'!$B38, 'PPRs inner'!$A$2:$A$108, 0), MATCH('השוואת פקטורים'!L$6, טבלה2[[#Headers],[SPPR_1986]:[SPPR_symbolic_full_import_as_DC]], 0))
)</f>
        <v>1.4252780855078679</v>
      </c>
      <c r="N38" s="9">
        <f>IF($B$4="סהכ",
INDEX(טבלה1[[SPPR_1986]:[SPPR_symbolic_full_import_as_DC]], MATCH('השוואת פקטורים'!$B38, 'PPRs all'!$A$2:$A$108, 0), MATCH('השוואת פקטורים'!N$6, טבלה1[[#Headers],[SPPR_1986]:[SPPR_symbolic_full_import_as_DC]], 0)) / INDEX(טבלה1[[SPPR_1986]:[SPPR_symbolic_full_import_as_DC]], MATCH('השוואת פקטורים'!$B38, 'PPRs all'!$A$2:$A$108, 0), MATCH('השוואת פקטורים'!M$6, טבלה1[[#Headers],[SPPR_1986]:[SPPR_symbolic_full_import_as_DC]], 0)),
INDEX(טבלה2[[SPPR_1986]:[SPPR_symbolic_full_import_as_DC]], MATCH('השוואת פקטורים'!$B38, 'PPRs inner'!$A$2:$A$108, 0), MATCH('השוואת פקטורים'!N$6, טבלה2[[#Headers],[SPPR_1986]:[SPPR_symbolic_full_import_as_DC]], 0)) / INDEX(טבלה2[[SPPR_1986]:[SPPR_symbolic_full_import_as_DC]], MATCH('השוואת פקטורים'!$B38, 'PPRs inner'!$A$2:$A$108, 0), MATCH('השוואת פקטורים'!M$6, טבלה2[[#Headers],[SPPR_1986]:[SPPR_symbolic_full_import_as_DC]], 0))
)</f>
        <v>2.3985930772509607</v>
      </c>
      <c r="O38" s="9">
        <f>IF($B$4="סהכ",
INDEX(טבלה1[[SPPR_1986]:[SPPR_symbolic_full_import_as_DC]], MATCH('השוואת פקטורים'!$B38, 'PPRs all'!$A$2:$A$108, 0), MATCH('השוואת פקטורים'!O$6, טבלה1[[#Headers],[SPPR_1986]:[SPPR_symbolic_full_import_as_DC]], 0)) / INDEX(טבלה1[[SPPR_1986]:[SPPR_symbolic_full_import_as_DC]], MATCH('השוואת פקטורים'!$B38, 'PPRs all'!$A$2:$A$108, 0), MATCH('השוואת פקטורים'!N$6, טבלה1[[#Headers],[SPPR_1986]:[SPPR_symbolic_full_import_as_DC]], 0)),
INDEX(טבלה2[[SPPR_1986]:[SPPR_symbolic_full_import_as_DC]], MATCH('השוואת פקטורים'!$B38, 'PPRs inner'!$A$2:$A$108, 0), MATCH('השוואת פקטורים'!O$6, טבלה2[[#Headers],[SPPR_1986]:[SPPR_symbolic_full_import_as_DC]], 0)) / INDEX(טבלה2[[SPPR_1986]:[SPPR_symbolic_full_import_as_DC]], MATCH('השוואת פקטורים'!$B38, 'PPRs inner'!$A$2:$A$108, 0), MATCH('השוואת פקטורים'!N$6, טבלה2[[#Headers],[SPPR_1986]:[SPPR_symbolic_full_import_as_DC]], 0))
)</f>
        <v>1.0000000000000004</v>
      </c>
      <c r="P38" s="9">
        <f>IF($B$4="סהכ",
INDEX(טבלה1[[SPPR_1986]:[SPPR_symbolic_full_import_as_DC]], MATCH('השוואת פקטורים'!$B38, 'PPRs all'!$A$2:$A$108, 0), MATCH('השוואת פקטורים'!P$6, טבלה1[[#Headers],[SPPR_1986]:[SPPR_symbolic_full_import_as_DC]], 0)) / INDEX(טבלה1[[SPPR_1986]:[SPPR_symbolic_full_import_as_DC]], MATCH('השוואת פקטורים'!$B38, 'PPRs all'!$A$2:$A$108, 0), MATCH('השוואת פקטורים'!O$6, טבלה1[[#Headers],[SPPR_1986]:[SPPR_symbolic_full_import_as_DC]], 0)),
INDEX(טבלה2[[SPPR_1986]:[SPPR_symbolic_full_import_as_DC]], MATCH('השוואת פקטורים'!$B38, 'PPRs inner'!$A$2:$A$108, 0), MATCH('השוואת פקטורים'!P$6, טבלה2[[#Headers],[SPPR_1986]:[SPPR_symbolic_full_import_as_DC]], 0)) / INDEX(טבלה2[[SPPR_1986]:[SPPR_symbolic_full_import_as_DC]], MATCH('השוואת פקטורים'!$B38, 'PPRs inner'!$A$2:$A$108, 0), MATCH('השוואת פקטורים'!O$6, טבלה2[[#Headers],[SPPR_1986]:[SPPR_symbolic_full_import_as_DC]], 0))
)</f>
        <v>0.14392408261353015</v>
      </c>
      <c r="Q38" s="9">
        <f>IF($B$4="סהכ",
INDEX(טבלה1[[SPPR_1986]:[SPPR_symbolic_full_import_as_DC]], MATCH('השוואת פקטורים'!$B38, 'PPRs all'!$A$2:$A$108, 0), MATCH('השוואת פקטורים'!Q$6, טבלה1[[#Headers],[SPPR_1986]:[SPPR_symbolic_full_import_as_DC]], 0)) / INDEX(טבלה1[[SPPR_1986]:[SPPR_symbolic_full_import_as_DC]], MATCH('השוואת פקטורים'!$B38, 'PPRs all'!$A$2:$A$108, 0), MATCH('השוואת פקטורים'!P$6, טבלה1[[#Headers],[SPPR_1986]:[SPPR_symbolic_full_import_as_DC]], 0)),
INDEX(טבלה2[[SPPR_1986]:[SPPR_symbolic_full_import_as_DC]], MATCH('השוואת פקטורים'!$B38, 'PPRs inner'!$A$2:$A$108, 0), MATCH('השוואת פקטורים'!Q$6, טבלה2[[#Headers],[SPPR_1986]:[SPPR_symbolic_full_import_as_DC]], 0)) / INDEX(טבלה2[[SPPR_1986]:[SPPR_symbolic_full_import_as_DC]], MATCH('השוואת פקטורים'!$B38, 'PPRs inner'!$A$2:$A$108, 0), MATCH('השוואת פקטורים'!P$6, טבלה2[[#Headers],[SPPR_1986]:[SPPR_symbolic_full_import_as_DC]], 0))
)</f>
        <v>1.0000000000000007</v>
      </c>
      <c r="R38" s="9">
        <f>IF($B$4="סהכ",
INDEX(טבלה1[[SPPR_1986]:[SPPR_symbolic_full_import_as_DC]], MATCH('השוואת פקטורים'!$B38, 'PPRs all'!$A$2:$A$108, 0), MATCH('השוואת פקטורים'!R$6, טבלה1[[#Headers],[SPPR_1986]:[SPPR_symbolic_full_import_as_DC]], 0)) / INDEX(טבלה1[[SPPR_1986]:[SPPR_symbolic_full_import_as_DC]], MATCH('השוואת פקטורים'!$B38, 'PPRs all'!$A$2:$A$108, 0), MATCH('השוואת פקטורים'!Q$6, טבלה1[[#Headers],[SPPR_1986]:[SPPR_symbolic_full_import_as_DC]], 0)),
INDEX(טבלה2[[SPPR_1986]:[SPPR_symbolic_full_import_as_DC]], MATCH('השוואת פקטורים'!$B38, 'PPRs inner'!$A$2:$A$108, 0), MATCH('השוואת פקטורים'!R$6, טבלה2[[#Headers],[SPPR_1986]:[SPPR_symbolic_full_import_as_DC]], 0)) / INDEX(טבלה2[[SPPR_1986]:[SPPR_symbolic_full_import_as_DC]], MATCH('השוואת פקטורים'!$B38, 'PPRs inner'!$A$2:$A$108, 0), MATCH('השוואת פקטורים'!Q$6, טבלה2[[#Headers],[SPPR_1986]:[SPPR_symbolic_full_import_as_DC]], 0))
)</f>
        <v>1</v>
      </c>
      <c r="S38" s="9">
        <f>IF($B$4="סהכ",
INDEX(טבלה1[[SPPR_1986]:[SPPR_symbolic_full_import_as_DC]], MATCH('השוואת פקטורים'!$B38, 'PPRs all'!$A$2:$A$108, 0), MATCH('השוואת פקטורים'!S$6, טבלה1[[#Headers],[SPPR_1986]:[SPPR_symbolic_full_import_as_DC]], 0)) / INDEX(טבלה1[[SPPR_1986]:[SPPR_symbolic_full_import_as_DC]], MATCH('השוואת פקטורים'!$B38, 'PPRs all'!$A$2:$A$108, 0), MATCH('השוואת פקטורים'!R$6, טבלה1[[#Headers],[SPPR_1986]:[SPPR_symbolic_full_import_as_DC]], 0)),
INDEX(טבלה2[[SPPR_1986]:[SPPR_symbolic_full_import_as_DC]], MATCH('השוואת פקטורים'!$B38, 'PPRs inner'!$A$2:$A$108, 0), MATCH('השוואת פקטורים'!S$6, טבלה2[[#Headers],[SPPR_1986]:[SPPR_symbolic_full_import_as_DC]], 0)) / INDEX(טבלה2[[SPPR_1986]:[SPPR_symbolic_full_import_as_DC]], MATCH('השוואת פקטורים'!$B38, 'PPRs inner'!$A$2:$A$108, 0), MATCH('השוואת פקטורים'!R$6, טבלה2[[#Headers],[SPPR_1986]:[SPPR_symbolic_full_import_as_DC]], 0))
)</f>
        <v>1</v>
      </c>
      <c r="T38" s="9">
        <f>IF($B$4="סהכ",
INDEX(טבלה1[[SPPR_1986]:[SPPR_symbolic_full_import_as_DC]], MATCH('השוואת פקטורים'!$B38, 'PPRs all'!$A$2:$A$108, 0), MATCH('השוואת פקטורים'!T$6, טבלה1[[#Headers],[SPPR_1986]:[SPPR_symbolic_full_import_as_DC]], 0)) / INDEX(טבלה1[[SPPR_1986]:[SPPR_symbolic_full_import_as_DC]], MATCH('השוואת פקטורים'!$B38, 'PPRs all'!$A$2:$A$108, 0), MATCH('השוואת פקטורים'!S$6, טבלה1[[#Headers],[SPPR_1986]:[SPPR_symbolic_full_import_as_DC]], 0)),
INDEX(טבלה2[[SPPR_1986]:[SPPR_symbolic_full_import_as_DC]], MATCH('השוואת פקטורים'!$B38, 'PPRs inner'!$A$2:$A$108, 0), MATCH('השוואת פקטורים'!T$6, טבלה2[[#Headers],[SPPR_1986]:[SPPR_symbolic_full_import_as_DC]], 0)) / INDEX(טבלה2[[SPPR_1986]:[SPPR_symbolic_full_import_as_DC]], MATCH('השוואת פקטורים'!$B38, 'PPRs inner'!$A$2:$A$108, 0), MATCH('השוואת פקטורים'!S$6, טבלה2[[#Headers],[SPPR_1986]:[SPPR_symbolic_full_import_as_DC]], 0))
)</f>
        <v>1</v>
      </c>
      <c r="U38" s="9">
        <f>IF($B$4="סהכ",
INDEX(טבלה1[[SPPR_1986]:[SPPR_symbolic_full_import_as_DC]], MATCH('השוואת פקטורים'!$B38, 'PPRs all'!$A$2:$A$108, 0), MATCH('השוואת פקטורים'!U$6, טבלה1[[#Headers],[SPPR_1986]:[SPPR_symbolic_full_import_as_DC]], 0)) / INDEX(טבלה1[[SPPR_1986]:[SPPR_symbolic_full_import_as_DC]], MATCH('השוואת פקטורים'!$B38, 'PPRs all'!$A$2:$A$108, 0), MATCH('השוואת פקטורים'!T$6, טבלה1[[#Headers],[SPPR_1986]:[SPPR_symbolic_full_import_as_DC]], 0)),
INDEX(טבלה2[[SPPR_1986]:[SPPR_symbolic_full_import_as_DC]], MATCH('השוואת פקטורים'!$B38, 'PPRs inner'!$A$2:$A$108, 0), MATCH('השוואת פקטורים'!U$6, טבלה2[[#Headers],[SPPR_1986]:[SPPR_symbolic_full_import_as_DC]], 0)) / INDEX(טבלה2[[SPPR_1986]:[SPPR_symbolic_full_import_as_DC]], MATCH('השוואת פקטורים'!$B38, 'PPRs inner'!$A$2:$A$108, 0), MATCH('השוואת פקטורים'!T$6, טבלה2[[#Headers],[SPPR_1986]:[SPPR_symbolic_full_import_as_DC]], 0))
)</f>
        <v>0.99999999999999944</v>
      </c>
      <c r="V38" s="9"/>
      <c r="W38" s="9"/>
      <c r="X38" s="14"/>
      <c r="Y38" s="14"/>
      <c r="Z38" s="15">
        <f t="shared" si="2"/>
        <v>1.2697332097199225</v>
      </c>
    </row>
    <row r="39" spans="2:26" x14ac:dyDescent="0.3">
      <c r="B39" s="6" t="s">
        <v>53</v>
      </c>
      <c r="C39" s="12" t="b">
        <v>1</v>
      </c>
      <c r="D39" s="12" t="b">
        <v>1</v>
      </c>
      <c r="E39" s="12" t="b">
        <v>1</v>
      </c>
      <c r="F39" s="12" t="b">
        <f t="shared" si="1"/>
        <v>1</v>
      </c>
      <c r="G39" s="7" t="b">
        <f>ABS(INDEX(טבלה5[[SPPR_1986]:[SPPR_symbolic_full_import_as_DC]],MATCH('השוואת פקטורים'!$B39,טבלה5[עמודה1],0),MATCH($C$4,טבלה5[[#Headers],[SPPR_1986]:[SPPR_symbolic_full_import_as_DC]],0))) &lt; 5</f>
        <v>0</v>
      </c>
      <c r="H39" s="7" t="b">
        <f>INDEX(טבלה3[[SPPR_1986]:[SPPR_symbolic_full_import_as_DC]],MATCH('השוואת פקטורים'!$B39,טבלה3[עמודה1],0),MATCH($C$4,טבלה3[[#Headers],[SPPR_1986]:[SPPR_symbolic_full_import_as_DC]],0))</f>
        <v>1</v>
      </c>
      <c r="I39" s="7" t="b">
        <f t="shared" ref="I39:I70" si="3">AND(C39:H39)</f>
        <v>0</v>
      </c>
      <c r="J39" s="13"/>
      <c r="K39" s="9">
        <f>IF($B$4="סהכ",
INDEX(טבלה1[[SPPR_1986]:[SPPR_symbolic_full_import_as_DC]], MATCH('השוואת פקטורים'!$B39, 'PPRs all'!$A$2:$A$108, 0), MATCH('השוואת פקטורים'!K$6, טבלה1[[#Headers],[SPPR_1986]:[SPPR_symbolic_full_import_as_DC]], 0)) / INDEX(טבלה1[[SPPR_1986]:[SPPR_symbolic_full_import_as_DC]], MATCH('השוואת פקטורים'!$B39, 'PPRs all'!$A$2:$A$108, 0), MATCH('השוואת פקטורים'!J$6, טבלה1[[#Headers],[SPPR_1986]:[SPPR_symbolic_full_import_as_DC]], 0)),
INDEX(טבלה2[[SPPR_1986]:[SPPR_symbolic_full_import_as_DC]], MATCH('השוואת פקטורים'!$B39, 'PPRs inner'!$A$2:$A$108, 0), MATCH('השוואת פקטורים'!K$6, טבלה2[[#Headers],[SPPR_1986]:[SPPR_symbolic_full_import_as_DC]], 0)) / INDEX(טבלה2[[SPPR_1986]:[SPPR_symbolic_full_import_as_DC]], MATCH('השוואת פקטורים'!$B39, 'PPRs inner'!$A$2:$A$108, 0), MATCH('השוואת פקטורים'!J$6, טבלה2[[#Headers],[SPPR_1986]:[SPPR_symbolic_full_import_as_DC]], 0))
)</f>
        <v>0.84104024994316817</v>
      </c>
      <c r="L39" s="9">
        <f>IF($B$4="סהכ",
INDEX(טבלה1[[SPPR_1986]:[SPPR_symbolic_full_import_as_DC]], MATCH('השוואת פקטורים'!$B39, 'PPRs all'!$A$2:$A$108, 0), MATCH('השוואת פקטורים'!L$6, טבלה1[[#Headers],[SPPR_1986]:[SPPR_symbolic_full_import_as_DC]], 0)) / INDEX(טבלה1[[SPPR_1986]:[SPPR_symbolic_full_import_as_DC]], MATCH('השוואת פקטורים'!$B39, 'PPRs all'!$A$2:$A$108, 0), MATCH('השוואת פקטורים'!K$6, טבלה1[[#Headers],[SPPR_1986]:[SPPR_symbolic_full_import_as_DC]], 0)),
INDEX(טבלה2[[SPPR_1986]:[SPPR_symbolic_full_import_as_DC]], MATCH('השוואת פקטורים'!$B39, 'PPRs inner'!$A$2:$A$108, 0), MATCH('השוואת פקטורים'!L$6, טבלה2[[#Headers],[SPPR_1986]:[SPPR_symbolic_full_import_as_DC]], 0)) / INDEX(טבלה2[[SPPR_1986]:[SPPR_symbolic_full_import_as_DC]], MATCH('השוואת פקטורים'!$B39, 'PPRs inner'!$A$2:$A$108, 0), MATCH('השוואת פקטורים'!K$6, טבלה2[[#Headers],[SPPR_1986]:[SPPR_symbolic_full_import_as_DC]], 0))
)</f>
        <v>2.6998413976432549</v>
      </c>
      <c r="M39" s="9">
        <f>IF($B$4="סהכ",
INDEX(טבלה1[[SPPR_1986]:[SPPR_symbolic_full_import_as_DC]], MATCH('השוואת פקטורים'!$B39, 'PPRs all'!$A$2:$A$108, 0), MATCH('השוואת פקטורים'!M$6, טבלה1[[#Headers],[SPPR_1986]:[SPPR_symbolic_full_import_as_DC]], 0)) / INDEX(טבלה1[[SPPR_1986]:[SPPR_symbolic_full_import_as_DC]], MATCH('השוואת פקטורים'!$B39, 'PPRs all'!$A$2:$A$108, 0), MATCH('השוואת פקטורים'!L$6, טבלה1[[#Headers],[SPPR_1986]:[SPPR_symbolic_full_import_as_DC]], 0)),
INDEX(טבלה2[[SPPR_1986]:[SPPR_symbolic_full_import_as_DC]], MATCH('השוואת פקטורים'!$B39, 'PPRs inner'!$A$2:$A$108, 0), MATCH('השוואת פקטורים'!M$6, טבלה2[[#Headers],[SPPR_1986]:[SPPR_symbolic_full_import_as_DC]], 0)) / INDEX(טבלה2[[SPPR_1986]:[SPPR_symbolic_full_import_as_DC]], MATCH('השוואת פקטורים'!$B39, 'PPRs inner'!$A$2:$A$108, 0), MATCH('השוואת פקטורים'!L$6, טבלה2[[#Headers],[SPPR_1986]:[SPPR_symbolic_full_import_as_DC]], 0))
)</f>
        <v>1.2665176380538494</v>
      </c>
      <c r="N39" s="9">
        <f>IF($B$4="סהכ",
INDEX(טבלה1[[SPPR_1986]:[SPPR_symbolic_full_import_as_DC]], MATCH('השוואת פקטורים'!$B39, 'PPRs all'!$A$2:$A$108, 0), MATCH('השוואת פקטורים'!N$6, טבלה1[[#Headers],[SPPR_1986]:[SPPR_symbolic_full_import_as_DC]], 0)) / INDEX(טבלה1[[SPPR_1986]:[SPPR_symbolic_full_import_as_DC]], MATCH('השוואת פקטורים'!$B39, 'PPRs all'!$A$2:$A$108, 0), MATCH('השוואת פקטורים'!M$6, טבלה1[[#Headers],[SPPR_1986]:[SPPR_symbolic_full_import_as_DC]], 0)),
INDEX(טבלה2[[SPPR_1986]:[SPPR_symbolic_full_import_as_DC]], MATCH('השוואת פקטורים'!$B39, 'PPRs inner'!$A$2:$A$108, 0), MATCH('השוואת פקטורים'!N$6, טבלה2[[#Headers],[SPPR_1986]:[SPPR_symbolic_full_import_as_DC]], 0)) / INDEX(טבלה2[[SPPR_1986]:[SPPR_symbolic_full_import_as_DC]], MATCH('השוואת פקטורים'!$B39, 'PPRs inner'!$A$2:$A$108, 0), MATCH('השוואת פקטורים'!M$6, טבלה2[[#Headers],[SPPR_1986]:[SPPR_symbolic_full_import_as_DC]], 0))
)</f>
        <v>2.5765980046174288</v>
      </c>
      <c r="O39" s="9">
        <f>IF($B$4="סהכ",
INDEX(טבלה1[[SPPR_1986]:[SPPR_symbolic_full_import_as_DC]], MATCH('השוואת פקטורים'!$B39, 'PPRs all'!$A$2:$A$108, 0), MATCH('השוואת פקטורים'!O$6, טבלה1[[#Headers],[SPPR_1986]:[SPPR_symbolic_full_import_as_DC]], 0)) / INDEX(טבלה1[[SPPR_1986]:[SPPR_symbolic_full_import_as_DC]], MATCH('השוואת פקטורים'!$B39, 'PPRs all'!$A$2:$A$108, 0), MATCH('השוואת פקטורים'!N$6, טבלה1[[#Headers],[SPPR_1986]:[SPPR_symbolic_full_import_as_DC]], 0)),
INDEX(טבלה2[[SPPR_1986]:[SPPR_symbolic_full_import_as_DC]], MATCH('השוואת פקטורים'!$B39, 'PPRs inner'!$A$2:$A$108, 0), MATCH('השוואת פקטורים'!O$6, טבלה2[[#Headers],[SPPR_1986]:[SPPR_symbolic_full_import_as_DC]], 0)) / INDEX(טבלה2[[SPPR_1986]:[SPPR_symbolic_full_import_as_DC]], MATCH('השוואת פקטורים'!$B39, 'PPRs inner'!$A$2:$A$108, 0), MATCH('השוואת פקטורים'!N$6, טבלה2[[#Headers],[SPPR_1986]:[SPPR_symbolic_full_import_as_DC]], 0))
)</f>
        <v>1</v>
      </c>
      <c r="P39" s="9">
        <f>IF($B$4="סהכ",
INDEX(טבלה1[[SPPR_1986]:[SPPR_symbolic_full_import_as_DC]], MATCH('השוואת פקטורים'!$B39, 'PPRs all'!$A$2:$A$108, 0), MATCH('השוואת פקטורים'!P$6, טבלה1[[#Headers],[SPPR_1986]:[SPPR_symbolic_full_import_as_DC]], 0)) / INDEX(טבלה1[[SPPR_1986]:[SPPR_symbolic_full_import_as_DC]], MATCH('השוואת פקטורים'!$B39, 'PPRs all'!$A$2:$A$108, 0), MATCH('השוואת פקטורים'!O$6, טבלה1[[#Headers],[SPPR_1986]:[SPPR_symbolic_full_import_as_DC]], 0)),
INDEX(טבלה2[[SPPR_1986]:[SPPR_symbolic_full_import_as_DC]], MATCH('השוואת פקטורים'!$B39, 'PPRs inner'!$A$2:$A$108, 0), MATCH('השוואת פקטורים'!P$6, טבלה2[[#Headers],[SPPR_1986]:[SPPR_symbolic_full_import_as_DC]], 0)) / INDEX(טבלה2[[SPPR_1986]:[SPPR_symbolic_full_import_as_DC]], MATCH('השוואת פקטורים'!$B39, 'PPRs inner'!$A$2:$A$108, 0), MATCH('השוואת פקטורים'!O$6, טבלה2[[#Headers],[SPPR_1986]:[SPPR_symbolic_full_import_as_DC]], 0))
)</f>
        <v>0.82118990873669273</v>
      </c>
      <c r="Q39" s="9">
        <f>IF($B$4="סהכ",
INDEX(טבלה1[[SPPR_1986]:[SPPR_symbolic_full_import_as_DC]], MATCH('השוואת פקטורים'!$B39, 'PPRs all'!$A$2:$A$108, 0), MATCH('השוואת פקטורים'!Q$6, טבלה1[[#Headers],[SPPR_1986]:[SPPR_symbolic_full_import_as_DC]], 0)) / INDEX(טבלה1[[SPPR_1986]:[SPPR_symbolic_full_import_as_DC]], MATCH('השוואת פקטורים'!$B39, 'PPRs all'!$A$2:$A$108, 0), MATCH('השוואת פקטורים'!P$6, טבלה1[[#Headers],[SPPR_1986]:[SPPR_symbolic_full_import_as_DC]], 0)),
INDEX(טבלה2[[SPPR_1986]:[SPPR_symbolic_full_import_as_DC]], MATCH('השוואת פקטורים'!$B39, 'PPRs inner'!$A$2:$A$108, 0), MATCH('השוואת פקטורים'!Q$6, טבלה2[[#Headers],[SPPR_1986]:[SPPR_symbolic_full_import_as_DC]], 0)) / INDEX(טבלה2[[SPPR_1986]:[SPPR_symbolic_full_import_as_DC]], MATCH('השוואת פקטורים'!$B39, 'PPRs inner'!$A$2:$A$108, 0), MATCH('השוואת פקטורים'!P$6, טבלה2[[#Headers],[SPPR_1986]:[SPPR_symbolic_full_import_as_DC]], 0))
)</f>
        <v>0.99999999999999889</v>
      </c>
      <c r="R39" s="9">
        <f>IF($B$4="סהכ",
INDEX(טבלה1[[SPPR_1986]:[SPPR_symbolic_full_import_as_DC]], MATCH('השוואת פקטורים'!$B39, 'PPRs all'!$A$2:$A$108, 0), MATCH('השוואת פקטורים'!R$6, טבלה1[[#Headers],[SPPR_1986]:[SPPR_symbolic_full_import_as_DC]], 0)) / INDEX(טבלה1[[SPPR_1986]:[SPPR_symbolic_full_import_as_DC]], MATCH('השוואת פקטורים'!$B39, 'PPRs all'!$A$2:$A$108, 0), MATCH('השוואת פקטורים'!Q$6, טבלה1[[#Headers],[SPPR_1986]:[SPPR_symbolic_full_import_as_DC]], 0)),
INDEX(טבלה2[[SPPR_1986]:[SPPR_symbolic_full_import_as_DC]], MATCH('השוואת פקטורים'!$B39, 'PPRs inner'!$A$2:$A$108, 0), MATCH('השוואת פקטורים'!R$6, טבלה2[[#Headers],[SPPR_1986]:[SPPR_symbolic_full_import_as_DC]], 0)) / INDEX(טבלה2[[SPPR_1986]:[SPPR_symbolic_full_import_as_DC]], MATCH('השוואת פקטורים'!$B39, 'PPRs inner'!$A$2:$A$108, 0), MATCH('השוואת פקטורים'!Q$6, טבלה2[[#Headers],[SPPR_1986]:[SPPR_symbolic_full_import_as_DC]], 0))
)</f>
        <v>1</v>
      </c>
      <c r="S39" s="9">
        <f>IF($B$4="סהכ",
INDEX(טבלה1[[SPPR_1986]:[SPPR_symbolic_full_import_as_DC]], MATCH('השוואת פקטורים'!$B39, 'PPRs all'!$A$2:$A$108, 0), MATCH('השוואת פקטורים'!S$6, טבלה1[[#Headers],[SPPR_1986]:[SPPR_symbolic_full_import_as_DC]], 0)) / INDEX(טבלה1[[SPPR_1986]:[SPPR_symbolic_full_import_as_DC]], MATCH('השוואת פקטורים'!$B39, 'PPRs all'!$A$2:$A$108, 0), MATCH('השוואת פקטורים'!R$6, טבלה1[[#Headers],[SPPR_1986]:[SPPR_symbolic_full_import_as_DC]], 0)),
INDEX(טבלה2[[SPPR_1986]:[SPPR_symbolic_full_import_as_DC]], MATCH('השוואת פקטורים'!$B39, 'PPRs inner'!$A$2:$A$108, 0), MATCH('השוואת פקטורים'!S$6, טבלה2[[#Headers],[SPPR_1986]:[SPPR_symbolic_full_import_as_DC]], 0)) / INDEX(טבלה2[[SPPR_1986]:[SPPR_symbolic_full_import_as_DC]], MATCH('השוואת פקטורים'!$B39, 'PPRs inner'!$A$2:$A$108, 0), MATCH('השוואת פקטורים'!R$6, טבלה2[[#Headers],[SPPR_1986]:[SPPR_symbolic_full_import_as_DC]], 0))
)</f>
        <v>1</v>
      </c>
      <c r="T39" s="9">
        <f>IF($B$4="סהכ",
INDEX(טבלה1[[SPPR_1986]:[SPPR_symbolic_full_import_as_DC]], MATCH('השוואת פקטורים'!$B39, 'PPRs all'!$A$2:$A$108, 0), MATCH('השוואת פקטורים'!T$6, טבלה1[[#Headers],[SPPR_1986]:[SPPR_symbolic_full_import_as_DC]], 0)) / INDEX(טבלה1[[SPPR_1986]:[SPPR_symbolic_full_import_as_DC]], MATCH('השוואת פקטורים'!$B39, 'PPRs all'!$A$2:$A$108, 0), MATCH('השוואת פקטורים'!S$6, טבלה1[[#Headers],[SPPR_1986]:[SPPR_symbolic_full_import_as_DC]], 0)),
INDEX(טבלה2[[SPPR_1986]:[SPPR_symbolic_full_import_as_DC]], MATCH('השוואת פקטורים'!$B39, 'PPRs inner'!$A$2:$A$108, 0), MATCH('השוואת פקטורים'!T$6, טבלה2[[#Headers],[SPPR_1986]:[SPPR_symbolic_full_import_as_DC]], 0)) / INDEX(טבלה2[[SPPR_1986]:[SPPR_symbolic_full_import_as_DC]], MATCH('השוואת פקטורים'!$B39, 'PPRs inner'!$A$2:$A$108, 0), MATCH('השוואת פקטורים'!S$6, טבלה2[[#Headers],[SPPR_1986]:[SPPR_symbolic_full_import_as_DC]], 0))
)</f>
        <v>1</v>
      </c>
      <c r="U39" s="9">
        <f>IF($B$4="סהכ",
INDEX(טבלה1[[SPPR_1986]:[SPPR_symbolic_full_import_as_DC]], MATCH('השוואת פקטורים'!$B39, 'PPRs all'!$A$2:$A$108, 0), MATCH('השוואת פקטורים'!U$6, טבלה1[[#Headers],[SPPR_1986]:[SPPR_symbolic_full_import_as_DC]], 0)) / INDEX(טבלה1[[SPPR_1986]:[SPPR_symbolic_full_import_as_DC]], MATCH('השוואת פקטורים'!$B39, 'PPRs all'!$A$2:$A$108, 0), MATCH('השוואת פקטורים'!T$6, טבלה1[[#Headers],[SPPR_1986]:[SPPR_symbolic_full_import_as_DC]], 0)),
INDEX(טבלה2[[SPPR_1986]:[SPPR_symbolic_full_import_as_DC]], MATCH('השוואת פקטורים'!$B39, 'PPRs inner'!$A$2:$A$108, 0), MATCH('השוואת פקטורים'!U$6, טבלה2[[#Headers],[SPPR_1986]:[SPPR_symbolic_full_import_as_DC]], 0)) / INDEX(טבלה2[[SPPR_1986]:[SPPR_symbolic_full_import_as_DC]], MATCH('השוואת פקטורים'!$B39, 'PPRs inner'!$A$2:$A$108, 0), MATCH('השוואת פקטורים'!T$6, טבלה2[[#Headers],[SPPR_1986]:[SPPR_symbolic_full_import_as_DC]], 0))
)</f>
        <v>1.0000000000000011</v>
      </c>
      <c r="V39" s="9"/>
      <c r="W39" s="9"/>
      <c r="X39" s="14"/>
      <c r="Y39" s="14"/>
      <c r="Z39" s="15">
        <f t="shared" si="2"/>
        <v>6.0849434297033262</v>
      </c>
    </row>
    <row r="40" spans="2:26" x14ac:dyDescent="0.3">
      <c r="B40" s="6" t="s">
        <v>54</v>
      </c>
      <c r="C40" s="12" t="b">
        <v>1</v>
      </c>
      <c r="D40" s="12" t="b">
        <v>0</v>
      </c>
      <c r="E40" s="12" t="b">
        <v>1</v>
      </c>
      <c r="F40" s="12" t="b">
        <f t="shared" si="1"/>
        <v>0</v>
      </c>
      <c r="G40" s="7" t="b">
        <f>ABS(INDEX(טבלה5[[SPPR_1986]:[SPPR_symbolic_full_import_as_DC]],MATCH('השוואת פקטורים'!$B40,טבלה5[עמודה1],0),MATCH($C$4,טבלה5[[#Headers],[SPPR_1986]:[SPPR_symbolic_full_import_as_DC]],0))) &lt; 5</f>
        <v>0</v>
      </c>
      <c r="H40" s="7" t="b">
        <f>INDEX(טבלה3[[SPPR_1986]:[SPPR_symbolic_full_import_as_DC]],MATCH('השוואת פקטורים'!$B40,טבלה3[עמודה1],0),MATCH($C$4,טבלה3[[#Headers],[SPPR_1986]:[SPPR_symbolic_full_import_as_DC]],0))</f>
        <v>1</v>
      </c>
      <c r="I40" s="7" t="b">
        <f t="shared" si="3"/>
        <v>0</v>
      </c>
      <c r="J40" s="13"/>
      <c r="K40" s="9">
        <f>IF($B$4="סהכ",
INDEX(טבלה1[[SPPR_1986]:[SPPR_symbolic_full_import_as_DC]], MATCH('השוואת פקטורים'!$B40, 'PPRs all'!$A$2:$A$108, 0), MATCH('השוואת פקטורים'!K$6, טבלה1[[#Headers],[SPPR_1986]:[SPPR_symbolic_full_import_as_DC]], 0)) / INDEX(טבלה1[[SPPR_1986]:[SPPR_symbolic_full_import_as_DC]], MATCH('השוואת פקטורים'!$B40, 'PPRs all'!$A$2:$A$108, 0), MATCH('השוואת פקטורים'!J$6, טבלה1[[#Headers],[SPPR_1986]:[SPPR_symbolic_full_import_as_DC]], 0)),
INDEX(טבלה2[[SPPR_1986]:[SPPR_symbolic_full_import_as_DC]], MATCH('השוואת פקטורים'!$B40, 'PPRs inner'!$A$2:$A$108, 0), MATCH('השוואת פקטורים'!K$6, טבלה2[[#Headers],[SPPR_1986]:[SPPR_symbolic_full_import_as_DC]], 0)) / INDEX(טבלה2[[SPPR_1986]:[SPPR_symbolic_full_import_as_DC]], MATCH('השוואת פקטורים'!$B40, 'PPRs inner'!$A$2:$A$108, 0), MATCH('השוואת פקטורים'!J$6, טבלה2[[#Headers],[SPPR_1986]:[SPPR_symbolic_full_import_as_DC]], 0))
)</f>
        <v>0.18268321910290988</v>
      </c>
      <c r="L40" s="9">
        <f>IF($B$4="סהכ",
INDEX(טבלה1[[SPPR_1986]:[SPPR_symbolic_full_import_as_DC]], MATCH('השוואת פקטורים'!$B40, 'PPRs all'!$A$2:$A$108, 0), MATCH('השוואת פקטורים'!L$6, טבלה1[[#Headers],[SPPR_1986]:[SPPR_symbolic_full_import_as_DC]], 0)) / INDEX(טבלה1[[SPPR_1986]:[SPPR_symbolic_full_import_as_DC]], MATCH('השוואת פקטורים'!$B40, 'PPRs all'!$A$2:$A$108, 0), MATCH('השוואת פקטורים'!K$6, טבלה1[[#Headers],[SPPR_1986]:[SPPR_symbolic_full_import_as_DC]], 0)),
INDEX(טבלה2[[SPPR_1986]:[SPPR_symbolic_full_import_as_DC]], MATCH('השוואת פקטורים'!$B40, 'PPRs inner'!$A$2:$A$108, 0), MATCH('השוואת פקטורים'!L$6, טבלה2[[#Headers],[SPPR_1986]:[SPPR_symbolic_full_import_as_DC]], 0)) / INDEX(טבלה2[[SPPR_1986]:[SPPR_symbolic_full_import_as_DC]], MATCH('השוואת פקטורים'!$B40, 'PPRs inner'!$A$2:$A$108, 0), MATCH('השוואת פקטורים'!K$6, טבלה2[[#Headers],[SPPR_1986]:[SPPR_symbolic_full_import_as_DC]], 0))
)</f>
        <v>1.8564038455427341</v>
      </c>
      <c r="M40" s="9">
        <f>IF($B$4="סהכ",
INDEX(טבלה1[[SPPR_1986]:[SPPR_symbolic_full_import_as_DC]], MATCH('השוואת פקטורים'!$B40, 'PPRs all'!$A$2:$A$108, 0), MATCH('השוואת פקטורים'!M$6, טבלה1[[#Headers],[SPPR_1986]:[SPPR_symbolic_full_import_as_DC]], 0)) / INDEX(טבלה1[[SPPR_1986]:[SPPR_symbolic_full_import_as_DC]], MATCH('השוואת פקטורים'!$B40, 'PPRs all'!$A$2:$A$108, 0), MATCH('השוואת פקטורים'!L$6, טבלה1[[#Headers],[SPPR_1986]:[SPPR_symbolic_full_import_as_DC]], 0)),
INDEX(טבלה2[[SPPR_1986]:[SPPR_symbolic_full_import_as_DC]], MATCH('השוואת פקטורים'!$B40, 'PPRs inner'!$A$2:$A$108, 0), MATCH('השוואת פקטורים'!M$6, טבלה2[[#Headers],[SPPR_1986]:[SPPR_symbolic_full_import_as_DC]], 0)) / INDEX(טבלה2[[SPPR_1986]:[SPPR_symbolic_full_import_as_DC]], MATCH('השוואת פקטורים'!$B40, 'PPRs inner'!$A$2:$A$108, 0), MATCH('השוואת פקטורים'!L$6, טבלה2[[#Headers],[SPPR_1986]:[SPPR_symbolic_full_import_as_DC]], 0))
)</f>
        <v>3.2467598135662308</v>
      </c>
      <c r="N40" s="9">
        <f>IF($B$4="סהכ",
INDEX(טבלה1[[SPPR_1986]:[SPPR_symbolic_full_import_as_DC]], MATCH('השוואת פקטורים'!$B40, 'PPRs all'!$A$2:$A$108, 0), MATCH('השוואת פקטורים'!N$6, טבלה1[[#Headers],[SPPR_1986]:[SPPR_symbolic_full_import_as_DC]], 0)) / INDEX(טבלה1[[SPPR_1986]:[SPPR_symbolic_full_import_as_DC]], MATCH('השוואת פקטורים'!$B40, 'PPRs all'!$A$2:$A$108, 0), MATCH('השוואת פקטורים'!M$6, טבלה1[[#Headers],[SPPR_1986]:[SPPR_symbolic_full_import_as_DC]], 0)),
INDEX(טבלה2[[SPPR_1986]:[SPPR_symbolic_full_import_as_DC]], MATCH('השוואת פקטורים'!$B40, 'PPRs inner'!$A$2:$A$108, 0), MATCH('השוואת פקטורים'!N$6, טבלה2[[#Headers],[SPPR_1986]:[SPPR_symbolic_full_import_as_DC]], 0)) / INDEX(טבלה2[[SPPR_1986]:[SPPR_symbolic_full_import_as_DC]], MATCH('השוואת פקטורים'!$B40, 'PPRs inner'!$A$2:$A$108, 0), MATCH('השוואת פקטורים'!M$6, טבלה2[[#Headers],[SPPR_1986]:[SPPR_symbolic_full_import_as_DC]], 0))
)</f>
        <v>15.110219264184384</v>
      </c>
      <c r="O40" s="9">
        <f>IF($B$4="סהכ",
INDEX(טבלה1[[SPPR_1986]:[SPPR_symbolic_full_import_as_DC]], MATCH('השוואת פקטורים'!$B40, 'PPRs all'!$A$2:$A$108, 0), MATCH('השוואת פקטורים'!O$6, טבלה1[[#Headers],[SPPR_1986]:[SPPR_symbolic_full_import_as_DC]], 0)) / INDEX(טבלה1[[SPPR_1986]:[SPPR_symbolic_full_import_as_DC]], MATCH('השוואת פקטורים'!$B40, 'PPRs all'!$A$2:$A$108, 0), MATCH('השוואת פקטורים'!N$6, טבלה1[[#Headers],[SPPR_1986]:[SPPR_symbolic_full_import_as_DC]], 0)),
INDEX(טבלה2[[SPPR_1986]:[SPPR_symbolic_full_import_as_DC]], MATCH('השוואת פקטורים'!$B40, 'PPRs inner'!$A$2:$A$108, 0), MATCH('השוואת פקטורים'!O$6, טבלה2[[#Headers],[SPPR_1986]:[SPPR_symbolic_full_import_as_DC]], 0)) / INDEX(טבלה2[[SPPR_1986]:[SPPR_symbolic_full_import_as_DC]], MATCH('השוואת פקטורים'!$B40, 'PPRs inner'!$A$2:$A$108, 0), MATCH('השוואת פקטורים'!N$6, טבלה2[[#Headers],[SPPR_1986]:[SPPR_symbolic_full_import_as_DC]], 0))
)</f>
        <v>1.0000000000000155</v>
      </c>
      <c r="P40" s="9">
        <f>IF($B$4="סהכ",
INDEX(טבלה1[[SPPR_1986]:[SPPR_symbolic_full_import_as_DC]], MATCH('השוואת פקטורים'!$B40, 'PPRs all'!$A$2:$A$108, 0), MATCH('השוואת פקטורים'!P$6, טבלה1[[#Headers],[SPPR_1986]:[SPPR_symbolic_full_import_as_DC]], 0)) / INDEX(טבלה1[[SPPR_1986]:[SPPR_symbolic_full_import_as_DC]], MATCH('השוואת פקטורים'!$B40, 'PPRs all'!$A$2:$A$108, 0), MATCH('השוואת פקטורים'!O$6, טבלה1[[#Headers],[SPPR_1986]:[SPPR_symbolic_full_import_as_DC]], 0)),
INDEX(טבלה2[[SPPR_1986]:[SPPR_symbolic_full_import_as_DC]], MATCH('השוואת פקטורים'!$B40, 'PPRs inner'!$A$2:$A$108, 0), MATCH('השוואת פקטורים'!P$6, טבלה2[[#Headers],[SPPR_1986]:[SPPR_symbolic_full_import_as_DC]], 0)) / INDEX(טבלה2[[SPPR_1986]:[SPPR_symbolic_full_import_as_DC]], MATCH('השוואת פקטורים'!$B40, 'PPRs inner'!$A$2:$A$108, 0), MATCH('השוואת פקטורים'!O$6, טבלה2[[#Headers],[SPPR_1986]:[SPPR_symbolic_full_import_as_DC]], 0))
)</f>
        <v>1.3089494669525203E-2</v>
      </c>
      <c r="Q40" s="9">
        <f>IF($B$4="סהכ",
INDEX(טבלה1[[SPPR_1986]:[SPPR_symbolic_full_import_as_DC]], MATCH('השוואת פקטורים'!$B40, 'PPRs all'!$A$2:$A$108, 0), MATCH('השוואת פקטורים'!Q$6, טבלה1[[#Headers],[SPPR_1986]:[SPPR_symbolic_full_import_as_DC]], 0)) / INDEX(טבלה1[[SPPR_1986]:[SPPR_symbolic_full_import_as_DC]], MATCH('השוואת פקטורים'!$B40, 'PPRs all'!$A$2:$A$108, 0), MATCH('השוואת פקטורים'!P$6, טבלה1[[#Headers],[SPPR_1986]:[SPPR_symbolic_full_import_as_DC]], 0)),
INDEX(טבלה2[[SPPR_1986]:[SPPR_symbolic_full_import_as_DC]], MATCH('השוואת פקטורים'!$B40, 'PPRs inner'!$A$2:$A$108, 0), MATCH('השוואת פקטורים'!Q$6, טבלה2[[#Headers],[SPPR_1986]:[SPPR_symbolic_full_import_as_DC]], 0)) / INDEX(טבלה2[[SPPR_1986]:[SPPR_symbolic_full_import_as_DC]], MATCH('השוואת פקטורים'!$B40, 'PPRs inner'!$A$2:$A$108, 0), MATCH('השוואת פקטורים'!P$6, טבלה2[[#Headers],[SPPR_1986]:[SPPR_symbolic_full_import_as_DC]], 0))
)</f>
        <v>0.999999999999997</v>
      </c>
      <c r="R40" s="9">
        <f>IF($B$4="סהכ",
INDEX(טבלה1[[SPPR_1986]:[SPPR_symbolic_full_import_as_DC]], MATCH('השוואת פקטורים'!$B40, 'PPRs all'!$A$2:$A$108, 0), MATCH('השוואת פקטורים'!R$6, טבלה1[[#Headers],[SPPR_1986]:[SPPR_symbolic_full_import_as_DC]], 0)) / INDEX(טבלה1[[SPPR_1986]:[SPPR_symbolic_full_import_as_DC]], MATCH('השוואת פקטורים'!$B40, 'PPRs all'!$A$2:$A$108, 0), MATCH('השוואת פקטורים'!Q$6, טבלה1[[#Headers],[SPPR_1986]:[SPPR_symbolic_full_import_as_DC]], 0)),
INDEX(טבלה2[[SPPR_1986]:[SPPR_symbolic_full_import_as_DC]], MATCH('השוואת פקטורים'!$B40, 'PPRs inner'!$A$2:$A$108, 0), MATCH('השוואת פקטורים'!R$6, טבלה2[[#Headers],[SPPR_1986]:[SPPR_symbolic_full_import_as_DC]], 0)) / INDEX(טבלה2[[SPPR_1986]:[SPPR_symbolic_full_import_as_DC]], MATCH('השוואת פקטורים'!$B40, 'PPRs inner'!$A$2:$A$108, 0), MATCH('השוואת פקטורים'!Q$6, טבלה2[[#Headers],[SPPR_1986]:[SPPR_symbolic_full_import_as_DC]], 0))
)</f>
        <v>1</v>
      </c>
      <c r="S40" s="9">
        <f>IF($B$4="סהכ",
INDEX(טבלה1[[SPPR_1986]:[SPPR_symbolic_full_import_as_DC]], MATCH('השוואת פקטורים'!$B40, 'PPRs all'!$A$2:$A$108, 0), MATCH('השוואת פקטורים'!S$6, טבלה1[[#Headers],[SPPR_1986]:[SPPR_symbolic_full_import_as_DC]], 0)) / INDEX(טבלה1[[SPPR_1986]:[SPPR_symbolic_full_import_as_DC]], MATCH('השוואת פקטורים'!$B40, 'PPRs all'!$A$2:$A$108, 0), MATCH('השוואת פקטורים'!R$6, טבלה1[[#Headers],[SPPR_1986]:[SPPR_symbolic_full_import_as_DC]], 0)),
INDEX(טבלה2[[SPPR_1986]:[SPPR_symbolic_full_import_as_DC]], MATCH('השוואת פקטורים'!$B40, 'PPRs inner'!$A$2:$A$108, 0), MATCH('השוואת פקטורים'!S$6, טבלה2[[#Headers],[SPPR_1986]:[SPPR_symbolic_full_import_as_DC]], 0)) / INDEX(טבלה2[[SPPR_1986]:[SPPR_symbolic_full_import_as_DC]], MATCH('השוואת פקטורים'!$B40, 'PPRs inner'!$A$2:$A$108, 0), MATCH('השוואת פקטורים'!R$6, טבלה2[[#Headers],[SPPR_1986]:[SPPR_symbolic_full_import_as_DC]], 0))
)</f>
        <v>1</v>
      </c>
      <c r="T40" s="9">
        <f>IF($B$4="סהכ",
INDEX(טבלה1[[SPPR_1986]:[SPPR_symbolic_full_import_as_DC]], MATCH('השוואת פקטורים'!$B40, 'PPRs all'!$A$2:$A$108, 0), MATCH('השוואת פקטורים'!T$6, טבלה1[[#Headers],[SPPR_1986]:[SPPR_symbolic_full_import_as_DC]], 0)) / INDEX(טבלה1[[SPPR_1986]:[SPPR_symbolic_full_import_as_DC]], MATCH('השוואת פקטורים'!$B40, 'PPRs all'!$A$2:$A$108, 0), MATCH('השוואת פקטורים'!S$6, טבלה1[[#Headers],[SPPR_1986]:[SPPR_symbolic_full_import_as_DC]], 0)),
INDEX(טבלה2[[SPPR_1986]:[SPPR_symbolic_full_import_as_DC]], MATCH('השוואת פקטורים'!$B40, 'PPRs inner'!$A$2:$A$108, 0), MATCH('השוואת פקטורים'!T$6, טבלה2[[#Headers],[SPPR_1986]:[SPPR_symbolic_full_import_as_DC]], 0)) / INDEX(טבלה2[[SPPR_1986]:[SPPR_symbolic_full_import_as_DC]], MATCH('השוואת פקטורים'!$B40, 'PPRs inner'!$A$2:$A$108, 0), MATCH('השוואת פקטורים'!S$6, טבלה2[[#Headers],[SPPR_1986]:[SPPR_symbolic_full_import_as_DC]], 0))
)</f>
        <v>1</v>
      </c>
      <c r="U40" s="9">
        <f>IF($B$4="סהכ",
INDEX(טבלה1[[SPPR_1986]:[SPPR_symbolic_full_import_as_DC]], MATCH('השוואת פקטורים'!$B40, 'PPRs all'!$A$2:$A$108, 0), MATCH('השוואת פקטורים'!U$6, טבלה1[[#Headers],[SPPR_1986]:[SPPR_symbolic_full_import_as_DC]], 0)) / INDEX(טבלה1[[SPPR_1986]:[SPPR_symbolic_full_import_as_DC]], MATCH('השוואת פקטורים'!$B40, 'PPRs all'!$A$2:$A$108, 0), MATCH('השוואת פקטורים'!T$6, טבלה1[[#Headers],[SPPR_1986]:[SPPR_symbolic_full_import_as_DC]], 0)),
INDEX(טבלה2[[SPPR_1986]:[SPPR_symbolic_full_import_as_DC]], MATCH('השוואת פקטורים'!$B40, 'PPRs inner'!$A$2:$A$108, 0), MATCH('השוואת פקטורים'!U$6, טבלה2[[#Headers],[SPPR_1986]:[SPPR_symbolic_full_import_as_DC]], 0)) / INDEX(טבלה2[[SPPR_1986]:[SPPR_symbolic_full_import_as_DC]], MATCH('השוואת פקטורים'!$B40, 'PPRs inner'!$A$2:$A$108, 0), MATCH('השוואת פקטורים'!T$6, טבלה2[[#Headers],[SPPR_1986]:[SPPR_symbolic_full_import_as_DC]], 0))
)</f>
        <v>1.0000000000000031</v>
      </c>
      <c r="V40" s="9"/>
      <c r="W40" s="9"/>
      <c r="X40" s="14"/>
      <c r="Y40" s="14"/>
      <c r="Z40" s="15">
        <f t="shared" si="2"/>
        <v>0.2177784608481266</v>
      </c>
    </row>
    <row r="41" spans="2:26" x14ac:dyDescent="0.3">
      <c r="B41" s="6" t="s">
        <v>55</v>
      </c>
      <c r="C41" s="12" t="b">
        <v>1</v>
      </c>
      <c r="D41" s="12" t="b">
        <v>1</v>
      </c>
      <c r="E41" s="12" t="b">
        <v>1</v>
      </c>
      <c r="F41" s="12" t="b">
        <f t="shared" si="1"/>
        <v>1</v>
      </c>
      <c r="G41" s="7" t="b">
        <f>ABS(INDEX(טבלה5[[SPPR_1986]:[SPPR_symbolic_full_import_as_DC]],MATCH('השוואת פקטורים'!$B41,טבלה5[עמודה1],0),MATCH($C$4,טבלה5[[#Headers],[SPPR_1986]:[SPPR_symbolic_full_import_as_DC]],0))) &lt; 5</f>
        <v>1</v>
      </c>
      <c r="H41" s="7" t="b">
        <f>INDEX(טבלה3[[SPPR_1986]:[SPPR_symbolic_full_import_as_DC]],MATCH('השוואת פקטורים'!$B41,טבלה3[עמודה1],0),MATCH($C$4,טבלה3[[#Headers],[SPPR_1986]:[SPPR_symbolic_full_import_as_DC]],0))</f>
        <v>1</v>
      </c>
      <c r="I41" s="7" t="b">
        <f t="shared" si="3"/>
        <v>1</v>
      </c>
      <c r="J41" s="13"/>
      <c r="K41" s="9">
        <f>IF($B$4="סהכ",
INDEX(טבלה1[[SPPR_1986]:[SPPR_symbolic_full_import_as_DC]], MATCH('השוואת פקטורים'!$B41, 'PPRs all'!$A$2:$A$108, 0), MATCH('השוואת פקטורים'!K$6, טבלה1[[#Headers],[SPPR_1986]:[SPPR_symbolic_full_import_as_DC]], 0)) / INDEX(טבלה1[[SPPR_1986]:[SPPR_symbolic_full_import_as_DC]], MATCH('השוואת פקטורים'!$B41, 'PPRs all'!$A$2:$A$108, 0), MATCH('השוואת פקטורים'!J$6, טבלה1[[#Headers],[SPPR_1986]:[SPPR_symbolic_full_import_as_DC]], 0)),
INDEX(טבלה2[[SPPR_1986]:[SPPR_symbolic_full_import_as_DC]], MATCH('השוואת פקטורים'!$B41, 'PPRs inner'!$A$2:$A$108, 0), MATCH('השוואת פקטורים'!K$6, טבלה2[[#Headers],[SPPR_1986]:[SPPR_symbolic_full_import_as_DC]], 0)) / INDEX(טבלה2[[SPPR_1986]:[SPPR_symbolic_full_import_as_DC]], MATCH('השוואת פקטורים'!$B41, 'PPRs inner'!$A$2:$A$108, 0), MATCH('השוואת פקטורים'!J$6, טבלה2[[#Headers],[SPPR_1986]:[SPPR_symbolic_full_import_as_DC]], 0))
)</f>
        <v>0.12298341529064981</v>
      </c>
      <c r="L41" s="9">
        <f>IF($B$4="סהכ",
INDEX(טבלה1[[SPPR_1986]:[SPPR_symbolic_full_import_as_DC]], MATCH('השוואת פקטורים'!$B41, 'PPRs all'!$A$2:$A$108, 0), MATCH('השוואת פקטורים'!L$6, טבלה1[[#Headers],[SPPR_1986]:[SPPR_symbolic_full_import_as_DC]], 0)) / INDEX(טבלה1[[SPPR_1986]:[SPPR_symbolic_full_import_as_DC]], MATCH('השוואת פקטורים'!$B41, 'PPRs all'!$A$2:$A$108, 0), MATCH('השוואת פקטורים'!K$6, טבלה1[[#Headers],[SPPR_1986]:[SPPR_symbolic_full_import_as_DC]], 0)),
INDEX(טבלה2[[SPPR_1986]:[SPPR_symbolic_full_import_as_DC]], MATCH('השוואת פקטורים'!$B41, 'PPRs inner'!$A$2:$A$108, 0), MATCH('השוואת פקטורים'!L$6, טבלה2[[#Headers],[SPPR_1986]:[SPPR_symbolic_full_import_as_DC]], 0)) / INDEX(טבלה2[[SPPR_1986]:[SPPR_symbolic_full_import_as_DC]], MATCH('השוואת פקטורים'!$B41, 'PPRs inner'!$A$2:$A$108, 0), MATCH('השוואת פקטורים'!K$6, טבלה2[[#Headers],[SPPR_1986]:[SPPR_symbolic_full_import_as_DC]], 0))
)</f>
        <v>2.3379665307783091</v>
      </c>
      <c r="M41" s="9">
        <f>IF($B$4="סהכ",
INDEX(טבלה1[[SPPR_1986]:[SPPR_symbolic_full_import_as_DC]], MATCH('השוואת פקטורים'!$B41, 'PPRs all'!$A$2:$A$108, 0), MATCH('השוואת פקטורים'!M$6, טבלה1[[#Headers],[SPPR_1986]:[SPPR_symbolic_full_import_as_DC]], 0)) / INDEX(טבלה1[[SPPR_1986]:[SPPR_symbolic_full_import_as_DC]], MATCH('השוואת פקטורים'!$B41, 'PPRs all'!$A$2:$A$108, 0), MATCH('השוואת פקטורים'!L$6, טבלה1[[#Headers],[SPPR_1986]:[SPPR_symbolic_full_import_as_DC]], 0)),
INDEX(טבלה2[[SPPR_1986]:[SPPR_symbolic_full_import_as_DC]], MATCH('השוואת פקטורים'!$B41, 'PPRs inner'!$A$2:$A$108, 0), MATCH('השוואת פקטורים'!M$6, טבלה2[[#Headers],[SPPR_1986]:[SPPR_symbolic_full_import_as_DC]], 0)) / INDEX(טבלה2[[SPPR_1986]:[SPPR_symbolic_full_import_as_DC]], MATCH('השוואת פקטורים'!$B41, 'PPRs inner'!$A$2:$A$108, 0), MATCH('השוואת פקטורים'!L$6, טבלה2[[#Headers],[SPPR_1986]:[SPPR_symbolic_full_import_as_DC]], 0))
)</f>
        <v>10.519401378443149</v>
      </c>
      <c r="N41" s="9">
        <f>IF($B$4="סהכ",
INDEX(טבלה1[[SPPR_1986]:[SPPR_symbolic_full_import_as_DC]], MATCH('השוואת פקטורים'!$B41, 'PPRs all'!$A$2:$A$108, 0), MATCH('השוואת פקטורים'!N$6, טבלה1[[#Headers],[SPPR_1986]:[SPPR_symbolic_full_import_as_DC]], 0)) / INDEX(טבלה1[[SPPR_1986]:[SPPR_symbolic_full_import_as_DC]], MATCH('השוואת פקטורים'!$B41, 'PPRs all'!$A$2:$A$108, 0), MATCH('השוואת פקטורים'!M$6, טבלה1[[#Headers],[SPPR_1986]:[SPPR_symbolic_full_import_as_DC]], 0)),
INDEX(טבלה2[[SPPR_1986]:[SPPR_symbolic_full_import_as_DC]], MATCH('השוואת פקטורים'!$B41, 'PPRs inner'!$A$2:$A$108, 0), MATCH('השוואת פקטורים'!N$6, טבלה2[[#Headers],[SPPR_1986]:[SPPR_symbolic_full_import_as_DC]], 0)) / INDEX(טבלה2[[SPPR_1986]:[SPPR_symbolic_full_import_as_DC]], MATCH('השוואת פקטורים'!$B41, 'PPRs inner'!$A$2:$A$108, 0), MATCH('השוואת פקטורים'!M$6, טבלה2[[#Headers],[SPPR_1986]:[SPPR_symbolic_full_import_as_DC]], 0))
)</f>
        <v>5.006763255798278</v>
      </c>
      <c r="O41" s="9">
        <f>IF($B$4="סהכ",
INDEX(טבלה1[[SPPR_1986]:[SPPR_symbolic_full_import_as_DC]], MATCH('השוואת פקטורים'!$B41, 'PPRs all'!$A$2:$A$108, 0), MATCH('השוואת פקטורים'!O$6, טבלה1[[#Headers],[SPPR_1986]:[SPPR_symbolic_full_import_as_DC]], 0)) / INDEX(טבלה1[[SPPR_1986]:[SPPR_symbolic_full_import_as_DC]], MATCH('השוואת פקטורים'!$B41, 'PPRs all'!$A$2:$A$108, 0), MATCH('השוואת פקטורים'!N$6, טבלה1[[#Headers],[SPPR_1986]:[SPPR_symbolic_full_import_as_DC]], 0)),
INDEX(טבלה2[[SPPR_1986]:[SPPR_symbolic_full_import_as_DC]], MATCH('השוואת פקטורים'!$B41, 'PPRs inner'!$A$2:$A$108, 0), MATCH('השוואת פקטורים'!O$6, טבלה2[[#Headers],[SPPR_1986]:[SPPR_symbolic_full_import_as_DC]], 0)) / INDEX(טבלה2[[SPPR_1986]:[SPPR_symbolic_full_import_as_DC]], MATCH('השוואת פקטורים'!$B41, 'PPRs inner'!$A$2:$A$108, 0), MATCH('השוואת פקטורים'!N$6, טבלה2[[#Headers],[SPPR_1986]:[SPPR_symbolic_full_import_as_DC]], 0))
)</f>
        <v>0.99999999999991107</v>
      </c>
      <c r="P41" s="9">
        <f>IF($B$4="סהכ",
INDEX(טבלה1[[SPPR_1986]:[SPPR_symbolic_full_import_as_DC]], MATCH('השוואת פקטורים'!$B41, 'PPRs all'!$A$2:$A$108, 0), MATCH('השוואת פקטורים'!P$6, טבלה1[[#Headers],[SPPR_1986]:[SPPR_symbolic_full_import_as_DC]], 0)) / INDEX(טבלה1[[SPPR_1986]:[SPPR_symbolic_full_import_as_DC]], MATCH('השוואת פקטורים'!$B41, 'PPRs all'!$A$2:$A$108, 0), MATCH('השוואת פקטורים'!O$6, טבלה1[[#Headers],[SPPR_1986]:[SPPR_symbolic_full_import_as_DC]], 0)),
INDEX(טבלה2[[SPPR_1986]:[SPPR_symbolic_full_import_as_DC]], MATCH('השוואת פקטורים'!$B41, 'PPRs inner'!$A$2:$A$108, 0), MATCH('השוואת פקטורים'!P$6, טבלה2[[#Headers],[SPPR_1986]:[SPPR_symbolic_full_import_as_DC]], 0)) / INDEX(טבלה2[[SPPR_1986]:[SPPR_symbolic_full_import_as_DC]], MATCH('השוואת פקטורים'!$B41, 'PPRs inner'!$A$2:$A$108, 0), MATCH('השוואת פקטורים'!O$6, טבלה2[[#Headers],[SPPR_1986]:[SPPR_symbolic_full_import_as_DC]], 0))
)</f>
        <v>0.24661833345259501</v>
      </c>
      <c r="Q41" s="9">
        <f>IF($B$4="סהכ",
INDEX(טבלה1[[SPPR_1986]:[SPPR_symbolic_full_import_as_DC]], MATCH('השוואת פקטורים'!$B41, 'PPRs all'!$A$2:$A$108, 0), MATCH('השוואת פקטורים'!Q$6, טבלה1[[#Headers],[SPPR_1986]:[SPPR_symbolic_full_import_as_DC]], 0)) / INDEX(טבלה1[[SPPR_1986]:[SPPR_symbolic_full_import_as_DC]], MATCH('השוואת פקטורים'!$B41, 'PPRs all'!$A$2:$A$108, 0), MATCH('השוואת פקטורים'!P$6, טבלה1[[#Headers],[SPPR_1986]:[SPPR_symbolic_full_import_as_DC]], 0)),
INDEX(טבלה2[[SPPR_1986]:[SPPR_symbolic_full_import_as_DC]], MATCH('השוואת פקטורים'!$B41, 'PPRs inner'!$A$2:$A$108, 0), MATCH('השוואת פקטורים'!Q$6, טבלה2[[#Headers],[SPPR_1986]:[SPPR_symbolic_full_import_as_DC]], 0)) / INDEX(טבלה2[[SPPR_1986]:[SPPR_symbolic_full_import_as_DC]], MATCH('השוואת פקטורים'!$B41, 'PPRs inner'!$A$2:$A$108, 0), MATCH('השוואת פקטורים'!P$6, טבלה2[[#Headers],[SPPR_1986]:[SPPR_symbolic_full_import_as_DC]], 0))
)</f>
        <v>0.99999999999999689</v>
      </c>
      <c r="R41" s="9">
        <f>IF($B$4="סהכ",
INDEX(טבלה1[[SPPR_1986]:[SPPR_symbolic_full_import_as_DC]], MATCH('השוואת פקטורים'!$B41, 'PPRs all'!$A$2:$A$108, 0), MATCH('השוואת פקטורים'!R$6, טבלה1[[#Headers],[SPPR_1986]:[SPPR_symbolic_full_import_as_DC]], 0)) / INDEX(טבלה1[[SPPR_1986]:[SPPR_symbolic_full_import_as_DC]], MATCH('השוואת פקטורים'!$B41, 'PPRs all'!$A$2:$A$108, 0), MATCH('השוואת פקטורים'!Q$6, טבלה1[[#Headers],[SPPR_1986]:[SPPR_symbolic_full_import_as_DC]], 0)),
INDEX(טבלה2[[SPPR_1986]:[SPPR_symbolic_full_import_as_DC]], MATCH('השוואת פקטורים'!$B41, 'PPRs inner'!$A$2:$A$108, 0), MATCH('השוואת פקטורים'!R$6, טבלה2[[#Headers],[SPPR_1986]:[SPPR_symbolic_full_import_as_DC]], 0)) / INDEX(טבלה2[[SPPR_1986]:[SPPR_symbolic_full_import_as_DC]], MATCH('השוואת פקטורים'!$B41, 'PPRs inner'!$A$2:$A$108, 0), MATCH('השוואת פקטורים'!Q$6, טבלה2[[#Headers],[SPPR_1986]:[SPPR_symbolic_full_import_as_DC]], 0))
)</f>
        <v>1</v>
      </c>
      <c r="S41" s="9">
        <f>IF($B$4="סהכ",
INDEX(טבלה1[[SPPR_1986]:[SPPR_symbolic_full_import_as_DC]], MATCH('השוואת פקטורים'!$B41, 'PPRs all'!$A$2:$A$108, 0), MATCH('השוואת פקטורים'!S$6, טבלה1[[#Headers],[SPPR_1986]:[SPPR_symbolic_full_import_as_DC]], 0)) / INDEX(טבלה1[[SPPR_1986]:[SPPR_symbolic_full_import_as_DC]], MATCH('השוואת פקטורים'!$B41, 'PPRs all'!$A$2:$A$108, 0), MATCH('השוואת פקטורים'!R$6, טבלה1[[#Headers],[SPPR_1986]:[SPPR_symbolic_full_import_as_DC]], 0)),
INDEX(טבלה2[[SPPR_1986]:[SPPR_symbolic_full_import_as_DC]], MATCH('השוואת פקטורים'!$B41, 'PPRs inner'!$A$2:$A$108, 0), MATCH('השוואת פקטורים'!S$6, טבלה2[[#Headers],[SPPR_1986]:[SPPR_symbolic_full_import_as_DC]], 0)) / INDEX(טבלה2[[SPPR_1986]:[SPPR_symbolic_full_import_as_DC]], MATCH('השוואת פקטורים'!$B41, 'PPRs inner'!$A$2:$A$108, 0), MATCH('השוואת פקטורים'!R$6, טבלה2[[#Headers],[SPPR_1986]:[SPPR_symbolic_full_import_as_DC]], 0))
)</f>
        <v>1</v>
      </c>
      <c r="T41" s="9">
        <f>IF($B$4="סהכ",
INDEX(טבלה1[[SPPR_1986]:[SPPR_symbolic_full_import_as_DC]], MATCH('השוואת פקטורים'!$B41, 'PPRs all'!$A$2:$A$108, 0), MATCH('השוואת פקטורים'!T$6, טבלה1[[#Headers],[SPPR_1986]:[SPPR_symbolic_full_import_as_DC]], 0)) / INDEX(טבלה1[[SPPR_1986]:[SPPR_symbolic_full_import_as_DC]], MATCH('השוואת פקטורים'!$B41, 'PPRs all'!$A$2:$A$108, 0), MATCH('השוואת פקטורים'!S$6, טבלה1[[#Headers],[SPPR_1986]:[SPPR_symbolic_full_import_as_DC]], 0)),
INDEX(טבלה2[[SPPR_1986]:[SPPR_symbolic_full_import_as_DC]], MATCH('השוואת פקטורים'!$B41, 'PPRs inner'!$A$2:$A$108, 0), MATCH('השוואת פקטורים'!T$6, טבלה2[[#Headers],[SPPR_1986]:[SPPR_symbolic_full_import_as_DC]], 0)) / INDEX(טבלה2[[SPPR_1986]:[SPPR_symbolic_full_import_as_DC]], MATCH('השוואת פקטורים'!$B41, 'PPRs inner'!$A$2:$A$108, 0), MATCH('השוואת פקטורים'!S$6, טבלה2[[#Headers],[SPPR_1986]:[SPPR_symbolic_full_import_as_DC]], 0))
)</f>
        <v>1</v>
      </c>
      <c r="U41" s="9">
        <f>IF($B$4="סהכ",
INDEX(טבלה1[[SPPR_1986]:[SPPR_symbolic_full_import_as_DC]], MATCH('השוואת פקטורים'!$B41, 'PPRs all'!$A$2:$A$108, 0), MATCH('השוואת פקטורים'!U$6, טבלה1[[#Headers],[SPPR_1986]:[SPPR_symbolic_full_import_as_DC]], 0)) / INDEX(טבלה1[[SPPR_1986]:[SPPR_symbolic_full_import_as_DC]], MATCH('השוואת פקטורים'!$B41, 'PPRs all'!$A$2:$A$108, 0), MATCH('השוואת פקטורים'!T$6, טבלה1[[#Headers],[SPPR_1986]:[SPPR_symbolic_full_import_as_DC]], 0)),
INDEX(טבלה2[[SPPR_1986]:[SPPR_symbolic_full_import_as_DC]], MATCH('השוואת פקטורים'!$B41, 'PPRs inner'!$A$2:$A$108, 0), MATCH('השוואת פקטורים'!U$6, טבלה2[[#Headers],[SPPR_1986]:[SPPR_symbolic_full_import_as_DC]], 0)) / INDEX(טבלה2[[SPPR_1986]:[SPPR_symbolic_full_import_as_DC]], MATCH('השוואת פקטורים'!$B41, 'PPRs inner'!$A$2:$A$108, 0), MATCH('השוואת פקטורים'!T$6, טבלה2[[#Headers],[SPPR_1986]:[SPPR_symbolic_full_import_as_DC]], 0))
)</f>
        <v>1.0000000000000031</v>
      </c>
      <c r="V41" s="9"/>
      <c r="W41" s="9"/>
      <c r="X41" s="14"/>
      <c r="Y41" s="14"/>
      <c r="Z41" s="15">
        <f t="shared" si="2"/>
        <v>3.734722004124178</v>
      </c>
    </row>
    <row r="42" spans="2:26" x14ac:dyDescent="0.3">
      <c r="B42" s="6" t="s">
        <v>56</v>
      </c>
      <c r="C42" s="12" t="b">
        <v>1</v>
      </c>
      <c r="D42" s="12" t="b">
        <v>1</v>
      </c>
      <c r="E42" s="12" t="b">
        <v>1</v>
      </c>
      <c r="F42" s="12" t="b">
        <f t="shared" si="1"/>
        <v>1</v>
      </c>
      <c r="G42" s="7" t="b">
        <f>ABS(INDEX(טבלה5[[SPPR_1986]:[SPPR_symbolic_full_import_as_DC]],MATCH('השוואת פקטורים'!$B42,טבלה5[עמודה1],0),MATCH($C$4,טבלה5[[#Headers],[SPPR_1986]:[SPPR_symbolic_full_import_as_DC]],0))) &lt; 5</f>
        <v>1</v>
      </c>
      <c r="H42" s="7" t="b">
        <f>INDEX(טבלה3[[SPPR_1986]:[SPPR_symbolic_full_import_as_DC]],MATCH('השוואת פקטורים'!$B42,טבלה3[עמודה1],0),MATCH($C$4,טבלה3[[#Headers],[SPPR_1986]:[SPPR_symbolic_full_import_as_DC]],0))</f>
        <v>1</v>
      </c>
      <c r="I42" s="7" t="b">
        <f t="shared" si="3"/>
        <v>1</v>
      </c>
      <c r="J42" s="13"/>
      <c r="K42" s="9">
        <f>IF($B$4="סהכ",
INDEX(טבלה1[[SPPR_1986]:[SPPR_symbolic_full_import_as_DC]], MATCH('השוואת פקטורים'!$B42, 'PPRs all'!$A$2:$A$108, 0), MATCH('השוואת פקטורים'!K$6, טבלה1[[#Headers],[SPPR_1986]:[SPPR_symbolic_full_import_as_DC]], 0)) / INDEX(טבלה1[[SPPR_1986]:[SPPR_symbolic_full_import_as_DC]], MATCH('השוואת פקטורים'!$B42, 'PPRs all'!$A$2:$A$108, 0), MATCH('השוואת פקטורים'!J$6, טבלה1[[#Headers],[SPPR_1986]:[SPPR_symbolic_full_import_as_DC]], 0)),
INDEX(טבלה2[[SPPR_1986]:[SPPR_symbolic_full_import_as_DC]], MATCH('השוואת פקטורים'!$B42, 'PPRs inner'!$A$2:$A$108, 0), MATCH('השוואת פקטורים'!K$6, טבלה2[[#Headers],[SPPR_1986]:[SPPR_symbolic_full_import_as_DC]], 0)) / INDEX(טבלה2[[SPPR_1986]:[SPPR_symbolic_full_import_as_DC]], MATCH('השוואת פקטורים'!$B42, 'PPRs inner'!$A$2:$A$108, 0), MATCH('השוואת פקטורים'!J$6, טבלה2[[#Headers],[SPPR_1986]:[SPPR_symbolic_full_import_as_DC]], 0))
)</f>
        <v>0.14206677912782689</v>
      </c>
      <c r="L42" s="9">
        <f>IF($B$4="סהכ",
INDEX(טבלה1[[SPPR_1986]:[SPPR_symbolic_full_import_as_DC]], MATCH('השוואת פקטורים'!$B42, 'PPRs all'!$A$2:$A$108, 0), MATCH('השוואת פקטורים'!L$6, טבלה1[[#Headers],[SPPR_1986]:[SPPR_symbolic_full_import_as_DC]], 0)) / INDEX(טבלה1[[SPPR_1986]:[SPPR_symbolic_full_import_as_DC]], MATCH('השוואת פקטורים'!$B42, 'PPRs all'!$A$2:$A$108, 0), MATCH('השוואת פקטורים'!K$6, טבלה1[[#Headers],[SPPR_1986]:[SPPR_symbolic_full_import_as_DC]], 0)),
INDEX(טבלה2[[SPPR_1986]:[SPPR_symbolic_full_import_as_DC]], MATCH('השוואת פקטורים'!$B42, 'PPRs inner'!$A$2:$A$108, 0), MATCH('השוואת פקטורים'!L$6, טבלה2[[#Headers],[SPPR_1986]:[SPPR_symbolic_full_import_as_DC]], 0)) / INDEX(טבלה2[[SPPR_1986]:[SPPR_symbolic_full_import_as_DC]], MATCH('השוואת פקטורים'!$B42, 'PPRs inner'!$A$2:$A$108, 0), MATCH('השוואת פקטורים'!K$6, טבלה2[[#Headers],[SPPR_1986]:[SPPR_symbolic_full_import_as_DC]], 0))
)</f>
        <v>1.6677820047945209</v>
      </c>
      <c r="M42" s="9">
        <f>IF($B$4="סהכ",
INDEX(טבלה1[[SPPR_1986]:[SPPR_symbolic_full_import_as_DC]], MATCH('השוואת פקטורים'!$B42, 'PPRs all'!$A$2:$A$108, 0), MATCH('השוואת פקטורים'!M$6, טבלה1[[#Headers],[SPPR_1986]:[SPPR_symbolic_full_import_as_DC]], 0)) / INDEX(טבלה1[[SPPR_1986]:[SPPR_symbolic_full_import_as_DC]], MATCH('השוואת פקטורים'!$B42, 'PPRs all'!$A$2:$A$108, 0), MATCH('השוואת פקטורים'!L$6, טבלה1[[#Headers],[SPPR_1986]:[SPPR_symbolic_full_import_as_DC]], 0)),
INDEX(טבלה2[[SPPR_1986]:[SPPR_symbolic_full_import_as_DC]], MATCH('השוואת פקטורים'!$B42, 'PPRs inner'!$A$2:$A$108, 0), MATCH('השוואת פקטורים'!M$6, טבלה2[[#Headers],[SPPR_1986]:[SPPR_symbolic_full_import_as_DC]], 0)) / INDEX(טבלה2[[SPPR_1986]:[SPPR_symbolic_full_import_as_DC]], MATCH('השוואת פקטורים'!$B42, 'PPRs inner'!$A$2:$A$108, 0), MATCH('השוואת פקטורים'!L$6, טבלה2[[#Headers],[SPPR_1986]:[SPPR_symbolic_full_import_as_DC]], 0))
)</f>
        <v>4.623930166477491</v>
      </c>
      <c r="N42" s="9">
        <f>IF($B$4="סהכ",
INDEX(טבלה1[[SPPR_1986]:[SPPR_symbolic_full_import_as_DC]], MATCH('השוואת פקטורים'!$B42, 'PPRs all'!$A$2:$A$108, 0), MATCH('השוואת פקטורים'!N$6, טבלה1[[#Headers],[SPPR_1986]:[SPPR_symbolic_full_import_as_DC]], 0)) / INDEX(טבלה1[[SPPR_1986]:[SPPR_symbolic_full_import_as_DC]], MATCH('השוואת פקטורים'!$B42, 'PPRs all'!$A$2:$A$108, 0), MATCH('השוואת פקטורים'!M$6, טבלה1[[#Headers],[SPPR_1986]:[SPPR_symbolic_full_import_as_DC]], 0)),
INDEX(טבלה2[[SPPR_1986]:[SPPR_symbolic_full_import_as_DC]], MATCH('השוואת פקטורים'!$B42, 'PPRs inner'!$A$2:$A$108, 0), MATCH('השוואת פקטורים'!N$6, טבלה2[[#Headers],[SPPR_1986]:[SPPR_symbolic_full_import_as_DC]], 0)) / INDEX(טבלה2[[SPPR_1986]:[SPPR_symbolic_full_import_as_DC]], MATCH('השוואת פקטורים'!$B42, 'PPRs inner'!$A$2:$A$108, 0), MATCH('השוואת פקטורים'!M$6, טבלה2[[#Headers],[SPPR_1986]:[SPPR_symbolic_full_import_as_DC]], 0))
)</f>
        <v>0.78384308375672185</v>
      </c>
      <c r="O42" s="9">
        <f>IF($B$4="סהכ",
INDEX(טבלה1[[SPPR_1986]:[SPPR_symbolic_full_import_as_DC]], MATCH('השוואת פקטורים'!$B42, 'PPRs all'!$A$2:$A$108, 0), MATCH('השוואת פקטורים'!O$6, טבלה1[[#Headers],[SPPR_1986]:[SPPR_symbolic_full_import_as_DC]], 0)) / INDEX(טבלה1[[SPPR_1986]:[SPPR_symbolic_full_import_as_DC]], MATCH('השוואת פקטורים'!$B42, 'PPRs all'!$A$2:$A$108, 0), MATCH('השוואת פקטורים'!N$6, טבלה1[[#Headers],[SPPR_1986]:[SPPR_symbolic_full_import_as_DC]], 0)),
INDEX(טבלה2[[SPPR_1986]:[SPPR_symbolic_full_import_as_DC]], MATCH('השוואת פקטורים'!$B42, 'PPRs inner'!$A$2:$A$108, 0), MATCH('השוואת פקטורים'!O$6, טבלה2[[#Headers],[SPPR_1986]:[SPPR_symbolic_full_import_as_DC]], 0)) / INDEX(טבלה2[[SPPR_1986]:[SPPR_symbolic_full_import_as_DC]], MATCH('השוואת פקטורים'!$B42, 'PPRs inner'!$A$2:$A$108, 0), MATCH('השוואת פקטורים'!N$6, טבלה2[[#Headers],[SPPR_1986]:[SPPR_symbolic_full_import_as_DC]], 0))
)</f>
        <v>1.0000000000000016</v>
      </c>
      <c r="P42" s="9">
        <f>IF($B$4="סהכ",
INDEX(טבלה1[[SPPR_1986]:[SPPR_symbolic_full_import_as_DC]], MATCH('השוואת פקטורים'!$B42, 'PPRs all'!$A$2:$A$108, 0), MATCH('השוואת פקטורים'!P$6, טבלה1[[#Headers],[SPPR_1986]:[SPPR_symbolic_full_import_as_DC]], 0)) / INDEX(טבלה1[[SPPR_1986]:[SPPR_symbolic_full_import_as_DC]], MATCH('השוואת פקטורים'!$B42, 'PPRs all'!$A$2:$A$108, 0), MATCH('השוואת פקטורים'!O$6, טבלה1[[#Headers],[SPPR_1986]:[SPPR_symbolic_full_import_as_DC]], 0)),
INDEX(טבלה2[[SPPR_1986]:[SPPR_symbolic_full_import_as_DC]], MATCH('השוואת פקטורים'!$B42, 'PPRs inner'!$A$2:$A$108, 0), MATCH('השוואת פקטורים'!P$6, טבלה2[[#Headers],[SPPR_1986]:[SPPR_symbolic_full_import_as_DC]], 0)) / INDEX(טבלה2[[SPPR_1986]:[SPPR_symbolic_full_import_as_DC]], MATCH('השוואת פקטורים'!$B42, 'PPRs inner'!$A$2:$A$108, 0), MATCH('השוואת פקטורים'!O$6, טבלה2[[#Headers],[SPPR_1986]:[SPPR_symbolic_full_import_as_DC]], 0))
)</f>
        <v>0.98194652514484915</v>
      </c>
      <c r="Q42" s="9">
        <f>IF($B$4="סהכ",
INDEX(טבלה1[[SPPR_1986]:[SPPR_symbolic_full_import_as_DC]], MATCH('השוואת פקטורים'!$B42, 'PPRs all'!$A$2:$A$108, 0), MATCH('השוואת פקטורים'!Q$6, טבלה1[[#Headers],[SPPR_1986]:[SPPR_symbolic_full_import_as_DC]], 0)) / INDEX(טבלה1[[SPPR_1986]:[SPPR_symbolic_full_import_as_DC]], MATCH('השוואת פקטורים'!$B42, 'PPRs all'!$A$2:$A$108, 0), MATCH('השוואת פקטורים'!P$6, טבלה1[[#Headers],[SPPR_1986]:[SPPR_symbolic_full_import_as_DC]], 0)),
INDEX(טבלה2[[SPPR_1986]:[SPPR_symbolic_full_import_as_DC]], MATCH('השוואת פקטורים'!$B42, 'PPRs inner'!$A$2:$A$108, 0), MATCH('השוואת פקטורים'!Q$6, טבלה2[[#Headers],[SPPR_1986]:[SPPR_symbolic_full_import_as_DC]], 0)) / INDEX(טבלה2[[SPPR_1986]:[SPPR_symbolic_full_import_as_DC]], MATCH('השוואת פקטורים'!$B42, 'PPRs inner'!$A$2:$A$108, 0), MATCH('השוואת פקטורים'!P$6, טבלה2[[#Headers],[SPPR_1986]:[SPPR_symbolic_full_import_as_DC]], 0))
)</f>
        <v>1.0000000000000018</v>
      </c>
      <c r="R42" s="9">
        <f>IF($B$4="סהכ",
INDEX(טבלה1[[SPPR_1986]:[SPPR_symbolic_full_import_as_DC]], MATCH('השוואת פקטורים'!$B42, 'PPRs all'!$A$2:$A$108, 0), MATCH('השוואת פקטורים'!R$6, טבלה1[[#Headers],[SPPR_1986]:[SPPR_symbolic_full_import_as_DC]], 0)) / INDEX(טבלה1[[SPPR_1986]:[SPPR_symbolic_full_import_as_DC]], MATCH('השוואת פקטורים'!$B42, 'PPRs all'!$A$2:$A$108, 0), MATCH('השוואת פקטורים'!Q$6, טבלה1[[#Headers],[SPPR_1986]:[SPPR_symbolic_full_import_as_DC]], 0)),
INDEX(טבלה2[[SPPR_1986]:[SPPR_symbolic_full_import_as_DC]], MATCH('השוואת פקטורים'!$B42, 'PPRs inner'!$A$2:$A$108, 0), MATCH('השוואת פקטורים'!R$6, טבלה2[[#Headers],[SPPR_1986]:[SPPR_symbolic_full_import_as_DC]], 0)) / INDEX(טבלה2[[SPPR_1986]:[SPPR_symbolic_full_import_as_DC]], MATCH('השוואת פקטורים'!$B42, 'PPRs inner'!$A$2:$A$108, 0), MATCH('השוואת פקטורים'!Q$6, טבלה2[[#Headers],[SPPR_1986]:[SPPR_symbolic_full_import_as_DC]], 0))
)</f>
        <v>1</v>
      </c>
      <c r="S42" s="9">
        <f>IF($B$4="סהכ",
INDEX(טבלה1[[SPPR_1986]:[SPPR_symbolic_full_import_as_DC]], MATCH('השוואת פקטורים'!$B42, 'PPRs all'!$A$2:$A$108, 0), MATCH('השוואת פקטורים'!S$6, טבלה1[[#Headers],[SPPR_1986]:[SPPR_symbolic_full_import_as_DC]], 0)) / INDEX(טבלה1[[SPPR_1986]:[SPPR_symbolic_full_import_as_DC]], MATCH('השוואת פקטורים'!$B42, 'PPRs all'!$A$2:$A$108, 0), MATCH('השוואת פקטורים'!R$6, טבלה1[[#Headers],[SPPR_1986]:[SPPR_symbolic_full_import_as_DC]], 0)),
INDEX(טבלה2[[SPPR_1986]:[SPPR_symbolic_full_import_as_DC]], MATCH('השוואת פקטורים'!$B42, 'PPRs inner'!$A$2:$A$108, 0), MATCH('השוואת פקטורים'!S$6, טבלה2[[#Headers],[SPPR_1986]:[SPPR_symbolic_full_import_as_DC]], 0)) / INDEX(טבלה2[[SPPR_1986]:[SPPR_symbolic_full_import_as_DC]], MATCH('השוואת פקטורים'!$B42, 'PPRs inner'!$A$2:$A$108, 0), MATCH('השוואת פקטורים'!R$6, טבלה2[[#Headers],[SPPR_1986]:[SPPR_symbolic_full_import_as_DC]], 0))
)</f>
        <v>1</v>
      </c>
      <c r="T42" s="9">
        <f>IF($B$4="סהכ",
INDEX(טבלה1[[SPPR_1986]:[SPPR_symbolic_full_import_as_DC]], MATCH('השוואת פקטורים'!$B42, 'PPRs all'!$A$2:$A$108, 0), MATCH('השוואת פקטורים'!T$6, טבלה1[[#Headers],[SPPR_1986]:[SPPR_symbolic_full_import_as_DC]], 0)) / INDEX(טבלה1[[SPPR_1986]:[SPPR_symbolic_full_import_as_DC]], MATCH('השוואת פקטורים'!$B42, 'PPRs all'!$A$2:$A$108, 0), MATCH('השוואת פקטורים'!S$6, טבלה1[[#Headers],[SPPR_1986]:[SPPR_symbolic_full_import_as_DC]], 0)),
INDEX(טבלה2[[SPPR_1986]:[SPPR_symbolic_full_import_as_DC]], MATCH('השוואת פקטורים'!$B42, 'PPRs inner'!$A$2:$A$108, 0), MATCH('השוואת פקטורים'!T$6, טבלה2[[#Headers],[SPPR_1986]:[SPPR_symbolic_full_import_as_DC]], 0)) / INDEX(טבלה2[[SPPR_1986]:[SPPR_symbolic_full_import_as_DC]], MATCH('השוואת פקטורים'!$B42, 'PPRs inner'!$A$2:$A$108, 0), MATCH('השוואת פקטורים'!S$6, טבלה2[[#Headers],[SPPR_1986]:[SPPR_symbolic_full_import_as_DC]], 0))
)</f>
        <v>1</v>
      </c>
      <c r="U42" s="9">
        <f>IF($B$4="סהכ",
INDEX(טבלה1[[SPPR_1986]:[SPPR_symbolic_full_import_as_DC]], MATCH('השוואת פקטורים'!$B42, 'PPRs all'!$A$2:$A$108, 0), MATCH('השוואת פקטורים'!U$6, טבלה1[[#Headers],[SPPR_1986]:[SPPR_symbolic_full_import_as_DC]], 0)) / INDEX(טבלה1[[SPPR_1986]:[SPPR_symbolic_full_import_as_DC]], MATCH('השוואת פקטורים'!$B42, 'PPRs all'!$A$2:$A$108, 0), MATCH('השוואת פקטורים'!T$6, טבלה1[[#Headers],[SPPR_1986]:[SPPR_symbolic_full_import_as_DC]], 0)),
INDEX(טבלה2[[SPPR_1986]:[SPPR_symbolic_full_import_as_DC]], MATCH('השוואת פקטורים'!$B42, 'PPRs inner'!$A$2:$A$108, 0), MATCH('השוואת פקטורים'!U$6, טבלה2[[#Headers],[SPPR_1986]:[SPPR_symbolic_full_import_as_DC]], 0)) / INDEX(טבלה2[[SPPR_1986]:[SPPR_symbolic_full_import_as_DC]], MATCH('השוואת פקטורים'!$B42, 'PPRs inner'!$A$2:$A$108, 0), MATCH('השוואת פקטורים'!T$6, טבלה2[[#Headers],[SPPR_1986]:[SPPR_symbolic_full_import_as_DC]], 0))
)</f>
        <v>0.99999999999999833</v>
      </c>
      <c r="V42" s="9"/>
      <c r="W42" s="9"/>
      <c r="X42" s="14"/>
      <c r="Y42" s="14"/>
      <c r="Z42" s="15">
        <f t="shared" si="2"/>
        <v>0.84325718979071729</v>
      </c>
    </row>
    <row r="43" spans="2:26" x14ac:dyDescent="0.3">
      <c r="B43" s="6" t="s">
        <v>57</v>
      </c>
      <c r="C43" s="12" t="b">
        <v>1</v>
      </c>
      <c r="D43" s="12" t="b">
        <v>1</v>
      </c>
      <c r="E43" s="12" t="b">
        <v>1</v>
      </c>
      <c r="F43" s="12" t="b">
        <f t="shared" si="1"/>
        <v>1</v>
      </c>
      <c r="G43" s="7" t="b">
        <f>ABS(INDEX(טבלה5[[SPPR_1986]:[SPPR_symbolic_full_import_as_DC]],MATCH('השוואת פקטורים'!$B43,טבלה5[עמודה1],0),MATCH($C$4,טבלה5[[#Headers],[SPPR_1986]:[SPPR_symbolic_full_import_as_DC]],0))) &lt; 5</f>
        <v>1</v>
      </c>
      <c r="H43" s="7" t="b">
        <f>INDEX(טבלה3[[SPPR_1986]:[SPPR_symbolic_full_import_as_DC]],MATCH('השוואת פקטורים'!$B43,טבלה3[עמודה1],0),MATCH($C$4,טבלה3[[#Headers],[SPPR_1986]:[SPPR_symbolic_full_import_as_DC]],0))</f>
        <v>1</v>
      </c>
      <c r="I43" s="7" t="b">
        <f t="shared" si="3"/>
        <v>1</v>
      </c>
      <c r="J43" s="13"/>
      <c r="K43" s="9">
        <f>IF($B$4="סהכ",
INDEX(טבלה1[[SPPR_1986]:[SPPR_symbolic_full_import_as_DC]], MATCH('השוואת פקטורים'!$B43, 'PPRs all'!$A$2:$A$108, 0), MATCH('השוואת פקטורים'!K$6, טבלה1[[#Headers],[SPPR_1986]:[SPPR_symbolic_full_import_as_DC]], 0)) / INDEX(טבלה1[[SPPR_1986]:[SPPR_symbolic_full_import_as_DC]], MATCH('השוואת פקטורים'!$B43, 'PPRs all'!$A$2:$A$108, 0), MATCH('השוואת פקטורים'!J$6, טבלה1[[#Headers],[SPPR_1986]:[SPPR_symbolic_full_import_as_DC]], 0)),
INDEX(טבלה2[[SPPR_1986]:[SPPR_symbolic_full_import_as_DC]], MATCH('השוואת פקטורים'!$B43, 'PPRs inner'!$A$2:$A$108, 0), MATCH('השוואת פקטורים'!K$6, טבלה2[[#Headers],[SPPR_1986]:[SPPR_symbolic_full_import_as_DC]], 0)) / INDEX(טבלה2[[SPPR_1986]:[SPPR_symbolic_full_import_as_DC]], MATCH('השוואת פקטורים'!$B43, 'PPRs inner'!$A$2:$A$108, 0), MATCH('השוואת פקטורים'!J$6, טבלה2[[#Headers],[SPPR_1986]:[SPPR_symbolic_full_import_as_DC]], 0))
)</f>
        <v>0.53969526137257462</v>
      </c>
      <c r="L43" s="9">
        <f>IF($B$4="סהכ",
INDEX(טבלה1[[SPPR_1986]:[SPPR_symbolic_full_import_as_DC]], MATCH('השוואת פקטורים'!$B43, 'PPRs all'!$A$2:$A$108, 0), MATCH('השוואת פקטורים'!L$6, טבלה1[[#Headers],[SPPR_1986]:[SPPR_symbolic_full_import_as_DC]], 0)) / INDEX(טבלה1[[SPPR_1986]:[SPPR_symbolic_full_import_as_DC]], MATCH('השוואת פקטורים'!$B43, 'PPRs all'!$A$2:$A$108, 0), MATCH('השוואת פקטורים'!K$6, טבלה1[[#Headers],[SPPR_1986]:[SPPR_symbolic_full_import_as_DC]], 0)),
INDEX(טבלה2[[SPPR_1986]:[SPPR_symbolic_full_import_as_DC]], MATCH('השוואת פקטורים'!$B43, 'PPRs inner'!$A$2:$A$108, 0), MATCH('השוואת פקטורים'!L$6, טבלה2[[#Headers],[SPPR_1986]:[SPPR_symbolic_full_import_as_DC]], 0)) / INDEX(טבלה2[[SPPR_1986]:[SPPR_symbolic_full_import_as_DC]], MATCH('השוואת פקטורים'!$B43, 'PPRs inner'!$A$2:$A$108, 0), MATCH('השוואת פקטורים'!K$6, טבלה2[[#Headers],[SPPR_1986]:[SPPR_symbolic_full_import_as_DC]], 0))
)</f>
        <v>1.7298702719893213</v>
      </c>
      <c r="M43" s="9">
        <f>IF($B$4="סהכ",
INDEX(טבלה1[[SPPR_1986]:[SPPR_symbolic_full_import_as_DC]], MATCH('השוואת פקטורים'!$B43, 'PPRs all'!$A$2:$A$108, 0), MATCH('השוואת פקטורים'!M$6, טבלה1[[#Headers],[SPPR_1986]:[SPPR_symbolic_full_import_as_DC]], 0)) / INDEX(טבלה1[[SPPR_1986]:[SPPR_symbolic_full_import_as_DC]], MATCH('השוואת פקטורים'!$B43, 'PPRs all'!$A$2:$A$108, 0), MATCH('השוואת פקטורים'!L$6, טבלה1[[#Headers],[SPPR_1986]:[SPPR_symbolic_full_import_as_DC]], 0)),
INDEX(טבלה2[[SPPR_1986]:[SPPR_symbolic_full_import_as_DC]], MATCH('השוואת פקטורים'!$B43, 'PPRs inner'!$A$2:$A$108, 0), MATCH('השוואת פקטורים'!M$6, טבלה2[[#Headers],[SPPR_1986]:[SPPR_symbolic_full_import_as_DC]], 0)) / INDEX(טבלה2[[SPPR_1986]:[SPPR_symbolic_full_import_as_DC]], MATCH('השוואת פקטורים'!$B43, 'PPRs inner'!$A$2:$A$108, 0), MATCH('השוואת פקטורים'!L$6, טבלה2[[#Headers],[SPPR_1986]:[SPPR_symbolic_full_import_as_DC]], 0))
)</f>
        <v>1.9825534781635561</v>
      </c>
      <c r="N43" s="9">
        <f>IF($B$4="סהכ",
INDEX(טבלה1[[SPPR_1986]:[SPPR_symbolic_full_import_as_DC]], MATCH('השוואת פקטורים'!$B43, 'PPRs all'!$A$2:$A$108, 0), MATCH('השוואת פקטורים'!N$6, טבלה1[[#Headers],[SPPR_1986]:[SPPR_symbolic_full_import_as_DC]], 0)) / INDEX(טבלה1[[SPPR_1986]:[SPPR_symbolic_full_import_as_DC]], MATCH('השוואת פקטורים'!$B43, 'PPRs all'!$A$2:$A$108, 0), MATCH('השוואת פקטורים'!M$6, טבלה1[[#Headers],[SPPR_1986]:[SPPR_symbolic_full_import_as_DC]], 0)),
INDEX(טבלה2[[SPPR_1986]:[SPPR_symbolic_full_import_as_DC]], MATCH('השוואת פקטורים'!$B43, 'PPRs inner'!$A$2:$A$108, 0), MATCH('השוואת פקטורים'!N$6, טבלה2[[#Headers],[SPPR_1986]:[SPPR_symbolic_full_import_as_DC]], 0)) / INDEX(טבלה2[[SPPR_1986]:[SPPR_symbolic_full_import_as_DC]], MATCH('השוואת פקטורים'!$B43, 'PPRs inner'!$A$2:$A$108, 0), MATCH('השוואת פקטורים'!M$6, טבלה2[[#Headers],[SPPR_1986]:[SPPR_symbolic_full_import_as_DC]], 0))
)</f>
        <v>2.8915701223736869</v>
      </c>
      <c r="O43" s="9">
        <f>IF($B$4="סהכ",
INDEX(טבלה1[[SPPR_1986]:[SPPR_symbolic_full_import_as_DC]], MATCH('השוואת פקטורים'!$B43, 'PPRs all'!$A$2:$A$108, 0), MATCH('השוואת פקטורים'!O$6, טבלה1[[#Headers],[SPPR_1986]:[SPPR_symbolic_full_import_as_DC]], 0)) / INDEX(טבלה1[[SPPR_1986]:[SPPR_symbolic_full_import_as_DC]], MATCH('השוואת פקטורים'!$B43, 'PPRs all'!$A$2:$A$108, 0), MATCH('השוואת פקטורים'!N$6, טבלה1[[#Headers],[SPPR_1986]:[SPPR_symbolic_full_import_as_DC]], 0)),
INDEX(טבלה2[[SPPR_1986]:[SPPR_symbolic_full_import_as_DC]], MATCH('השוואת פקטורים'!$B43, 'PPRs inner'!$A$2:$A$108, 0), MATCH('השוואת פקטורים'!O$6, טבלה2[[#Headers],[SPPR_1986]:[SPPR_symbolic_full_import_as_DC]], 0)) / INDEX(טבלה2[[SPPR_1986]:[SPPR_symbolic_full_import_as_DC]], MATCH('השוואת פקטורים'!$B43, 'PPRs inner'!$A$2:$A$108, 0), MATCH('השוואת פקטורים'!N$6, טבלה2[[#Headers],[SPPR_1986]:[SPPR_symbolic_full_import_as_DC]], 0))
)</f>
        <v>1.0000000000000007</v>
      </c>
      <c r="P43" s="9">
        <f>IF($B$4="סהכ",
INDEX(טבלה1[[SPPR_1986]:[SPPR_symbolic_full_import_as_DC]], MATCH('השוואת פקטורים'!$B43, 'PPRs all'!$A$2:$A$108, 0), MATCH('השוואת פקטורים'!P$6, טבלה1[[#Headers],[SPPR_1986]:[SPPR_symbolic_full_import_as_DC]], 0)) / INDEX(טבלה1[[SPPR_1986]:[SPPR_symbolic_full_import_as_DC]], MATCH('השוואת פקטורים'!$B43, 'PPRs all'!$A$2:$A$108, 0), MATCH('השוואת פקטורים'!O$6, טבלה1[[#Headers],[SPPR_1986]:[SPPR_symbolic_full_import_as_DC]], 0)),
INDEX(טבלה2[[SPPR_1986]:[SPPR_symbolic_full_import_as_DC]], MATCH('השוואת פקטורים'!$B43, 'PPRs inner'!$A$2:$A$108, 0), MATCH('השוואת פקטורים'!P$6, טבלה2[[#Headers],[SPPR_1986]:[SPPR_symbolic_full_import_as_DC]], 0)) / INDEX(טבלה2[[SPPR_1986]:[SPPR_symbolic_full_import_as_DC]], MATCH('השוואת פקטורים'!$B43, 'PPRs inner'!$A$2:$A$108, 0), MATCH('השוואת פקטורים'!O$6, טבלה2[[#Headers],[SPPR_1986]:[SPPR_symbolic_full_import_as_DC]], 0))
)</f>
        <v>0.69020182471149705</v>
      </c>
      <c r="Q43" s="9">
        <f>IF($B$4="סהכ",
INDEX(טבלה1[[SPPR_1986]:[SPPR_symbolic_full_import_as_DC]], MATCH('השוואת פקטורים'!$B43, 'PPRs all'!$A$2:$A$108, 0), MATCH('השוואת פקטורים'!Q$6, טבלה1[[#Headers],[SPPR_1986]:[SPPR_symbolic_full_import_as_DC]], 0)) / INDEX(טבלה1[[SPPR_1986]:[SPPR_symbolic_full_import_as_DC]], MATCH('השוואת פקטורים'!$B43, 'PPRs all'!$A$2:$A$108, 0), MATCH('השוואת פקטורים'!P$6, טבלה1[[#Headers],[SPPR_1986]:[SPPR_symbolic_full_import_as_DC]], 0)),
INDEX(טבלה2[[SPPR_1986]:[SPPR_symbolic_full_import_as_DC]], MATCH('השוואת פקטורים'!$B43, 'PPRs inner'!$A$2:$A$108, 0), MATCH('השוואת פקטורים'!Q$6, טבלה2[[#Headers],[SPPR_1986]:[SPPR_symbolic_full_import_as_DC]], 0)) / INDEX(טבלה2[[SPPR_1986]:[SPPR_symbolic_full_import_as_DC]], MATCH('השוואת פקטורים'!$B43, 'PPRs inner'!$A$2:$A$108, 0), MATCH('השוואת פקטורים'!P$6, טבלה2[[#Headers],[SPPR_1986]:[SPPR_symbolic_full_import_as_DC]], 0))
)</f>
        <v>1</v>
      </c>
      <c r="R43" s="9">
        <f>IF($B$4="סהכ",
INDEX(טבלה1[[SPPR_1986]:[SPPR_symbolic_full_import_as_DC]], MATCH('השוואת פקטורים'!$B43, 'PPRs all'!$A$2:$A$108, 0), MATCH('השוואת פקטורים'!R$6, טבלה1[[#Headers],[SPPR_1986]:[SPPR_symbolic_full_import_as_DC]], 0)) / INDEX(טבלה1[[SPPR_1986]:[SPPR_symbolic_full_import_as_DC]], MATCH('השוואת פקטורים'!$B43, 'PPRs all'!$A$2:$A$108, 0), MATCH('השוואת פקטורים'!Q$6, טבלה1[[#Headers],[SPPR_1986]:[SPPR_symbolic_full_import_as_DC]], 0)),
INDEX(טבלה2[[SPPR_1986]:[SPPR_symbolic_full_import_as_DC]], MATCH('השוואת פקטורים'!$B43, 'PPRs inner'!$A$2:$A$108, 0), MATCH('השוואת פקטורים'!R$6, טבלה2[[#Headers],[SPPR_1986]:[SPPR_symbolic_full_import_as_DC]], 0)) / INDEX(טבלה2[[SPPR_1986]:[SPPR_symbolic_full_import_as_DC]], MATCH('השוואת פקטורים'!$B43, 'PPRs inner'!$A$2:$A$108, 0), MATCH('השוואת פקטורים'!Q$6, טבלה2[[#Headers],[SPPR_1986]:[SPPR_symbolic_full_import_as_DC]], 0))
)</f>
        <v>1</v>
      </c>
      <c r="S43" s="9">
        <f>IF($B$4="סהכ",
INDEX(טבלה1[[SPPR_1986]:[SPPR_symbolic_full_import_as_DC]], MATCH('השוואת פקטורים'!$B43, 'PPRs all'!$A$2:$A$108, 0), MATCH('השוואת פקטורים'!S$6, טבלה1[[#Headers],[SPPR_1986]:[SPPR_symbolic_full_import_as_DC]], 0)) / INDEX(טבלה1[[SPPR_1986]:[SPPR_symbolic_full_import_as_DC]], MATCH('השוואת פקטורים'!$B43, 'PPRs all'!$A$2:$A$108, 0), MATCH('השוואת פקטורים'!R$6, טבלה1[[#Headers],[SPPR_1986]:[SPPR_symbolic_full_import_as_DC]], 0)),
INDEX(טבלה2[[SPPR_1986]:[SPPR_symbolic_full_import_as_DC]], MATCH('השוואת פקטורים'!$B43, 'PPRs inner'!$A$2:$A$108, 0), MATCH('השוואת פקטורים'!S$6, טבלה2[[#Headers],[SPPR_1986]:[SPPR_symbolic_full_import_as_DC]], 0)) / INDEX(טבלה2[[SPPR_1986]:[SPPR_symbolic_full_import_as_DC]], MATCH('השוואת פקטורים'!$B43, 'PPRs inner'!$A$2:$A$108, 0), MATCH('השוואת פקטורים'!R$6, טבלה2[[#Headers],[SPPR_1986]:[SPPR_symbolic_full_import_as_DC]], 0))
)</f>
        <v>1</v>
      </c>
      <c r="T43" s="9">
        <f>IF($B$4="סהכ",
INDEX(טבלה1[[SPPR_1986]:[SPPR_symbolic_full_import_as_DC]], MATCH('השוואת פקטורים'!$B43, 'PPRs all'!$A$2:$A$108, 0), MATCH('השוואת פקטורים'!T$6, טבלה1[[#Headers],[SPPR_1986]:[SPPR_symbolic_full_import_as_DC]], 0)) / INDEX(טבלה1[[SPPR_1986]:[SPPR_symbolic_full_import_as_DC]], MATCH('השוואת פקטורים'!$B43, 'PPRs all'!$A$2:$A$108, 0), MATCH('השוואת פקטורים'!S$6, טבלה1[[#Headers],[SPPR_1986]:[SPPR_symbolic_full_import_as_DC]], 0)),
INDEX(טבלה2[[SPPR_1986]:[SPPR_symbolic_full_import_as_DC]], MATCH('השוואת פקטורים'!$B43, 'PPRs inner'!$A$2:$A$108, 0), MATCH('השוואת פקטורים'!T$6, טבלה2[[#Headers],[SPPR_1986]:[SPPR_symbolic_full_import_as_DC]], 0)) / INDEX(טבלה2[[SPPR_1986]:[SPPR_symbolic_full_import_as_DC]], MATCH('השוואת פקטורים'!$B43, 'PPRs inner'!$A$2:$A$108, 0), MATCH('השוואת פקטורים'!S$6, טבלה2[[#Headers],[SPPR_1986]:[SPPR_symbolic_full_import_as_DC]], 0))
)</f>
        <v>1</v>
      </c>
      <c r="U43" s="9">
        <f>IF($B$4="סהכ",
INDEX(טבלה1[[SPPR_1986]:[SPPR_symbolic_full_import_as_DC]], MATCH('השוואת פקטורים'!$B43, 'PPRs all'!$A$2:$A$108, 0), MATCH('השוואת פקטורים'!U$6, טבלה1[[#Headers],[SPPR_1986]:[SPPR_symbolic_full_import_as_DC]], 0)) / INDEX(טבלה1[[SPPR_1986]:[SPPR_symbolic_full_import_as_DC]], MATCH('השוואת פקטורים'!$B43, 'PPRs all'!$A$2:$A$108, 0), MATCH('השוואת פקטורים'!T$6, טבלה1[[#Headers],[SPPR_1986]:[SPPR_symbolic_full_import_as_DC]], 0)),
INDEX(טבלה2[[SPPR_1986]:[SPPR_symbolic_full_import_as_DC]], MATCH('השוואת פקטורים'!$B43, 'PPRs inner'!$A$2:$A$108, 0), MATCH('השוואת פקטורים'!U$6, טבלה2[[#Headers],[SPPR_1986]:[SPPR_symbolic_full_import_as_DC]], 0)) / INDEX(טבלה2[[SPPR_1986]:[SPPR_symbolic_full_import_as_DC]], MATCH('השוואת פקטורים'!$B43, 'PPRs inner'!$A$2:$A$108, 0), MATCH('השוואת פקטורים'!T$6, טבלה2[[#Headers],[SPPR_1986]:[SPPR_symbolic_full_import_as_DC]], 0))
)</f>
        <v>1</v>
      </c>
      <c r="V43" s="9"/>
      <c r="W43" s="9"/>
      <c r="X43" s="14"/>
      <c r="Y43" s="14"/>
      <c r="Z43" s="15">
        <f t="shared" si="2"/>
        <v>3.6939999311149125</v>
      </c>
    </row>
    <row r="44" spans="2:26" x14ac:dyDescent="0.3">
      <c r="B44" s="6" t="s">
        <v>58</v>
      </c>
      <c r="C44" s="12" t="b">
        <v>1</v>
      </c>
      <c r="D44" s="12" t="b">
        <v>1</v>
      </c>
      <c r="E44" s="12" t="b">
        <v>1</v>
      </c>
      <c r="F44" s="12" t="b">
        <f t="shared" si="1"/>
        <v>1</v>
      </c>
      <c r="G44" s="7" t="b">
        <f>ABS(INDEX(טבלה5[[SPPR_1986]:[SPPR_symbolic_full_import_as_DC]],MATCH('השוואת פקטורים'!$B44,טבלה5[עמודה1],0),MATCH($C$4,טבלה5[[#Headers],[SPPR_1986]:[SPPR_symbolic_full_import_as_DC]],0))) &lt; 5</f>
        <v>1</v>
      </c>
      <c r="H44" s="7" t="b">
        <f>INDEX(טבלה3[[SPPR_1986]:[SPPR_symbolic_full_import_as_DC]],MATCH('השוואת פקטורים'!$B44,טבלה3[עמודה1],0),MATCH($C$4,טבלה3[[#Headers],[SPPR_1986]:[SPPR_symbolic_full_import_as_DC]],0))</f>
        <v>1</v>
      </c>
      <c r="I44" s="7" t="b">
        <f t="shared" si="3"/>
        <v>1</v>
      </c>
      <c r="J44" s="13"/>
      <c r="K44" s="9">
        <f>IF($B$4="סהכ",
INDEX(טבלה1[[SPPR_1986]:[SPPR_symbolic_full_import_as_DC]], MATCH('השוואת פקטורים'!$B44, 'PPRs all'!$A$2:$A$108, 0), MATCH('השוואת פקטורים'!K$6, טבלה1[[#Headers],[SPPR_1986]:[SPPR_symbolic_full_import_as_DC]], 0)) / INDEX(טבלה1[[SPPR_1986]:[SPPR_symbolic_full_import_as_DC]], MATCH('השוואת פקטורים'!$B44, 'PPRs all'!$A$2:$A$108, 0), MATCH('השוואת פקטורים'!J$6, טבלה1[[#Headers],[SPPR_1986]:[SPPR_symbolic_full_import_as_DC]], 0)),
INDEX(טבלה2[[SPPR_1986]:[SPPR_symbolic_full_import_as_DC]], MATCH('השוואת פקטורים'!$B44, 'PPRs inner'!$A$2:$A$108, 0), MATCH('השוואת פקטורים'!K$6, טבלה2[[#Headers],[SPPR_1986]:[SPPR_symbolic_full_import_as_DC]], 0)) / INDEX(טבלה2[[SPPR_1986]:[SPPR_symbolic_full_import_as_DC]], MATCH('השוואת פקטורים'!$B44, 'PPRs inner'!$A$2:$A$108, 0), MATCH('השוואת פקטורים'!J$6, טבלה2[[#Headers],[SPPR_1986]:[SPPR_symbolic_full_import_as_DC]], 0))
)</f>
        <v>0.10367002020321379</v>
      </c>
      <c r="L44" s="9">
        <f>IF($B$4="סהכ",
INDEX(טבלה1[[SPPR_1986]:[SPPR_symbolic_full_import_as_DC]], MATCH('השוואת פקטורים'!$B44, 'PPRs all'!$A$2:$A$108, 0), MATCH('השוואת פקטורים'!L$6, טבלה1[[#Headers],[SPPR_1986]:[SPPR_symbolic_full_import_as_DC]], 0)) / INDEX(טבלה1[[SPPR_1986]:[SPPR_symbolic_full_import_as_DC]], MATCH('השוואת פקטורים'!$B44, 'PPRs all'!$A$2:$A$108, 0), MATCH('השוואת פקטורים'!K$6, טבלה1[[#Headers],[SPPR_1986]:[SPPR_symbolic_full_import_as_DC]], 0)),
INDEX(טבלה2[[SPPR_1986]:[SPPR_symbolic_full_import_as_DC]], MATCH('השוואת פקטורים'!$B44, 'PPRs inner'!$A$2:$A$108, 0), MATCH('השוואת פקטורים'!L$6, טבלה2[[#Headers],[SPPR_1986]:[SPPR_symbolic_full_import_as_DC]], 0)) / INDEX(טבלה2[[SPPR_1986]:[SPPR_symbolic_full_import_as_DC]], MATCH('השוואת פקטורים'!$B44, 'PPRs inner'!$A$2:$A$108, 0), MATCH('השוואת פקטורים'!K$6, טבלה2[[#Headers],[SPPR_1986]:[SPPR_symbolic_full_import_as_DC]], 0))
)</f>
        <v>1.1928613513477453</v>
      </c>
      <c r="M44" s="9">
        <f>IF($B$4="סהכ",
INDEX(טבלה1[[SPPR_1986]:[SPPR_symbolic_full_import_as_DC]], MATCH('השוואת פקטורים'!$B44, 'PPRs all'!$A$2:$A$108, 0), MATCH('השוואת פקטורים'!M$6, טבלה1[[#Headers],[SPPR_1986]:[SPPR_symbolic_full_import_as_DC]], 0)) / INDEX(טבלה1[[SPPR_1986]:[SPPR_symbolic_full_import_as_DC]], MATCH('השוואת פקטורים'!$B44, 'PPRs all'!$A$2:$A$108, 0), MATCH('השוואת פקטורים'!L$6, טבלה1[[#Headers],[SPPR_1986]:[SPPR_symbolic_full_import_as_DC]], 0)),
INDEX(טבלה2[[SPPR_1986]:[SPPR_symbolic_full_import_as_DC]], MATCH('השוואת פקטורים'!$B44, 'PPRs inner'!$A$2:$A$108, 0), MATCH('השוואת פקטורים'!M$6, טבלה2[[#Headers],[SPPR_1986]:[SPPR_symbolic_full_import_as_DC]], 0)) / INDEX(טבלה2[[SPPR_1986]:[SPPR_symbolic_full_import_as_DC]], MATCH('השוואת פקטורים'!$B44, 'PPRs inner'!$A$2:$A$108, 0), MATCH('השוואת פקטורים'!L$6, טבלה2[[#Headers],[SPPR_1986]:[SPPR_symbolic_full_import_as_DC]], 0))
)</f>
        <v>9.5325590389835941</v>
      </c>
      <c r="N44" s="9">
        <f>IF($B$4="סהכ",
INDEX(טבלה1[[SPPR_1986]:[SPPR_symbolic_full_import_as_DC]], MATCH('השוואת פקטורים'!$B44, 'PPRs all'!$A$2:$A$108, 0), MATCH('השוואת פקטורים'!N$6, טבלה1[[#Headers],[SPPR_1986]:[SPPR_symbolic_full_import_as_DC]], 0)) / INDEX(טבלה1[[SPPR_1986]:[SPPR_symbolic_full_import_as_DC]], MATCH('השוואת פקטורים'!$B44, 'PPRs all'!$A$2:$A$108, 0), MATCH('השוואת פקטורים'!M$6, טבלה1[[#Headers],[SPPR_1986]:[SPPR_symbolic_full_import_as_DC]], 0)),
INDEX(טבלה2[[SPPR_1986]:[SPPR_symbolic_full_import_as_DC]], MATCH('השוואת פקטורים'!$B44, 'PPRs inner'!$A$2:$A$108, 0), MATCH('השוואת פקטורים'!N$6, טבלה2[[#Headers],[SPPR_1986]:[SPPR_symbolic_full_import_as_DC]], 0)) / INDEX(טבלה2[[SPPR_1986]:[SPPR_symbolic_full_import_as_DC]], MATCH('השוואת פקטורים'!$B44, 'PPRs inner'!$A$2:$A$108, 0), MATCH('השוואת פקטורים'!M$6, טבלה2[[#Headers],[SPPR_1986]:[SPPR_symbolic_full_import_as_DC]], 0))
)</f>
        <v>1.3456139648588925</v>
      </c>
      <c r="O44" s="9">
        <f>IF($B$4="סהכ",
INDEX(טבלה1[[SPPR_1986]:[SPPR_symbolic_full_import_as_DC]], MATCH('השוואת פקטורים'!$B44, 'PPRs all'!$A$2:$A$108, 0), MATCH('השוואת פקטורים'!O$6, טבלה1[[#Headers],[SPPR_1986]:[SPPR_symbolic_full_import_as_DC]], 0)) / INDEX(טבלה1[[SPPR_1986]:[SPPR_symbolic_full_import_as_DC]], MATCH('השוואת פקטורים'!$B44, 'PPRs all'!$A$2:$A$108, 0), MATCH('השוואת פקטורים'!N$6, טבלה1[[#Headers],[SPPR_1986]:[SPPR_symbolic_full_import_as_DC]], 0)),
INDEX(טבלה2[[SPPR_1986]:[SPPR_symbolic_full_import_as_DC]], MATCH('השוואת פקטורים'!$B44, 'PPRs inner'!$A$2:$A$108, 0), MATCH('השוואת פקטורים'!O$6, טבלה2[[#Headers],[SPPR_1986]:[SPPR_symbolic_full_import_as_DC]], 0)) / INDEX(טבלה2[[SPPR_1986]:[SPPR_symbolic_full_import_as_DC]], MATCH('השוואת פקטורים'!$B44, 'PPRs inner'!$A$2:$A$108, 0), MATCH('השוואת פקטורים'!N$6, טבלה2[[#Headers],[SPPR_1986]:[SPPR_symbolic_full_import_as_DC]], 0))
)</f>
        <v>1.0000000000000007</v>
      </c>
      <c r="P44" s="9">
        <f>IF($B$4="סהכ",
INDEX(טבלה1[[SPPR_1986]:[SPPR_symbolic_full_import_as_DC]], MATCH('השוואת פקטורים'!$B44, 'PPRs all'!$A$2:$A$108, 0), MATCH('השוואת פקטורים'!P$6, טבלה1[[#Headers],[SPPR_1986]:[SPPR_symbolic_full_import_as_DC]], 0)) / INDEX(טבלה1[[SPPR_1986]:[SPPR_symbolic_full_import_as_DC]], MATCH('השוואת פקטורים'!$B44, 'PPRs all'!$A$2:$A$108, 0), MATCH('השוואת פקטורים'!O$6, טבלה1[[#Headers],[SPPR_1986]:[SPPR_symbolic_full_import_as_DC]], 0)),
INDEX(טבלה2[[SPPR_1986]:[SPPR_symbolic_full_import_as_DC]], MATCH('השוואת פקטורים'!$B44, 'PPRs inner'!$A$2:$A$108, 0), MATCH('השוואת פקטורים'!P$6, טבלה2[[#Headers],[SPPR_1986]:[SPPR_symbolic_full_import_as_DC]], 0)) / INDEX(טבלה2[[SPPR_1986]:[SPPR_symbolic_full_import_as_DC]], MATCH('השוואת פקטורים'!$B44, 'PPRs inner'!$A$2:$A$108, 0), MATCH('השוואת פקטורים'!O$6, טבלה2[[#Headers],[SPPR_1986]:[SPPR_symbolic_full_import_as_DC]], 0))
)</f>
        <v>0.40493329750485041</v>
      </c>
      <c r="Q44" s="9">
        <f>IF($B$4="סהכ",
INDEX(טבלה1[[SPPR_1986]:[SPPR_symbolic_full_import_as_DC]], MATCH('השוואת פקטורים'!$B44, 'PPRs all'!$A$2:$A$108, 0), MATCH('השוואת פקטורים'!Q$6, טבלה1[[#Headers],[SPPR_1986]:[SPPR_symbolic_full_import_as_DC]], 0)) / INDEX(טבלה1[[SPPR_1986]:[SPPR_symbolic_full_import_as_DC]], MATCH('השוואת פקטורים'!$B44, 'PPRs all'!$A$2:$A$108, 0), MATCH('השוואת פקטורים'!P$6, טבלה1[[#Headers],[SPPR_1986]:[SPPR_symbolic_full_import_as_DC]], 0)),
INDEX(טבלה2[[SPPR_1986]:[SPPR_symbolic_full_import_as_DC]], MATCH('השוואת פקטורים'!$B44, 'PPRs inner'!$A$2:$A$108, 0), MATCH('השוואת פקטורים'!Q$6, טבלה2[[#Headers],[SPPR_1986]:[SPPR_symbolic_full_import_as_DC]], 0)) / INDEX(טבלה2[[SPPR_1986]:[SPPR_symbolic_full_import_as_DC]], MATCH('השוואת פקטורים'!$B44, 'PPRs inner'!$A$2:$A$108, 0), MATCH('השוואת פקטורים'!P$6, טבלה2[[#Headers],[SPPR_1986]:[SPPR_symbolic_full_import_as_DC]], 0))
)</f>
        <v>1</v>
      </c>
      <c r="R44" s="9">
        <f>IF($B$4="סהכ",
INDEX(טבלה1[[SPPR_1986]:[SPPR_symbolic_full_import_as_DC]], MATCH('השוואת פקטורים'!$B44, 'PPRs all'!$A$2:$A$108, 0), MATCH('השוואת פקטורים'!R$6, טבלה1[[#Headers],[SPPR_1986]:[SPPR_symbolic_full_import_as_DC]], 0)) / INDEX(טבלה1[[SPPR_1986]:[SPPR_symbolic_full_import_as_DC]], MATCH('השוואת פקטורים'!$B44, 'PPRs all'!$A$2:$A$108, 0), MATCH('השוואת פקטורים'!Q$6, טבלה1[[#Headers],[SPPR_1986]:[SPPR_symbolic_full_import_as_DC]], 0)),
INDEX(טבלה2[[SPPR_1986]:[SPPR_symbolic_full_import_as_DC]], MATCH('השוואת פקטורים'!$B44, 'PPRs inner'!$A$2:$A$108, 0), MATCH('השוואת פקטורים'!R$6, טבלה2[[#Headers],[SPPR_1986]:[SPPR_symbolic_full_import_as_DC]], 0)) / INDEX(טבלה2[[SPPR_1986]:[SPPR_symbolic_full_import_as_DC]], MATCH('השוואת פקטורים'!$B44, 'PPRs inner'!$A$2:$A$108, 0), MATCH('השוואת פקטורים'!Q$6, טבלה2[[#Headers],[SPPR_1986]:[SPPR_symbolic_full_import_as_DC]], 0))
)</f>
        <v>1</v>
      </c>
      <c r="S44" s="9">
        <f>IF($B$4="סהכ",
INDEX(טבלה1[[SPPR_1986]:[SPPR_symbolic_full_import_as_DC]], MATCH('השוואת פקטורים'!$B44, 'PPRs all'!$A$2:$A$108, 0), MATCH('השוואת פקטורים'!S$6, טבלה1[[#Headers],[SPPR_1986]:[SPPR_symbolic_full_import_as_DC]], 0)) / INDEX(טבלה1[[SPPR_1986]:[SPPR_symbolic_full_import_as_DC]], MATCH('השוואת פקטורים'!$B44, 'PPRs all'!$A$2:$A$108, 0), MATCH('השוואת פקטורים'!R$6, טבלה1[[#Headers],[SPPR_1986]:[SPPR_symbolic_full_import_as_DC]], 0)),
INDEX(טבלה2[[SPPR_1986]:[SPPR_symbolic_full_import_as_DC]], MATCH('השוואת פקטורים'!$B44, 'PPRs inner'!$A$2:$A$108, 0), MATCH('השוואת פקטורים'!S$6, טבלה2[[#Headers],[SPPR_1986]:[SPPR_symbolic_full_import_as_DC]], 0)) / INDEX(טבלה2[[SPPR_1986]:[SPPR_symbolic_full_import_as_DC]], MATCH('השוואת פקטורים'!$B44, 'PPRs inner'!$A$2:$A$108, 0), MATCH('השוואת פקטורים'!R$6, טבלה2[[#Headers],[SPPR_1986]:[SPPR_symbolic_full_import_as_DC]], 0))
)</f>
        <v>1</v>
      </c>
      <c r="T44" s="9">
        <f>IF($B$4="סהכ",
INDEX(טבלה1[[SPPR_1986]:[SPPR_symbolic_full_import_as_DC]], MATCH('השוואת פקטורים'!$B44, 'PPRs all'!$A$2:$A$108, 0), MATCH('השוואת פקטורים'!T$6, טבלה1[[#Headers],[SPPR_1986]:[SPPR_symbolic_full_import_as_DC]], 0)) / INDEX(טבלה1[[SPPR_1986]:[SPPR_symbolic_full_import_as_DC]], MATCH('השוואת פקטורים'!$B44, 'PPRs all'!$A$2:$A$108, 0), MATCH('השוואת פקטורים'!S$6, טבלה1[[#Headers],[SPPR_1986]:[SPPR_symbolic_full_import_as_DC]], 0)),
INDEX(טבלה2[[SPPR_1986]:[SPPR_symbolic_full_import_as_DC]], MATCH('השוואת פקטורים'!$B44, 'PPRs inner'!$A$2:$A$108, 0), MATCH('השוואת פקטורים'!T$6, טבלה2[[#Headers],[SPPR_1986]:[SPPR_symbolic_full_import_as_DC]], 0)) / INDEX(טבלה2[[SPPR_1986]:[SPPR_symbolic_full_import_as_DC]], MATCH('השוואת פקטורים'!$B44, 'PPRs inner'!$A$2:$A$108, 0), MATCH('השוואת פקטורים'!S$6, טבלה2[[#Headers],[SPPR_1986]:[SPPR_symbolic_full_import_as_DC]], 0))
)</f>
        <v>1</v>
      </c>
      <c r="U44" s="9">
        <f>IF($B$4="סהכ",
INDEX(טבלה1[[SPPR_1986]:[SPPR_symbolic_full_import_as_DC]], MATCH('השוואת פקטורים'!$B44, 'PPRs all'!$A$2:$A$108, 0), MATCH('השוואת פקטורים'!U$6, טבלה1[[#Headers],[SPPR_1986]:[SPPR_symbolic_full_import_as_DC]], 0)) / INDEX(טבלה1[[SPPR_1986]:[SPPR_symbolic_full_import_as_DC]], MATCH('השוואת פקטורים'!$B44, 'PPRs all'!$A$2:$A$108, 0), MATCH('השוואת פקטורים'!T$6, טבלה1[[#Headers],[SPPR_1986]:[SPPR_symbolic_full_import_as_DC]], 0)),
INDEX(טבלה2[[SPPR_1986]:[SPPR_symbolic_full_import_as_DC]], MATCH('השוואת פקטורים'!$B44, 'PPRs inner'!$A$2:$A$108, 0), MATCH('השוואת פקטורים'!U$6, טבלה2[[#Headers],[SPPR_1986]:[SPPR_symbolic_full_import_as_DC]], 0)) / INDEX(טבלה2[[SPPR_1986]:[SPPR_symbolic_full_import_as_DC]], MATCH('השוואת פקטורים'!$B44, 'PPRs inner'!$A$2:$A$108, 0), MATCH('השוואת פקטורים'!T$6, טבלה2[[#Headers],[SPPR_1986]:[SPPR_symbolic_full_import_as_DC]], 0))
)</f>
        <v>1</v>
      </c>
      <c r="V44" s="9"/>
      <c r="W44" s="9"/>
      <c r="X44" s="14"/>
      <c r="Y44" s="14"/>
      <c r="Z44" s="15">
        <f t="shared" si="2"/>
        <v>0.64232766920340656</v>
      </c>
    </row>
    <row r="45" spans="2:26" x14ac:dyDescent="0.3">
      <c r="B45" s="6" t="s">
        <v>59</v>
      </c>
      <c r="C45" s="12" t="b">
        <v>1</v>
      </c>
      <c r="D45" s="12" t="b">
        <v>1</v>
      </c>
      <c r="E45" s="12" t="b">
        <v>1</v>
      </c>
      <c r="F45" s="12" t="b">
        <f t="shared" si="1"/>
        <v>1</v>
      </c>
      <c r="G45" s="7" t="b">
        <f>ABS(INDEX(טבלה5[[SPPR_1986]:[SPPR_symbolic_full_import_as_DC]],MATCH('השוואת פקטורים'!$B45,טבלה5[עמודה1],0),MATCH($C$4,טבלה5[[#Headers],[SPPR_1986]:[SPPR_symbolic_full_import_as_DC]],0))) &lt; 5</f>
        <v>1</v>
      </c>
      <c r="H45" s="7" t="b">
        <f>INDEX(טבלה3[[SPPR_1986]:[SPPR_symbolic_full_import_as_DC]],MATCH('השוואת פקטורים'!$B45,טבלה3[עמודה1],0),MATCH($C$4,טבלה3[[#Headers],[SPPR_1986]:[SPPR_symbolic_full_import_as_DC]],0))</f>
        <v>1</v>
      </c>
      <c r="I45" s="7" t="b">
        <f t="shared" si="3"/>
        <v>1</v>
      </c>
      <c r="J45" s="13"/>
      <c r="K45" s="9">
        <f>IF($B$4="סהכ",
INDEX(טבלה1[[SPPR_1986]:[SPPR_symbolic_full_import_as_DC]], MATCH('השוואת פקטורים'!$B45, 'PPRs all'!$A$2:$A$108, 0), MATCH('השוואת פקטורים'!K$6, טבלה1[[#Headers],[SPPR_1986]:[SPPR_symbolic_full_import_as_DC]], 0)) / INDEX(טבלה1[[SPPR_1986]:[SPPR_symbolic_full_import_as_DC]], MATCH('השוואת פקטורים'!$B45, 'PPRs all'!$A$2:$A$108, 0), MATCH('השוואת פקטורים'!J$6, טבלה1[[#Headers],[SPPR_1986]:[SPPR_symbolic_full_import_as_DC]], 0)),
INDEX(טבלה2[[SPPR_1986]:[SPPR_symbolic_full_import_as_DC]], MATCH('השוואת פקטורים'!$B45, 'PPRs inner'!$A$2:$A$108, 0), MATCH('השוואת פקטורים'!K$6, טבלה2[[#Headers],[SPPR_1986]:[SPPR_symbolic_full_import_as_DC]], 0)) / INDEX(טבלה2[[SPPR_1986]:[SPPR_symbolic_full_import_as_DC]], MATCH('השוואת פקטורים'!$B45, 'PPRs inner'!$A$2:$A$108, 0), MATCH('השוואת פקטורים'!J$6, טבלה2[[#Headers],[SPPR_1986]:[SPPR_symbolic_full_import_as_DC]], 0))
)</f>
        <v>0.23378306780089439</v>
      </c>
      <c r="L45" s="9">
        <f>IF($B$4="סהכ",
INDEX(טבלה1[[SPPR_1986]:[SPPR_symbolic_full_import_as_DC]], MATCH('השוואת פקטורים'!$B45, 'PPRs all'!$A$2:$A$108, 0), MATCH('השוואת פקטורים'!L$6, טבלה1[[#Headers],[SPPR_1986]:[SPPR_symbolic_full_import_as_DC]], 0)) / INDEX(טבלה1[[SPPR_1986]:[SPPR_symbolic_full_import_as_DC]], MATCH('השוואת פקטורים'!$B45, 'PPRs all'!$A$2:$A$108, 0), MATCH('השוואת פקטורים'!K$6, טבלה1[[#Headers],[SPPR_1986]:[SPPR_symbolic_full_import_as_DC]], 0)),
INDEX(טבלה2[[SPPR_1986]:[SPPR_symbolic_full_import_as_DC]], MATCH('השוואת פקטורים'!$B45, 'PPRs inner'!$A$2:$A$108, 0), MATCH('השוואת פקטורים'!L$6, טבלה2[[#Headers],[SPPR_1986]:[SPPR_symbolic_full_import_as_DC]], 0)) / INDEX(טבלה2[[SPPR_1986]:[SPPR_symbolic_full_import_as_DC]], MATCH('השוואת פקטורים'!$B45, 'PPRs inner'!$A$2:$A$108, 0), MATCH('השוואת פקטורים'!K$6, טבלה2[[#Headers],[SPPR_1986]:[SPPR_symbolic_full_import_as_DC]], 0))
)</f>
        <v>2.7007000643037613</v>
      </c>
      <c r="M45" s="9">
        <f>IF($B$4="סהכ",
INDEX(טבלה1[[SPPR_1986]:[SPPR_symbolic_full_import_as_DC]], MATCH('השוואת פקטורים'!$B45, 'PPRs all'!$A$2:$A$108, 0), MATCH('השוואת פקטורים'!M$6, טבלה1[[#Headers],[SPPR_1986]:[SPPR_symbolic_full_import_as_DC]], 0)) / INDEX(טבלה1[[SPPR_1986]:[SPPR_symbolic_full_import_as_DC]], MATCH('השוואת פקטורים'!$B45, 'PPRs all'!$A$2:$A$108, 0), MATCH('השוואת פקטורים'!L$6, טבלה1[[#Headers],[SPPR_1986]:[SPPR_symbolic_full_import_as_DC]], 0)),
INDEX(טבלה2[[SPPR_1986]:[SPPR_symbolic_full_import_as_DC]], MATCH('השוואת פקטורים'!$B45, 'PPRs inner'!$A$2:$A$108, 0), MATCH('השוואת פקטורים'!M$6, טבלה2[[#Headers],[SPPR_1986]:[SPPR_symbolic_full_import_as_DC]], 0)) / INDEX(טבלה2[[SPPR_1986]:[SPPR_symbolic_full_import_as_DC]], MATCH('השוואת פקטורים'!$B45, 'PPRs inner'!$A$2:$A$108, 0), MATCH('השוואת פקטורים'!L$6, טבלה2[[#Headers],[SPPR_1986]:[SPPR_symbolic_full_import_as_DC]], 0))
)</f>
        <v>2.1036225265519519</v>
      </c>
      <c r="N45" s="9">
        <f>IF($B$4="סהכ",
INDEX(טבלה1[[SPPR_1986]:[SPPR_symbolic_full_import_as_DC]], MATCH('השוואת פקטורים'!$B45, 'PPRs all'!$A$2:$A$108, 0), MATCH('השוואת פקטורים'!N$6, טבלה1[[#Headers],[SPPR_1986]:[SPPR_symbolic_full_import_as_DC]], 0)) / INDEX(טבלה1[[SPPR_1986]:[SPPR_symbolic_full_import_as_DC]], MATCH('השוואת פקטורים'!$B45, 'PPRs all'!$A$2:$A$108, 0), MATCH('השוואת פקטורים'!M$6, טבלה1[[#Headers],[SPPR_1986]:[SPPR_symbolic_full_import_as_DC]], 0)),
INDEX(טבלה2[[SPPR_1986]:[SPPR_symbolic_full_import_as_DC]], MATCH('השוואת פקטורים'!$B45, 'PPRs inner'!$A$2:$A$108, 0), MATCH('השוואת פקטורים'!N$6, טבלה2[[#Headers],[SPPR_1986]:[SPPR_symbolic_full_import_as_DC]], 0)) / INDEX(טבלה2[[SPPR_1986]:[SPPR_symbolic_full_import_as_DC]], MATCH('השוואת פקטורים'!$B45, 'PPRs inner'!$A$2:$A$108, 0), MATCH('השוואת פקטורים'!M$6, טבלה2[[#Headers],[SPPR_1986]:[SPPR_symbolic_full_import_as_DC]], 0))
)</f>
        <v>1.0369491610015211</v>
      </c>
      <c r="O45" s="9">
        <f>IF($B$4="סהכ",
INDEX(טבלה1[[SPPR_1986]:[SPPR_symbolic_full_import_as_DC]], MATCH('השוואת פקטורים'!$B45, 'PPRs all'!$A$2:$A$108, 0), MATCH('השוואת פקטורים'!O$6, טבלה1[[#Headers],[SPPR_1986]:[SPPR_symbolic_full_import_as_DC]], 0)) / INDEX(טבלה1[[SPPR_1986]:[SPPR_symbolic_full_import_as_DC]], MATCH('השוואת פקטורים'!$B45, 'PPRs all'!$A$2:$A$108, 0), MATCH('השוואת פקטורים'!N$6, טבלה1[[#Headers],[SPPR_1986]:[SPPR_symbolic_full_import_as_DC]], 0)),
INDEX(טבלה2[[SPPR_1986]:[SPPR_symbolic_full_import_as_DC]], MATCH('השוואת פקטורים'!$B45, 'PPRs inner'!$A$2:$A$108, 0), MATCH('השוואת פקטורים'!O$6, טבלה2[[#Headers],[SPPR_1986]:[SPPR_symbolic_full_import_as_DC]], 0)) / INDEX(טבלה2[[SPPR_1986]:[SPPR_symbolic_full_import_as_DC]], MATCH('השוואת פקטורים'!$B45, 'PPRs inner'!$A$2:$A$108, 0), MATCH('השוואת פקטורים'!N$6, טבלה2[[#Headers],[SPPR_1986]:[SPPR_symbolic_full_import_as_DC]], 0))
)</f>
        <v>1</v>
      </c>
      <c r="P45" s="9">
        <f>IF($B$4="סהכ",
INDEX(טבלה1[[SPPR_1986]:[SPPR_symbolic_full_import_as_DC]], MATCH('השוואת פקטורים'!$B45, 'PPRs all'!$A$2:$A$108, 0), MATCH('השוואת פקטורים'!P$6, טבלה1[[#Headers],[SPPR_1986]:[SPPR_symbolic_full_import_as_DC]], 0)) / INDEX(טבלה1[[SPPR_1986]:[SPPR_symbolic_full_import_as_DC]], MATCH('השוואת פקטורים'!$B45, 'PPRs all'!$A$2:$A$108, 0), MATCH('השוואת פקטורים'!O$6, טבלה1[[#Headers],[SPPR_1986]:[SPPR_symbolic_full_import_as_DC]], 0)),
INDEX(טבלה2[[SPPR_1986]:[SPPR_symbolic_full_import_as_DC]], MATCH('השוואת פקטורים'!$B45, 'PPRs inner'!$A$2:$A$108, 0), MATCH('השוואת פקטורים'!P$6, טבלה2[[#Headers],[SPPR_1986]:[SPPR_symbolic_full_import_as_DC]], 0)) / INDEX(טבלה2[[SPPR_1986]:[SPPR_symbolic_full_import_as_DC]], MATCH('השוואת פקטורים'!$B45, 'PPRs inner'!$A$2:$A$108, 0), MATCH('השוואת פקטורים'!O$6, טבלה2[[#Headers],[SPPR_1986]:[SPPR_symbolic_full_import_as_DC]], 0))
)</f>
        <v>0.65618427075329844</v>
      </c>
      <c r="Q45" s="9">
        <f>IF($B$4="סהכ",
INDEX(טבלה1[[SPPR_1986]:[SPPR_symbolic_full_import_as_DC]], MATCH('השוואת פקטורים'!$B45, 'PPRs all'!$A$2:$A$108, 0), MATCH('השוואת פקטורים'!Q$6, טבלה1[[#Headers],[SPPR_1986]:[SPPR_symbolic_full_import_as_DC]], 0)) / INDEX(טבלה1[[SPPR_1986]:[SPPR_symbolic_full_import_as_DC]], MATCH('השוואת פקטורים'!$B45, 'PPRs all'!$A$2:$A$108, 0), MATCH('השוואת פקטורים'!P$6, טבלה1[[#Headers],[SPPR_1986]:[SPPR_symbolic_full_import_as_DC]], 0)),
INDEX(טבלה2[[SPPR_1986]:[SPPR_symbolic_full_import_as_DC]], MATCH('השוואת פקטורים'!$B45, 'PPRs inner'!$A$2:$A$108, 0), MATCH('השוואת פקטורים'!Q$6, טבלה2[[#Headers],[SPPR_1986]:[SPPR_symbolic_full_import_as_DC]], 0)) / INDEX(טבלה2[[SPPR_1986]:[SPPR_symbolic_full_import_as_DC]], MATCH('השוואת פקטורים'!$B45, 'PPRs inner'!$A$2:$A$108, 0), MATCH('השוואת פקטורים'!P$6, טבלה2[[#Headers],[SPPR_1986]:[SPPR_symbolic_full_import_as_DC]], 0))
)</f>
        <v>0.99999999999999978</v>
      </c>
      <c r="R45" s="9">
        <f>IF($B$4="סהכ",
INDEX(טבלה1[[SPPR_1986]:[SPPR_symbolic_full_import_as_DC]], MATCH('השוואת פקטורים'!$B45, 'PPRs all'!$A$2:$A$108, 0), MATCH('השוואת פקטורים'!R$6, טבלה1[[#Headers],[SPPR_1986]:[SPPR_symbolic_full_import_as_DC]], 0)) / INDEX(טבלה1[[SPPR_1986]:[SPPR_symbolic_full_import_as_DC]], MATCH('השוואת פקטורים'!$B45, 'PPRs all'!$A$2:$A$108, 0), MATCH('השוואת פקטורים'!Q$6, טבלה1[[#Headers],[SPPR_1986]:[SPPR_symbolic_full_import_as_DC]], 0)),
INDEX(טבלה2[[SPPR_1986]:[SPPR_symbolic_full_import_as_DC]], MATCH('השוואת פקטורים'!$B45, 'PPRs inner'!$A$2:$A$108, 0), MATCH('השוואת פקטורים'!R$6, טבלה2[[#Headers],[SPPR_1986]:[SPPR_symbolic_full_import_as_DC]], 0)) / INDEX(טבלה2[[SPPR_1986]:[SPPR_symbolic_full_import_as_DC]], MATCH('השוואת פקטורים'!$B45, 'PPRs inner'!$A$2:$A$108, 0), MATCH('השוואת פקטורים'!Q$6, טבלה2[[#Headers],[SPPR_1986]:[SPPR_symbolic_full_import_as_DC]], 0))
)</f>
        <v>1</v>
      </c>
      <c r="S45" s="9">
        <f>IF($B$4="סהכ",
INDEX(טבלה1[[SPPR_1986]:[SPPR_symbolic_full_import_as_DC]], MATCH('השוואת פקטורים'!$B45, 'PPRs all'!$A$2:$A$108, 0), MATCH('השוואת פקטורים'!S$6, טבלה1[[#Headers],[SPPR_1986]:[SPPR_symbolic_full_import_as_DC]], 0)) / INDEX(טבלה1[[SPPR_1986]:[SPPR_symbolic_full_import_as_DC]], MATCH('השוואת פקטורים'!$B45, 'PPRs all'!$A$2:$A$108, 0), MATCH('השוואת פקטורים'!R$6, טבלה1[[#Headers],[SPPR_1986]:[SPPR_symbolic_full_import_as_DC]], 0)),
INDEX(טבלה2[[SPPR_1986]:[SPPR_symbolic_full_import_as_DC]], MATCH('השוואת פקטורים'!$B45, 'PPRs inner'!$A$2:$A$108, 0), MATCH('השוואת פקטורים'!S$6, טבלה2[[#Headers],[SPPR_1986]:[SPPR_symbolic_full_import_as_DC]], 0)) / INDEX(טבלה2[[SPPR_1986]:[SPPR_symbolic_full_import_as_DC]], MATCH('השוואת פקטורים'!$B45, 'PPRs inner'!$A$2:$A$108, 0), MATCH('השוואת פקטורים'!R$6, טבלה2[[#Headers],[SPPR_1986]:[SPPR_symbolic_full_import_as_DC]], 0))
)</f>
        <v>1</v>
      </c>
      <c r="T45" s="9">
        <f>IF($B$4="סהכ",
INDEX(טבלה1[[SPPR_1986]:[SPPR_symbolic_full_import_as_DC]], MATCH('השוואת פקטורים'!$B45, 'PPRs all'!$A$2:$A$108, 0), MATCH('השוואת פקטורים'!T$6, טבלה1[[#Headers],[SPPR_1986]:[SPPR_symbolic_full_import_as_DC]], 0)) / INDEX(טבלה1[[SPPR_1986]:[SPPR_symbolic_full_import_as_DC]], MATCH('השוואת פקטורים'!$B45, 'PPRs all'!$A$2:$A$108, 0), MATCH('השוואת פקטורים'!S$6, טבלה1[[#Headers],[SPPR_1986]:[SPPR_symbolic_full_import_as_DC]], 0)),
INDEX(טבלה2[[SPPR_1986]:[SPPR_symbolic_full_import_as_DC]], MATCH('השוואת פקטורים'!$B45, 'PPRs inner'!$A$2:$A$108, 0), MATCH('השוואת פקטורים'!T$6, טבלה2[[#Headers],[SPPR_1986]:[SPPR_symbolic_full_import_as_DC]], 0)) / INDEX(טבלה2[[SPPR_1986]:[SPPR_symbolic_full_import_as_DC]], MATCH('השוואת פקטורים'!$B45, 'PPRs inner'!$A$2:$A$108, 0), MATCH('השוואת פקטורים'!S$6, טבלה2[[#Headers],[SPPR_1986]:[SPPR_symbolic_full_import_as_DC]], 0))
)</f>
        <v>1</v>
      </c>
      <c r="U45" s="9">
        <f>IF($B$4="סהכ",
INDEX(טבלה1[[SPPR_1986]:[SPPR_symbolic_full_import_as_DC]], MATCH('השוואת פקטורים'!$B45, 'PPRs all'!$A$2:$A$108, 0), MATCH('השוואת פקטורים'!U$6, טבלה1[[#Headers],[SPPR_1986]:[SPPR_symbolic_full_import_as_DC]], 0)) / INDEX(טבלה1[[SPPR_1986]:[SPPR_symbolic_full_import_as_DC]], MATCH('השוואת פקטורים'!$B45, 'PPRs all'!$A$2:$A$108, 0), MATCH('השוואת פקטורים'!T$6, טבלה1[[#Headers],[SPPR_1986]:[SPPR_symbolic_full_import_as_DC]], 0)),
INDEX(טבלה2[[SPPR_1986]:[SPPR_symbolic_full_import_as_DC]], MATCH('השוואת פקטורים'!$B45, 'PPRs inner'!$A$2:$A$108, 0), MATCH('השוואת פקטורים'!U$6, טבלה2[[#Headers],[SPPR_1986]:[SPPR_symbolic_full_import_as_DC]], 0)) / INDEX(טבלה2[[SPPR_1986]:[SPPR_symbolic_full_import_as_DC]], MATCH('השוואת פקטורים'!$B45, 'PPRs inner'!$A$2:$A$108, 0), MATCH('השוואת פקטורים'!T$6, טבלה2[[#Headers],[SPPR_1986]:[SPPR_symbolic_full_import_as_DC]], 0))
)</f>
        <v>1.0000000000000002</v>
      </c>
      <c r="V45" s="9"/>
      <c r="W45" s="9"/>
      <c r="X45" s="14"/>
      <c r="Y45" s="14"/>
      <c r="Z45" s="15">
        <f t="shared" si="2"/>
        <v>0.90373374979362164</v>
      </c>
    </row>
    <row r="46" spans="2:26" x14ac:dyDescent="0.3">
      <c r="B46" s="6" t="s">
        <v>60</v>
      </c>
      <c r="C46" s="12" t="b">
        <v>1</v>
      </c>
      <c r="D46" s="12" t="b">
        <v>1</v>
      </c>
      <c r="E46" s="12" t="b">
        <v>1</v>
      </c>
      <c r="F46" s="12" t="b">
        <f t="shared" si="1"/>
        <v>1</v>
      </c>
      <c r="G46" s="7" t="b">
        <f>ABS(INDEX(טבלה5[[SPPR_1986]:[SPPR_symbolic_full_import_as_DC]],MATCH('השוואת פקטורים'!$B46,טבלה5[עמודה1],0),MATCH($C$4,טבלה5[[#Headers],[SPPR_1986]:[SPPR_symbolic_full_import_as_DC]],0))) &lt; 5</f>
        <v>1</v>
      </c>
      <c r="H46" s="7" t="b">
        <f>INDEX(טבלה3[[SPPR_1986]:[SPPR_symbolic_full_import_as_DC]],MATCH('השוואת פקטורים'!$B46,טבלה3[עמודה1],0),MATCH($C$4,טבלה3[[#Headers],[SPPR_1986]:[SPPR_symbolic_full_import_as_DC]],0))</f>
        <v>1</v>
      </c>
      <c r="I46" s="7" t="b">
        <f t="shared" si="3"/>
        <v>1</v>
      </c>
      <c r="J46" s="13"/>
      <c r="K46" s="9">
        <f>IF($B$4="סהכ",
INDEX(טבלה1[[SPPR_1986]:[SPPR_symbolic_full_import_as_DC]], MATCH('השוואת פקטורים'!$B46, 'PPRs all'!$A$2:$A$108, 0), MATCH('השוואת פקטורים'!K$6, טבלה1[[#Headers],[SPPR_1986]:[SPPR_symbolic_full_import_as_DC]], 0)) / INDEX(טבלה1[[SPPR_1986]:[SPPR_symbolic_full_import_as_DC]], MATCH('השוואת פקטורים'!$B46, 'PPRs all'!$A$2:$A$108, 0), MATCH('השוואת פקטורים'!J$6, טבלה1[[#Headers],[SPPR_1986]:[SPPR_symbolic_full_import_as_DC]], 0)),
INDEX(טבלה2[[SPPR_1986]:[SPPR_symbolic_full_import_as_DC]], MATCH('השוואת פקטורים'!$B46, 'PPRs inner'!$A$2:$A$108, 0), MATCH('השוואת פקטורים'!K$6, טבלה2[[#Headers],[SPPR_1986]:[SPPR_symbolic_full_import_as_DC]], 0)) / INDEX(טבלה2[[SPPR_1986]:[SPPR_symbolic_full_import_as_DC]], MATCH('השוואת פקטורים'!$B46, 'PPRs inner'!$A$2:$A$108, 0), MATCH('השוואת פקטורים'!J$6, טבלה2[[#Headers],[SPPR_1986]:[SPPR_symbolic_full_import_as_DC]], 0))
)</f>
        <v>0.6356669936920567</v>
      </c>
      <c r="L46" s="9">
        <f>IF($B$4="סהכ",
INDEX(טבלה1[[SPPR_1986]:[SPPR_symbolic_full_import_as_DC]], MATCH('השוואת פקטורים'!$B46, 'PPRs all'!$A$2:$A$108, 0), MATCH('השוואת פקטורים'!L$6, טבלה1[[#Headers],[SPPR_1986]:[SPPR_symbolic_full_import_as_DC]], 0)) / INDEX(טבלה1[[SPPR_1986]:[SPPR_symbolic_full_import_as_DC]], MATCH('השוואת פקטורים'!$B46, 'PPRs all'!$A$2:$A$108, 0), MATCH('השוואת פקטורים'!K$6, טבלה1[[#Headers],[SPPR_1986]:[SPPR_symbolic_full_import_as_DC]], 0)),
INDEX(טבלה2[[SPPR_1986]:[SPPR_symbolic_full_import_as_DC]], MATCH('השוואת פקטורים'!$B46, 'PPRs inner'!$A$2:$A$108, 0), MATCH('השוואת פקטורים'!L$6, טבלה2[[#Headers],[SPPR_1986]:[SPPR_symbolic_full_import_as_DC]], 0)) / INDEX(טבלה2[[SPPR_1986]:[SPPR_symbolic_full_import_as_DC]], MATCH('השוואת פקטורים'!$B46, 'PPRs inner'!$A$2:$A$108, 0), MATCH('השוואת פקטורים'!K$6, טבלה2[[#Headers],[SPPR_1986]:[SPPR_symbolic_full_import_as_DC]], 0))
)</f>
        <v>1.7049851384281642</v>
      </c>
      <c r="M46" s="9">
        <f>IF($B$4="סהכ",
INDEX(טבלה1[[SPPR_1986]:[SPPR_symbolic_full_import_as_DC]], MATCH('השוואת פקטורים'!$B46, 'PPRs all'!$A$2:$A$108, 0), MATCH('השוואת פקטורים'!M$6, טבלה1[[#Headers],[SPPR_1986]:[SPPR_symbolic_full_import_as_DC]], 0)) / INDEX(טבלה1[[SPPR_1986]:[SPPR_symbolic_full_import_as_DC]], MATCH('השוואת פקטורים'!$B46, 'PPRs all'!$A$2:$A$108, 0), MATCH('השוואת פקטורים'!L$6, טבלה1[[#Headers],[SPPR_1986]:[SPPR_symbolic_full_import_as_DC]], 0)),
INDEX(טבלה2[[SPPR_1986]:[SPPR_symbolic_full_import_as_DC]], MATCH('השוואת פקטורים'!$B46, 'PPRs inner'!$A$2:$A$108, 0), MATCH('השוואת פקטורים'!M$6, טבלה2[[#Headers],[SPPR_1986]:[SPPR_symbolic_full_import_as_DC]], 0)) / INDEX(טבלה2[[SPPR_1986]:[SPPR_symbolic_full_import_as_DC]], MATCH('השוואת פקטורים'!$B46, 'PPRs inner'!$A$2:$A$108, 0), MATCH('השוואת פקטורים'!L$6, טבלה2[[#Headers],[SPPR_1986]:[SPPR_symbolic_full_import_as_DC]], 0))
)</f>
        <v>10.219935977332565</v>
      </c>
      <c r="N46" s="9">
        <f>IF($B$4="סהכ",
INDEX(טבלה1[[SPPR_1986]:[SPPR_symbolic_full_import_as_DC]], MATCH('השוואת פקטורים'!$B46, 'PPRs all'!$A$2:$A$108, 0), MATCH('השוואת פקטורים'!N$6, טבלה1[[#Headers],[SPPR_1986]:[SPPR_symbolic_full_import_as_DC]], 0)) / INDEX(טבלה1[[SPPR_1986]:[SPPR_symbolic_full_import_as_DC]], MATCH('השוואת פקטורים'!$B46, 'PPRs all'!$A$2:$A$108, 0), MATCH('השוואת פקטורים'!M$6, טבלה1[[#Headers],[SPPR_1986]:[SPPR_symbolic_full_import_as_DC]], 0)),
INDEX(טבלה2[[SPPR_1986]:[SPPR_symbolic_full_import_as_DC]], MATCH('השוואת פקטורים'!$B46, 'PPRs inner'!$A$2:$A$108, 0), MATCH('השוואת פקטורים'!N$6, טבלה2[[#Headers],[SPPR_1986]:[SPPR_symbolic_full_import_as_DC]], 0)) / INDEX(טבלה2[[SPPR_1986]:[SPPR_symbolic_full_import_as_DC]], MATCH('השוואת פקטורים'!$B46, 'PPRs inner'!$A$2:$A$108, 0), MATCH('השוואת פקטורים'!M$6, טבלה2[[#Headers],[SPPR_1986]:[SPPR_symbolic_full_import_as_DC]], 0))
)</f>
        <v>5.1440109441966406</v>
      </c>
      <c r="O46" s="9">
        <f>IF($B$4="סהכ",
INDEX(טבלה1[[SPPR_1986]:[SPPR_symbolic_full_import_as_DC]], MATCH('השוואת פקטורים'!$B46, 'PPRs all'!$A$2:$A$108, 0), MATCH('השוואת פקטורים'!O$6, טבלה1[[#Headers],[SPPR_1986]:[SPPR_symbolic_full_import_as_DC]], 0)) / INDEX(טבלה1[[SPPR_1986]:[SPPR_symbolic_full_import_as_DC]], MATCH('השוואת פקטורים'!$B46, 'PPRs all'!$A$2:$A$108, 0), MATCH('השוואת פקטורים'!N$6, טבלה1[[#Headers],[SPPR_1986]:[SPPR_symbolic_full_import_as_DC]], 0)),
INDEX(טבלה2[[SPPR_1986]:[SPPR_symbolic_full_import_as_DC]], MATCH('השוואת פקטורים'!$B46, 'PPRs inner'!$A$2:$A$108, 0), MATCH('השוואת פקטורים'!O$6, טבלה2[[#Headers],[SPPR_1986]:[SPPR_symbolic_full_import_as_DC]], 0)) / INDEX(טבלה2[[SPPR_1986]:[SPPR_symbolic_full_import_as_DC]], MATCH('השוואת פקטורים'!$B46, 'PPRs inner'!$A$2:$A$108, 0), MATCH('השוואת פקטורים'!N$6, טבלה2[[#Headers],[SPPR_1986]:[SPPR_symbolic_full_import_as_DC]], 0))
)</f>
        <v>1.0000000000000016</v>
      </c>
      <c r="P46" s="9">
        <f>IF($B$4="סהכ",
INDEX(טבלה1[[SPPR_1986]:[SPPR_symbolic_full_import_as_DC]], MATCH('השוואת פקטורים'!$B46, 'PPRs all'!$A$2:$A$108, 0), MATCH('השוואת פקטורים'!P$6, טבלה1[[#Headers],[SPPR_1986]:[SPPR_symbolic_full_import_as_DC]], 0)) / INDEX(טבלה1[[SPPR_1986]:[SPPR_symbolic_full_import_as_DC]], MATCH('השוואת פקטורים'!$B46, 'PPRs all'!$A$2:$A$108, 0), MATCH('השוואת פקטורים'!O$6, טבלה1[[#Headers],[SPPR_1986]:[SPPR_symbolic_full_import_as_DC]], 0)),
INDEX(טבלה2[[SPPR_1986]:[SPPR_symbolic_full_import_as_DC]], MATCH('השוואת פקטורים'!$B46, 'PPRs inner'!$A$2:$A$108, 0), MATCH('השוואת פקטורים'!P$6, טבלה2[[#Headers],[SPPR_1986]:[SPPR_symbolic_full_import_as_DC]], 0)) / INDEX(טבלה2[[SPPR_1986]:[SPPR_symbolic_full_import_as_DC]], MATCH('השוואת פקטורים'!$B46, 'PPRs inner'!$A$2:$A$108, 0), MATCH('השוואת פקטורים'!O$6, טבלה2[[#Headers],[SPPR_1986]:[SPPR_symbolic_full_import_as_DC]], 0))
)</f>
        <v>4.3084641345620255E-2</v>
      </c>
      <c r="Q46" s="9">
        <f>IF($B$4="סהכ",
INDEX(טבלה1[[SPPR_1986]:[SPPR_symbolic_full_import_as_DC]], MATCH('השוואת פקטורים'!$B46, 'PPRs all'!$A$2:$A$108, 0), MATCH('השוואת פקטורים'!Q$6, טבלה1[[#Headers],[SPPR_1986]:[SPPR_symbolic_full_import_as_DC]], 0)) / INDEX(טבלה1[[SPPR_1986]:[SPPR_symbolic_full_import_as_DC]], MATCH('השוואת פקטורים'!$B46, 'PPRs all'!$A$2:$A$108, 0), MATCH('השוואת פקטורים'!P$6, טבלה1[[#Headers],[SPPR_1986]:[SPPR_symbolic_full_import_as_DC]], 0)),
INDEX(טבלה2[[SPPR_1986]:[SPPR_symbolic_full_import_as_DC]], MATCH('השוואת פקטורים'!$B46, 'PPRs inner'!$A$2:$A$108, 0), MATCH('השוואת פקטורים'!Q$6, טבלה2[[#Headers],[SPPR_1986]:[SPPR_symbolic_full_import_as_DC]], 0)) / INDEX(טבלה2[[SPPR_1986]:[SPPR_symbolic_full_import_as_DC]], MATCH('השוואת פקטורים'!$B46, 'PPRs inner'!$A$2:$A$108, 0), MATCH('השוואת פקטורים'!P$6, טבלה2[[#Headers],[SPPR_1986]:[SPPR_symbolic_full_import_as_DC]], 0))
)</f>
        <v>0.99999999999999978</v>
      </c>
      <c r="R46" s="9">
        <f>IF($B$4="סהכ",
INDEX(טבלה1[[SPPR_1986]:[SPPR_symbolic_full_import_as_DC]], MATCH('השוואת פקטורים'!$B46, 'PPRs all'!$A$2:$A$108, 0), MATCH('השוואת פקטורים'!R$6, טבלה1[[#Headers],[SPPR_1986]:[SPPR_symbolic_full_import_as_DC]], 0)) / INDEX(טבלה1[[SPPR_1986]:[SPPR_symbolic_full_import_as_DC]], MATCH('השוואת פקטורים'!$B46, 'PPRs all'!$A$2:$A$108, 0), MATCH('השוואת פקטורים'!Q$6, טבלה1[[#Headers],[SPPR_1986]:[SPPR_symbolic_full_import_as_DC]], 0)),
INDEX(טבלה2[[SPPR_1986]:[SPPR_symbolic_full_import_as_DC]], MATCH('השוואת פקטורים'!$B46, 'PPRs inner'!$A$2:$A$108, 0), MATCH('השוואת פקטורים'!R$6, טבלה2[[#Headers],[SPPR_1986]:[SPPR_symbolic_full_import_as_DC]], 0)) / INDEX(טבלה2[[SPPR_1986]:[SPPR_symbolic_full_import_as_DC]], MATCH('השוואת פקטורים'!$B46, 'PPRs inner'!$A$2:$A$108, 0), MATCH('השוואת פקטורים'!Q$6, טבלה2[[#Headers],[SPPR_1986]:[SPPR_symbolic_full_import_as_DC]], 0))
)</f>
        <v>1</v>
      </c>
      <c r="S46" s="9">
        <f>IF($B$4="סהכ",
INDEX(טבלה1[[SPPR_1986]:[SPPR_symbolic_full_import_as_DC]], MATCH('השוואת פקטורים'!$B46, 'PPRs all'!$A$2:$A$108, 0), MATCH('השוואת פקטורים'!S$6, טבלה1[[#Headers],[SPPR_1986]:[SPPR_symbolic_full_import_as_DC]], 0)) / INDEX(טבלה1[[SPPR_1986]:[SPPR_symbolic_full_import_as_DC]], MATCH('השוואת פקטורים'!$B46, 'PPRs all'!$A$2:$A$108, 0), MATCH('השוואת פקטורים'!R$6, טבלה1[[#Headers],[SPPR_1986]:[SPPR_symbolic_full_import_as_DC]], 0)),
INDEX(טבלה2[[SPPR_1986]:[SPPR_symbolic_full_import_as_DC]], MATCH('השוואת פקטורים'!$B46, 'PPRs inner'!$A$2:$A$108, 0), MATCH('השוואת פקטורים'!S$6, טבלה2[[#Headers],[SPPR_1986]:[SPPR_symbolic_full_import_as_DC]], 0)) / INDEX(טבלה2[[SPPR_1986]:[SPPR_symbolic_full_import_as_DC]], MATCH('השוואת פקטורים'!$B46, 'PPRs inner'!$A$2:$A$108, 0), MATCH('השוואת פקטורים'!R$6, טבלה2[[#Headers],[SPPR_1986]:[SPPR_symbolic_full_import_as_DC]], 0))
)</f>
        <v>1</v>
      </c>
      <c r="T46" s="9">
        <f>IF($B$4="סהכ",
INDEX(טבלה1[[SPPR_1986]:[SPPR_symbolic_full_import_as_DC]], MATCH('השוואת פקטורים'!$B46, 'PPRs all'!$A$2:$A$108, 0), MATCH('השוואת פקטורים'!T$6, טבלה1[[#Headers],[SPPR_1986]:[SPPR_symbolic_full_import_as_DC]], 0)) / INDEX(טבלה1[[SPPR_1986]:[SPPR_symbolic_full_import_as_DC]], MATCH('השוואת פקטורים'!$B46, 'PPRs all'!$A$2:$A$108, 0), MATCH('השוואת פקטורים'!S$6, טבלה1[[#Headers],[SPPR_1986]:[SPPR_symbolic_full_import_as_DC]], 0)),
INDEX(טבלה2[[SPPR_1986]:[SPPR_symbolic_full_import_as_DC]], MATCH('השוואת פקטורים'!$B46, 'PPRs inner'!$A$2:$A$108, 0), MATCH('השוואת פקטורים'!T$6, טבלה2[[#Headers],[SPPR_1986]:[SPPR_symbolic_full_import_as_DC]], 0)) / INDEX(טבלה2[[SPPR_1986]:[SPPR_symbolic_full_import_as_DC]], MATCH('השוואת פקטורים'!$B46, 'PPRs inner'!$A$2:$A$108, 0), MATCH('השוואת פקטורים'!S$6, טבלה2[[#Headers],[SPPR_1986]:[SPPR_symbolic_full_import_as_DC]], 0))
)</f>
        <v>1</v>
      </c>
      <c r="U46" s="9">
        <f>IF($B$4="סהכ",
INDEX(טבלה1[[SPPR_1986]:[SPPR_symbolic_full_import_as_DC]], MATCH('השוואת פקטורים'!$B46, 'PPRs all'!$A$2:$A$108, 0), MATCH('השוואת פקטורים'!U$6, טבלה1[[#Headers],[SPPR_1986]:[SPPR_symbolic_full_import_as_DC]], 0)) / INDEX(טבלה1[[SPPR_1986]:[SPPR_symbolic_full_import_as_DC]], MATCH('השוואת פקטורים'!$B46, 'PPRs all'!$A$2:$A$108, 0), MATCH('השוואת פקטורים'!T$6, טבלה1[[#Headers],[SPPR_1986]:[SPPR_symbolic_full_import_as_DC]], 0)),
INDEX(טבלה2[[SPPR_1986]:[SPPR_symbolic_full_import_as_DC]], MATCH('השוואת פקטורים'!$B46, 'PPRs inner'!$A$2:$A$108, 0), MATCH('השוואת פקטורים'!U$6, טבלה2[[#Headers],[SPPR_1986]:[SPPR_symbolic_full_import_as_DC]], 0)) / INDEX(טבלה2[[SPPR_1986]:[SPPR_symbolic_full_import_as_DC]], MATCH('השוואת פקטורים'!$B46, 'PPRs inner'!$A$2:$A$108, 0), MATCH('השוואת פקטורים'!T$6, טבלה2[[#Headers],[SPPR_1986]:[SPPR_symbolic_full_import_as_DC]], 0))
)</f>
        <v>1.0000000000000002</v>
      </c>
      <c r="V46" s="9"/>
      <c r="W46" s="9"/>
      <c r="X46" s="14"/>
      <c r="Y46" s="14"/>
      <c r="Z46" s="15">
        <f t="shared" si="2"/>
        <v>2.4548377925429752</v>
      </c>
    </row>
    <row r="47" spans="2:26" x14ac:dyDescent="0.3">
      <c r="B47" s="6" t="s">
        <v>61</v>
      </c>
      <c r="C47" s="12" t="b">
        <v>1</v>
      </c>
      <c r="D47" s="12" t="b">
        <v>1</v>
      </c>
      <c r="E47" s="12" t="b">
        <v>1</v>
      </c>
      <c r="F47" s="12" t="b">
        <f t="shared" si="1"/>
        <v>1</v>
      </c>
      <c r="G47" s="7" t="b">
        <f>ABS(INDEX(טבלה5[[SPPR_1986]:[SPPR_symbolic_full_import_as_DC]],MATCH('השוואת פקטורים'!$B47,טבלה5[עמודה1],0),MATCH($C$4,טבלה5[[#Headers],[SPPR_1986]:[SPPR_symbolic_full_import_as_DC]],0))) &lt; 5</f>
        <v>1</v>
      </c>
      <c r="H47" s="7" t="b">
        <f>INDEX(טבלה3[[SPPR_1986]:[SPPR_symbolic_full_import_as_DC]],MATCH('השוואת פקטורים'!$B47,טבלה3[עמודה1],0),MATCH($C$4,טבלה3[[#Headers],[SPPR_1986]:[SPPR_symbolic_full_import_as_DC]],0))</f>
        <v>1</v>
      </c>
      <c r="I47" s="7" t="b">
        <f t="shared" si="3"/>
        <v>1</v>
      </c>
      <c r="J47" s="13"/>
      <c r="K47" s="9">
        <f>IF($B$4="סהכ",
INDEX(טבלה1[[SPPR_1986]:[SPPR_symbolic_full_import_as_DC]], MATCH('השוואת פקטורים'!$B47, 'PPRs all'!$A$2:$A$108, 0), MATCH('השוואת פקטורים'!K$6, טבלה1[[#Headers],[SPPR_1986]:[SPPR_symbolic_full_import_as_DC]], 0)) / INDEX(טבלה1[[SPPR_1986]:[SPPR_symbolic_full_import_as_DC]], MATCH('השוואת פקטורים'!$B47, 'PPRs all'!$A$2:$A$108, 0), MATCH('השוואת פקטורים'!J$6, טבלה1[[#Headers],[SPPR_1986]:[SPPR_symbolic_full_import_as_DC]], 0)),
INDEX(טבלה2[[SPPR_1986]:[SPPR_symbolic_full_import_as_DC]], MATCH('השוואת פקטורים'!$B47, 'PPRs inner'!$A$2:$A$108, 0), MATCH('השוואת פקטורים'!K$6, טבלה2[[#Headers],[SPPR_1986]:[SPPR_symbolic_full_import_as_DC]], 0)) / INDEX(טבלה2[[SPPR_1986]:[SPPR_symbolic_full_import_as_DC]], MATCH('השוואת פקטורים'!$B47, 'PPRs inner'!$A$2:$A$108, 0), MATCH('השוואת פקטורים'!J$6, טבלה2[[#Headers],[SPPR_1986]:[SPPR_symbolic_full_import_as_DC]], 0))
)</f>
        <v>0.63334672588874896</v>
      </c>
      <c r="L47" s="9">
        <f>IF($B$4="סהכ",
INDEX(טבלה1[[SPPR_1986]:[SPPR_symbolic_full_import_as_DC]], MATCH('השוואת פקטורים'!$B47, 'PPRs all'!$A$2:$A$108, 0), MATCH('השוואת פקטורים'!L$6, טבלה1[[#Headers],[SPPR_1986]:[SPPR_symbolic_full_import_as_DC]], 0)) / INDEX(טבלה1[[SPPR_1986]:[SPPR_symbolic_full_import_as_DC]], MATCH('השוואת פקטורים'!$B47, 'PPRs all'!$A$2:$A$108, 0), MATCH('השוואת פקטורים'!K$6, טבלה1[[#Headers],[SPPR_1986]:[SPPR_symbolic_full_import_as_DC]], 0)),
INDEX(טבלה2[[SPPR_1986]:[SPPR_symbolic_full_import_as_DC]], MATCH('השוואת פקטורים'!$B47, 'PPRs inner'!$A$2:$A$108, 0), MATCH('השוואת פקטורים'!L$6, טבלה2[[#Headers],[SPPR_1986]:[SPPR_symbolic_full_import_as_DC]], 0)) / INDEX(טבלה2[[SPPR_1986]:[SPPR_symbolic_full_import_as_DC]], MATCH('השוואת פקטורים'!$B47, 'PPRs inner'!$A$2:$A$108, 0), MATCH('השוואת פקטורים'!K$6, טבלה2[[#Headers],[SPPR_1986]:[SPPR_symbolic_full_import_as_DC]], 0))
)</f>
        <v>1.4861763090613371</v>
      </c>
      <c r="M47" s="9">
        <f>IF($B$4="סהכ",
INDEX(טבלה1[[SPPR_1986]:[SPPR_symbolic_full_import_as_DC]], MATCH('השוואת פקטורים'!$B47, 'PPRs all'!$A$2:$A$108, 0), MATCH('השוואת פקטורים'!M$6, טבלה1[[#Headers],[SPPR_1986]:[SPPR_symbolic_full_import_as_DC]], 0)) / INDEX(טבלה1[[SPPR_1986]:[SPPR_symbolic_full_import_as_DC]], MATCH('השוואת פקטורים'!$B47, 'PPRs all'!$A$2:$A$108, 0), MATCH('השוואת פקטורים'!L$6, טבלה1[[#Headers],[SPPR_1986]:[SPPR_symbolic_full_import_as_DC]], 0)),
INDEX(טבלה2[[SPPR_1986]:[SPPR_symbolic_full_import_as_DC]], MATCH('השוואת פקטורים'!$B47, 'PPRs inner'!$A$2:$A$108, 0), MATCH('השוואת פקטורים'!M$6, טבלה2[[#Headers],[SPPR_1986]:[SPPR_symbolic_full_import_as_DC]], 0)) / INDEX(טבלה2[[SPPR_1986]:[SPPR_symbolic_full_import_as_DC]], MATCH('השוואת פקטורים'!$B47, 'PPRs inner'!$A$2:$A$108, 0), MATCH('השוואת פקטורים'!L$6, טבלה2[[#Headers],[SPPR_1986]:[SPPR_symbolic_full_import_as_DC]], 0))
)</f>
        <v>2.5587381525280701</v>
      </c>
      <c r="N47" s="9">
        <f>IF($B$4="סהכ",
INDEX(טבלה1[[SPPR_1986]:[SPPR_symbolic_full_import_as_DC]], MATCH('השוואת פקטורים'!$B47, 'PPRs all'!$A$2:$A$108, 0), MATCH('השוואת פקטורים'!N$6, טבלה1[[#Headers],[SPPR_1986]:[SPPR_symbolic_full_import_as_DC]], 0)) / INDEX(טבלה1[[SPPR_1986]:[SPPR_symbolic_full_import_as_DC]], MATCH('השוואת פקטורים'!$B47, 'PPRs all'!$A$2:$A$108, 0), MATCH('השוואת פקטורים'!M$6, טבלה1[[#Headers],[SPPR_1986]:[SPPR_symbolic_full_import_as_DC]], 0)),
INDEX(טבלה2[[SPPR_1986]:[SPPR_symbolic_full_import_as_DC]], MATCH('השוואת פקטורים'!$B47, 'PPRs inner'!$A$2:$A$108, 0), MATCH('השוואת פקטורים'!N$6, טבלה2[[#Headers],[SPPR_1986]:[SPPR_symbolic_full_import_as_DC]], 0)) / INDEX(טבלה2[[SPPR_1986]:[SPPR_symbolic_full_import_as_DC]], MATCH('השוואת פקטורים'!$B47, 'PPRs inner'!$A$2:$A$108, 0), MATCH('השוואת פקטורים'!M$6, טבלה2[[#Headers],[SPPR_1986]:[SPPR_symbolic_full_import_as_DC]], 0))
)</f>
        <v>2.7232435510199728</v>
      </c>
      <c r="O47" s="9">
        <f>IF($B$4="סהכ",
INDEX(טבלה1[[SPPR_1986]:[SPPR_symbolic_full_import_as_DC]], MATCH('השוואת פקטורים'!$B47, 'PPRs all'!$A$2:$A$108, 0), MATCH('השוואת פקטורים'!O$6, טבלה1[[#Headers],[SPPR_1986]:[SPPR_symbolic_full_import_as_DC]], 0)) / INDEX(טבלה1[[SPPR_1986]:[SPPR_symbolic_full_import_as_DC]], MATCH('השוואת פקטורים'!$B47, 'PPRs all'!$A$2:$A$108, 0), MATCH('השוואת פקטורים'!N$6, טבלה1[[#Headers],[SPPR_1986]:[SPPR_symbolic_full_import_as_DC]], 0)),
INDEX(טבלה2[[SPPR_1986]:[SPPR_symbolic_full_import_as_DC]], MATCH('השוואת פקטורים'!$B47, 'PPRs inner'!$A$2:$A$108, 0), MATCH('השוואת פקטורים'!O$6, טבלה2[[#Headers],[SPPR_1986]:[SPPR_symbolic_full_import_as_DC]], 0)) / INDEX(טבלה2[[SPPR_1986]:[SPPR_symbolic_full_import_as_DC]], MATCH('השוואת פקטורים'!$B47, 'PPRs inner'!$A$2:$A$108, 0), MATCH('השוואת פקטורים'!N$6, טבלה2[[#Headers],[SPPR_1986]:[SPPR_symbolic_full_import_as_DC]], 0))
)</f>
        <v>1.0000000000000009</v>
      </c>
      <c r="P47" s="9">
        <f>IF($B$4="סהכ",
INDEX(טבלה1[[SPPR_1986]:[SPPR_symbolic_full_import_as_DC]], MATCH('השוואת פקטורים'!$B47, 'PPRs all'!$A$2:$A$108, 0), MATCH('השוואת פקטורים'!P$6, טבלה1[[#Headers],[SPPR_1986]:[SPPR_symbolic_full_import_as_DC]], 0)) / INDEX(טבלה1[[SPPR_1986]:[SPPR_symbolic_full_import_as_DC]], MATCH('השוואת פקטורים'!$B47, 'PPRs all'!$A$2:$A$108, 0), MATCH('השוואת פקטורים'!O$6, טבלה1[[#Headers],[SPPR_1986]:[SPPR_symbolic_full_import_as_DC]], 0)),
INDEX(טבלה2[[SPPR_1986]:[SPPR_symbolic_full_import_as_DC]], MATCH('השוואת פקטורים'!$B47, 'PPRs inner'!$A$2:$A$108, 0), MATCH('השוואת פקטורים'!P$6, טבלה2[[#Headers],[SPPR_1986]:[SPPR_symbolic_full_import_as_DC]], 0)) / INDEX(טבלה2[[SPPR_1986]:[SPPR_symbolic_full_import_as_DC]], MATCH('השוואת פקטורים'!$B47, 'PPRs inner'!$A$2:$A$108, 0), MATCH('השוואת פקטורים'!O$6, טבלה2[[#Headers],[SPPR_1986]:[SPPR_symbolic_full_import_as_DC]], 0))
)</f>
        <v>0.15930939989317106</v>
      </c>
      <c r="Q47" s="9">
        <f>IF($B$4="סהכ",
INDEX(טבלה1[[SPPR_1986]:[SPPR_symbolic_full_import_as_DC]], MATCH('השוואת פקטורים'!$B47, 'PPRs all'!$A$2:$A$108, 0), MATCH('השוואת פקטורים'!Q$6, טבלה1[[#Headers],[SPPR_1986]:[SPPR_symbolic_full_import_as_DC]], 0)) / INDEX(טבלה1[[SPPR_1986]:[SPPR_symbolic_full_import_as_DC]], MATCH('השוואת פקטורים'!$B47, 'PPRs all'!$A$2:$A$108, 0), MATCH('השוואת פקטורים'!P$6, טבלה1[[#Headers],[SPPR_1986]:[SPPR_symbolic_full_import_as_DC]], 0)),
INDEX(טבלה2[[SPPR_1986]:[SPPR_symbolic_full_import_as_DC]], MATCH('השוואת פקטורים'!$B47, 'PPRs inner'!$A$2:$A$108, 0), MATCH('השוואת פקטורים'!Q$6, טבלה2[[#Headers],[SPPR_1986]:[SPPR_symbolic_full_import_as_DC]], 0)) / INDEX(טבלה2[[SPPR_1986]:[SPPR_symbolic_full_import_as_DC]], MATCH('השוואת פקטורים'!$B47, 'PPRs inner'!$A$2:$A$108, 0), MATCH('השוואת פקטורים'!P$6, טבלה2[[#Headers],[SPPR_1986]:[SPPR_symbolic_full_import_as_DC]], 0))
)</f>
        <v>1.0000000000000018</v>
      </c>
      <c r="R47" s="9">
        <f>IF($B$4="סהכ",
INDEX(טבלה1[[SPPR_1986]:[SPPR_symbolic_full_import_as_DC]], MATCH('השוואת פקטורים'!$B47, 'PPRs all'!$A$2:$A$108, 0), MATCH('השוואת פקטורים'!R$6, טבלה1[[#Headers],[SPPR_1986]:[SPPR_symbolic_full_import_as_DC]], 0)) / INDEX(טבלה1[[SPPR_1986]:[SPPR_symbolic_full_import_as_DC]], MATCH('השוואת פקטורים'!$B47, 'PPRs all'!$A$2:$A$108, 0), MATCH('השוואת פקטורים'!Q$6, טבלה1[[#Headers],[SPPR_1986]:[SPPR_symbolic_full_import_as_DC]], 0)),
INDEX(טבלה2[[SPPR_1986]:[SPPR_symbolic_full_import_as_DC]], MATCH('השוואת פקטורים'!$B47, 'PPRs inner'!$A$2:$A$108, 0), MATCH('השוואת פקטורים'!R$6, טבלה2[[#Headers],[SPPR_1986]:[SPPR_symbolic_full_import_as_DC]], 0)) / INDEX(טבלה2[[SPPR_1986]:[SPPR_symbolic_full_import_as_DC]], MATCH('השוואת פקטורים'!$B47, 'PPRs inner'!$A$2:$A$108, 0), MATCH('השוואת פקטורים'!Q$6, טבלה2[[#Headers],[SPPR_1986]:[SPPR_symbolic_full_import_as_DC]], 0))
)</f>
        <v>1</v>
      </c>
      <c r="S47" s="9">
        <f>IF($B$4="סהכ",
INDEX(טבלה1[[SPPR_1986]:[SPPR_symbolic_full_import_as_DC]], MATCH('השוואת פקטורים'!$B47, 'PPRs all'!$A$2:$A$108, 0), MATCH('השוואת פקטורים'!S$6, טבלה1[[#Headers],[SPPR_1986]:[SPPR_symbolic_full_import_as_DC]], 0)) / INDEX(טבלה1[[SPPR_1986]:[SPPR_symbolic_full_import_as_DC]], MATCH('השוואת פקטורים'!$B47, 'PPRs all'!$A$2:$A$108, 0), MATCH('השוואת פקטורים'!R$6, טבלה1[[#Headers],[SPPR_1986]:[SPPR_symbolic_full_import_as_DC]], 0)),
INDEX(טבלה2[[SPPR_1986]:[SPPR_symbolic_full_import_as_DC]], MATCH('השוואת פקטורים'!$B47, 'PPRs inner'!$A$2:$A$108, 0), MATCH('השוואת פקטורים'!S$6, טבלה2[[#Headers],[SPPR_1986]:[SPPR_symbolic_full_import_as_DC]], 0)) / INDEX(טבלה2[[SPPR_1986]:[SPPR_symbolic_full_import_as_DC]], MATCH('השוואת פקטורים'!$B47, 'PPRs inner'!$A$2:$A$108, 0), MATCH('השוואת פקטורים'!R$6, טבלה2[[#Headers],[SPPR_1986]:[SPPR_symbolic_full_import_as_DC]], 0))
)</f>
        <v>1</v>
      </c>
      <c r="T47" s="9">
        <f>IF($B$4="סהכ",
INDEX(טבלה1[[SPPR_1986]:[SPPR_symbolic_full_import_as_DC]], MATCH('השוואת פקטורים'!$B47, 'PPRs all'!$A$2:$A$108, 0), MATCH('השוואת פקטורים'!T$6, טבלה1[[#Headers],[SPPR_1986]:[SPPR_symbolic_full_import_as_DC]], 0)) / INDEX(טבלה1[[SPPR_1986]:[SPPR_symbolic_full_import_as_DC]], MATCH('השוואת פקטורים'!$B47, 'PPRs all'!$A$2:$A$108, 0), MATCH('השוואת פקטורים'!S$6, טבלה1[[#Headers],[SPPR_1986]:[SPPR_symbolic_full_import_as_DC]], 0)),
INDEX(טבלה2[[SPPR_1986]:[SPPR_symbolic_full_import_as_DC]], MATCH('השוואת פקטורים'!$B47, 'PPRs inner'!$A$2:$A$108, 0), MATCH('השוואת פקטורים'!T$6, טבלה2[[#Headers],[SPPR_1986]:[SPPR_symbolic_full_import_as_DC]], 0)) / INDEX(טבלה2[[SPPR_1986]:[SPPR_symbolic_full_import_as_DC]], MATCH('השוואת פקטורים'!$B47, 'PPRs inner'!$A$2:$A$108, 0), MATCH('השוואת פקטורים'!S$6, טבלה2[[#Headers],[SPPR_1986]:[SPPR_symbolic_full_import_as_DC]], 0))
)</f>
        <v>1</v>
      </c>
      <c r="U47" s="9">
        <f>IF($B$4="סהכ",
INDEX(טבלה1[[SPPR_1986]:[SPPR_symbolic_full_import_as_DC]], MATCH('השוואת פקטורים'!$B47, 'PPRs all'!$A$2:$A$108, 0), MATCH('השוואת פקטורים'!U$6, טבלה1[[#Headers],[SPPR_1986]:[SPPR_symbolic_full_import_as_DC]], 0)) / INDEX(טבלה1[[SPPR_1986]:[SPPR_symbolic_full_import_as_DC]], MATCH('השוואת פקטורים'!$B47, 'PPRs all'!$A$2:$A$108, 0), MATCH('השוואת פקטורים'!T$6, טבלה1[[#Headers],[SPPR_1986]:[SPPR_symbolic_full_import_as_DC]], 0)),
INDEX(טבלה2[[SPPR_1986]:[SPPR_symbolic_full_import_as_DC]], MATCH('השוואת פקטורים'!$B47, 'PPRs inner'!$A$2:$A$108, 0), MATCH('השוואת פקטורים'!U$6, טבלה2[[#Headers],[SPPR_1986]:[SPPR_symbolic_full_import_as_DC]], 0)) / INDEX(טבלה2[[SPPR_1986]:[SPPR_symbolic_full_import_as_DC]], MATCH('השוואת פקטורים'!$B47, 'PPRs inner'!$A$2:$A$108, 0), MATCH('השוואת פקטורים'!T$6, טבלה2[[#Headers],[SPPR_1986]:[SPPR_symbolic_full_import_as_DC]], 0))
)</f>
        <v>0.99999999999999822</v>
      </c>
      <c r="V47" s="9"/>
      <c r="W47" s="9"/>
      <c r="X47" s="14"/>
      <c r="Y47" s="14"/>
      <c r="Z47" s="15">
        <f t="shared" si="2"/>
        <v>1.0448780215006361</v>
      </c>
    </row>
    <row r="48" spans="2:26" x14ac:dyDescent="0.3">
      <c r="B48" s="6" t="s">
        <v>62</v>
      </c>
      <c r="C48" s="12" t="b">
        <v>1</v>
      </c>
      <c r="D48" s="12" t="b">
        <v>1</v>
      </c>
      <c r="E48" s="12" t="b">
        <v>1</v>
      </c>
      <c r="F48" s="12" t="b">
        <f t="shared" si="1"/>
        <v>1</v>
      </c>
      <c r="G48" s="7" t="b">
        <f>ABS(INDEX(טבלה5[[SPPR_1986]:[SPPR_symbolic_full_import_as_DC]],MATCH('השוואת פקטורים'!$B48,טבלה5[עמודה1],0),MATCH($C$4,טבלה5[[#Headers],[SPPR_1986]:[SPPR_symbolic_full_import_as_DC]],0))) &lt; 5</f>
        <v>1</v>
      </c>
      <c r="H48" s="7" t="b">
        <f>INDEX(טבלה3[[SPPR_1986]:[SPPR_symbolic_full_import_as_DC]],MATCH('השוואת פקטורים'!$B48,טבלה3[עמודה1],0),MATCH($C$4,טבלה3[[#Headers],[SPPR_1986]:[SPPR_symbolic_full_import_as_DC]],0))</f>
        <v>1</v>
      </c>
      <c r="I48" s="7" t="b">
        <f t="shared" si="3"/>
        <v>1</v>
      </c>
      <c r="J48" s="13"/>
      <c r="K48" s="9">
        <f>IF($B$4="סהכ",
INDEX(טבלה1[[SPPR_1986]:[SPPR_symbolic_full_import_as_DC]], MATCH('השוואת פקטורים'!$B48, 'PPRs all'!$A$2:$A$108, 0), MATCH('השוואת פקטורים'!K$6, טבלה1[[#Headers],[SPPR_1986]:[SPPR_symbolic_full_import_as_DC]], 0)) / INDEX(טבלה1[[SPPR_1986]:[SPPR_symbolic_full_import_as_DC]], MATCH('השוואת פקטורים'!$B48, 'PPRs all'!$A$2:$A$108, 0), MATCH('השוואת פקטורים'!J$6, טבלה1[[#Headers],[SPPR_1986]:[SPPR_symbolic_full_import_as_DC]], 0)),
INDEX(טבלה2[[SPPR_1986]:[SPPR_symbolic_full_import_as_DC]], MATCH('השוואת פקטורים'!$B48, 'PPRs inner'!$A$2:$A$108, 0), MATCH('השוואת פקטורים'!K$6, טבלה2[[#Headers],[SPPR_1986]:[SPPR_symbolic_full_import_as_DC]], 0)) / INDEX(טבלה2[[SPPR_1986]:[SPPR_symbolic_full_import_as_DC]], MATCH('השוואת פקטורים'!$B48, 'PPRs inner'!$A$2:$A$108, 0), MATCH('השוואת פקטורים'!J$6, טבלה2[[#Headers],[SPPR_1986]:[SPPR_symbolic_full_import_as_DC]], 0))
)</f>
        <v>0.4715689660632737</v>
      </c>
      <c r="L48" s="9">
        <f>IF($B$4="סהכ",
INDEX(טבלה1[[SPPR_1986]:[SPPR_symbolic_full_import_as_DC]], MATCH('השוואת פקטורים'!$B48, 'PPRs all'!$A$2:$A$108, 0), MATCH('השוואת פקטורים'!L$6, טבלה1[[#Headers],[SPPR_1986]:[SPPR_symbolic_full_import_as_DC]], 0)) / INDEX(טבלה1[[SPPR_1986]:[SPPR_symbolic_full_import_as_DC]], MATCH('השוואת פקטורים'!$B48, 'PPRs all'!$A$2:$A$108, 0), MATCH('השוואת פקטורים'!K$6, טבלה1[[#Headers],[SPPR_1986]:[SPPR_symbolic_full_import_as_DC]], 0)),
INDEX(טבלה2[[SPPR_1986]:[SPPR_symbolic_full_import_as_DC]], MATCH('השוואת פקטורים'!$B48, 'PPRs inner'!$A$2:$A$108, 0), MATCH('השוואת פקטורים'!L$6, טבלה2[[#Headers],[SPPR_1986]:[SPPR_symbolic_full_import_as_DC]], 0)) / INDEX(טבלה2[[SPPR_1986]:[SPPR_symbolic_full_import_as_DC]], MATCH('השוואת פקטורים'!$B48, 'PPRs inner'!$A$2:$A$108, 0), MATCH('השוואת פקטורים'!K$6, טבלה2[[#Headers],[SPPR_1986]:[SPPR_symbolic_full_import_as_DC]], 0))
)</f>
        <v>7.4035966973275871</v>
      </c>
      <c r="M48" s="9">
        <f>IF($B$4="סהכ",
INDEX(טבלה1[[SPPR_1986]:[SPPR_symbolic_full_import_as_DC]], MATCH('השוואת פקטורים'!$B48, 'PPRs all'!$A$2:$A$108, 0), MATCH('השוואת פקטורים'!M$6, טבלה1[[#Headers],[SPPR_1986]:[SPPR_symbolic_full_import_as_DC]], 0)) / INDEX(טבלה1[[SPPR_1986]:[SPPR_symbolic_full_import_as_DC]], MATCH('השוואת פקטורים'!$B48, 'PPRs all'!$A$2:$A$108, 0), MATCH('השוואת פקטורים'!L$6, טבלה1[[#Headers],[SPPR_1986]:[SPPR_symbolic_full_import_as_DC]], 0)),
INDEX(טבלה2[[SPPR_1986]:[SPPR_symbolic_full_import_as_DC]], MATCH('השוואת פקטורים'!$B48, 'PPRs inner'!$A$2:$A$108, 0), MATCH('השוואת פקטורים'!M$6, טבלה2[[#Headers],[SPPR_1986]:[SPPR_symbolic_full_import_as_DC]], 0)) / INDEX(טבלה2[[SPPR_1986]:[SPPR_symbolic_full_import_as_DC]], MATCH('השוואת פקטורים'!$B48, 'PPRs inner'!$A$2:$A$108, 0), MATCH('השוואת פקטורים'!L$6, טבלה2[[#Headers],[SPPR_1986]:[SPPR_symbolic_full_import_as_DC]], 0))
)</f>
        <v>0.929326608559641</v>
      </c>
      <c r="N48" s="9">
        <f>IF($B$4="סהכ",
INDEX(טבלה1[[SPPR_1986]:[SPPR_symbolic_full_import_as_DC]], MATCH('השוואת פקטורים'!$B48, 'PPRs all'!$A$2:$A$108, 0), MATCH('השוואת פקטורים'!N$6, טבלה1[[#Headers],[SPPR_1986]:[SPPR_symbolic_full_import_as_DC]], 0)) / INDEX(טבלה1[[SPPR_1986]:[SPPR_symbolic_full_import_as_DC]], MATCH('השוואת פקטורים'!$B48, 'PPRs all'!$A$2:$A$108, 0), MATCH('השוואת פקטורים'!M$6, טבלה1[[#Headers],[SPPR_1986]:[SPPR_symbolic_full_import_as_DC]], 0)),
INDEX(טבלה2[[SPPR_1986]:[SPPR_symbolic_full_import_as_DC]], MATCH('השוואת פקטורים'!$B48, 'PPRs inner'!$A$2:$A$108, 0), MATCH('השוואת פקטורים'!N$6, טבלה2[[#Headers],[SPPR_1986]:[SPPR_symbolic_full_import_as_DC]], 0)) / INDEX(טבלה2[[SPPR_1986]:[SPPR_symbolic_full_import_as_DC]], MATCH('השוואת פקטורים'!$B48, 'PPRs inner'!$A$2:$A$108, 0), MATCH('השוואת פקטורים'!M$6, טבלה2[[#Headers],[SPPR_1986]:[SPPR_symbolic_full_import_as_DC]], 0))
)</f>
        <v>0.78748085259196576</v>
      </c>
      <c r="O48" s="9">
        <f>IF($B$4="סהכ",
INDEX(טבלה1[[SPPR_1986]:[SPPR_symbolic_full_import_as_DC]], MATCH('השוואת פקטורים'!$B48, 'PPRs all'!$A$2:$A$108, 0), MATCH('השוואת פקטורים'!O$6, טבלה1[[#Headers],[SPPR_1986]:[SPPR_symbolic_full_import_as_DC]], 0)) / INDEX(טבלה1[[SPPR_1986]:[SPPR_symbolic_full_import_as_DC]], MATCH('השוואת פקטורים'!$B48, 'PPRs all'!$A$2:$A$108, 0), MATCH('השוואת פקטורים'!N$6, טבלה1[[#Headers],[SPPR_1986]:[SPPR_symbolic_full_import_as_DC]], 0)),
INDEX(טבלה2[[SPPR_1986]:[SPPR_symbolic_full_import_as_DC]], MATCH('השוואת פקטורים'!$B48, 'PPRs inner'!$A$2:$A$108, 0), MATCH('השוואת פקטורים'!O$6, טבלה2[[#Headers],[SPPR_1986]:[SPPR_symbolic_full_import_as_DC]], 0)) / INDEX(טבלה2[[SPPR_1986]:[SPPR_symbolic_full_import_as_DC]], MATCH('השוואת פקטורים'!$B48, 'PPRs inner'!$A$2:$A$108, 0), MATCH('השוואת פקטורים'!N$6, טבלה2[[#Headers],[SPPR_1986]:[SPPR_symbolic_full_import_as_DC]], 0))
)</f>
        <v>1.0000000000000004</v>
      </c>
      <c r="P48" s="9">
        <f>IF($B$4="סהכ",
INDEX(טבלה1[[SPPR_1986]:[SPPR_symbolic_full_import_as_DC]], MATCH('השוואת פקטורים'!$B48, 'PPRs all'!$A$2:$A$108, 0), MATCH('השוואת פקטורים'!P$6, טבלה1[[#Headers],[SPPR_1986]:[SPPR_symbolic_full_import_as_DC]], 0)) / INDEX(טבלה1[[SPPR_1986]:[SPPR_symbolic_full_import_as_DC]], MATCH('השוואת פקטורים'!$B48, 'PPRs all'!$A$2:$A$108, 0), MATCH('השוואת פקטורים'!O$6, טבלה1[[#Headers],[SPPR_1986]:[SPPR_symbolic_full_import_as_DC]], 0)),
INDEX(טבלה2[[SPPR_1986]:[SPPR_symbolic_full_import_as_DC]], MATCH('השוואת פקטורים'!$B48, 'PPRs inner'!$A$2:$A$108, 0), MATCH('השוואת פקטורים'!P$6, טבלה2[[#Headers],[SPPR_1986]:[SPPR_symbolic_full_import_as_DC]], 0)) / INDEX(טבלה2[[SPPR_1986]:[SPPR_symbolic_full_import_as_DC]], MATCH('השוואת פקטורים'!$B48, 'PPRs inner'!$A$2:$A$108, 0), MATCH('השוואת פקטורים'!O$6, טבלה2[[#Headers],[SPPR_1986]:[SPPR_symbolic_full_import_as_DC]], 0))
)</f>
        <v>2.8314946201493676</v>
      </c>
      <c r="Q48" s="9">
        <f>IF($B$4="סהכ",
INDEX(טבלה1[[SPPR_1986]:[SPPR_symbolic_full_import_as_DC]], MATCH('השוואת פקטורים'!$B48, 'PPRs all'!$A$2:$A$108, 0), MATCH('השוואת פקטורים'!Q$6, טבלה1[[#Headers],[SPPR_1986]:[SPPR_symbolic_full_import_as_DC]], 0)) / INDEX(טבלה1[[SPPR_1986]:[SPPR_symbolic_full_import_as_DC]], MATCH('השוואת פקטורים'!$B48, 'PPRs all'!$A$2:$A$108, 0), MATCH('השוואת פקטורים'!P$6, טבלה1[[#Headers],[SPPR_1986]:[SPPR_symbolic_full_import_as_DC]], 0)),
INDEX(טבלה2[[SPPR_1986]:[SPPR_symbolic_full_import_as_DC]], MATCH('השוואת פקטורים'!$B48, 'PPRs inner'!$A$2:$A$108, 0), MATCH('השוואת פקטורים'!Q$6, טבלה2[[#Headers],[SPPR_1986]:[SPPR_symbolic_full_import_as_DC]], 0)) / INDEX(טבלה2[[SPPR_1986]:[SPPR_symbolic_full_import_as_DC]], MATCH('השוואת פקטורים'!$B48, 'PPRs inner'!$A$2:$A$108, 0), MATCH('השוואת פקטורים'!P$6, טבלה2[[#Headers],[SPPR_1986]:[SPPR_symbolic_full_import_as_DC]], 0))
)</f>
        <v>1</v>
      </c>
      <c r="R48" s="9">
        <f>IF($B$4="סהכ",
INDEX(טבלה1[[SPPR_1986]:[SPPR_symbolic_full_import_as_DC]], MATCH('השוואת פקטורים'!$B48, 'PPRs all'!$A$2:$A$108, 0), MATCH('השוואת פקטורים'!R$6, טבלה1[[#Headers],[SPPR_1986]:[SPPR_symbolic_full_import_as_DC]], 0)) / INDEX(טבלה1[[SPPR_1986]:[SPPR_symbolic_full_import_as_DC]], MATCH('השוואת פקטורים'!$B48, 'PPRs all'!$A$2:$A$108, 0), MATCH('השוואת פקטורים'!Q$6, טבלה1[[#Headers],[SPPR_1986]:[SPPR_symbolic_full_import_as_DC]], 0)),
INDEX(טבלה2[[SPPR_1986]:[SPPR_symbolic_full_import_as_DC]], MATCH('השוואת פקטורים'!$B48, 'PPRs inner'!$A$2:$A$108, 0), MATCH('השוואת פקטורים'!R$6, טבלה2[[#Headers],[SPPR_1986]:[SPPR_symbolic_full_import_as_DC]], 0)) / INDEX(טבלה2[[SPPR_1986]:[SPPR_symbolic_full_import_as_DC]], MATCH('השוואת פקטורים'!$B48, 'PPRs inner'!$A$2:$A$108, 0), MATCH('השוואת פקטורים'!Q$6, טבלה2[[#Headers],[SPPR_1986]:[SPPR_symbolic_full_import_as_DC]], 0))
)</f>
        <v>1</v>
      </c>
      <c r="S48" s="9">
        <f>IF($B$4="סהכ",
INDEX(טבלה1[[SPPR_1986]:[SPPR_symbolic_full_import_as_DC]], MATCH('השוואת פקטורים'!$B48, 'PPRs all'!$A$2:$A$108, 0), MATCH('השוואת פקטורים'!S$6, טבלה1[[#Headers],[SPPR_1986]:[SPPR_symbolic_full_import_as_DC]], 0)) / INDEX(טבלה1[[SPPR_1986]:[SPPR_symbolic_full_import_as_DC]], MATCH('השוואת פקטורים'!$B48, 'PPRs all'!$A$2:$A$108, 0), MATCH('השוואת פקטורים'!R$6, טבלה1[[#Headers],[SPPR_1986]:[SPPR_symbolic_full_import_as_DC]], 0)),
INDEX(טבלה2[[SPPR_1986]:[SPPR_symbolic_full_import_as_DC]], MATCH('השוואת פקטורים'!$B48, 'PPRs inner'!$A$2:$A$108, 0), MATCH('השוואת פקטורים'!S$6, טבלה2[[#Headers],[SPPR_1986]:[SPPR_symbolic_full_import_as_DC]], 0)) / INDEX(טבלה2[[SPPR_1986]:[SPPR_symbolic_full_import_as_DC]], MATCH('השוואת פקטורים'!$B48, 'PPRs inner'!$A$2:$A$108, 0), MATCH('השוואת פקטורים'!R$6, טבלה2[[#Headers],[SPPR_1986]:[SPPR_symbolic_full_import_as_DC]], 0))
)</f>
        <v>1</v>
      </c>
      <c r="T48" s="9">
        <f>IF($B$4="סהכ",
INDEX(טבלה1[[SPPR_1986]:[SPPR_symbolic_full_import_as_DC]], MATCH('השוואת פקטורים'!$B48, 'PPRs all'!$A$2:$A$108, 0), MATCH('השוואת פקטורים'!T$6, טבלה1[[#Headers],[SPPR_1986]:[SPPR_symbolic_full_import_as_DC]], 0)) / INDEX(טבלה1[[SPPR_1986]:[SPPR_symbolic_full_import_as_DC]], MATCH('השוואת פקטורים'!$B48, 'PPRs all'!$A$2:$A$108, 0), MATCH('השוואת פקטורים'!S$6, טבלה1[[#Headers],[SPPR_1986]:[SPPR_symbolic_full_import_as_DC]], 0)),
INDEX(טבלה2[[SPPR_1986]:[SPPR_symbolic_full_import_as_DC]], MATCH('השוואת פקטורים'!$B48, 'PPRs inner'!$A$2:$A$108, 0), MATCH('השוואת פקטורים'!T$6, טבלה2[[#Headers],[SPPR_1986]:[SPPR_symbolic_full_import_as_DC]], 0)) / INDEX(טבלה2[[SPPR_1986]:[SPPR_symbolic_full_import_as_DC]], MATCH('השוואת פקטורים'!$B48, 'PPRs inner'!$A$2:$A$108, 0), MATCH('השוואת פקטורים'!S$6, טבלה2[[#Headers],[SPPR_1986]:[SPPR_symbolic_full_import_as_DC]], 0))
)</f>
        <v>1</v>
      </c>
      <c r="U48" s="9">
        <f>IF($B$4="סהכ",
INDEX(טבלה1[[SPPR_1986]:[SPPR_symbolic_full_import_as_DC]], MATCH('השוואת פקטורים'!$B48, 'PPRs all'!$A$2:$A$108, 0), MATCH('השוואת פקטורים'!U$6, טבלה1[[#Headers],[SPPR_1986]:[SPPR_symbolic_full_import_as_DC]], 0)) / INDEX(טבלה1[[SPPR_1986]:[SPPR_symbolic_full_import_as_DC]], MATCH('השוואת פקטורים'!$B48, 'PPRs all'!$A$2:$A$108, 0), MATCH('השוואת פקטורים'!T$6, טבלה1[[#Headers],[SPPR_1986]:[SPPR_symbolic_full_import_as_DC]], 0)),
INDEX(טבלה2[[SPPR_1986]:[SPPR_symbolic_full_import_as_DC]], MATCH('השוואת פקטורים'!$B48, 'PPRs inner'!$A$2:$A$108, 0), MATCH('השוואת פקטורים'!U$6, טבלה2[[#Headers],[SPPR_1986]:[SPPR_symbolic_full_import_as_DC]], 0)) / INDEX(טבלה2[[SPPR_1986]:[SPPR_symbolic_full_import_as_DC]], MATCH('השוואת פקטורים'!$B48, 'PPRs inner'!$A$2:$A$108, 0), MATCH('השוואת פקטורים'!T$6, טבלה2[[#Headers],[SPPR_1986]:[SPPR_symbolic_full_import_as_DC]], 0))
)</f>
        <v>1</v>
      </c>
      <c r="V48" s="9"/>
      <c r="W48" s="9"/>
      <c r="X48" s="14"/>
      <c r="Y48" s="14"/>
      <c r="Z48" s="15">
        <f t="shared" si="2"/>
        <v>7.2345593730456663</v>
      </c>
    </row>
    <row r="49" spans="2:26" x14ac:dyDescent="0.3">
      <c r="B49" s="6" t="s">
        <v>63</v>
      </c>
      <c r="C49" s="12" t="b">
        <v>1</v>
      </c>
      <c r="D49" s="12" t="b">
        <v>1</v>
      </c>
      <c r="E49" s="12" t="b">
        <v>1</v>
      </c>
      <c r="F49" s="12" t="b">
        <f t="shared" si="1"/>
        <v>1</v>
      </c>
      <c r="G49" s="7" t="b">
        <f>ABS(INDEX(טבלה5[[SPPR_1986]:[SPPR_symbolic_full_import_as_DC]],MATCH('השוואת פקטורים'!$B49,טבלה5[עמודה1],0),MATCH($C$4,טבלה5[[#Headers],[SPPR_1986]:[SPPR_symbolic_full_import_as_DC]],0))) &lt; 5</f>
        <v>1</v>
      </c>
      <c r="H49" s="7" t="b">
        <f>INDEX(טבלה3[[SPPR_1986]:[SPPR_symbolic_full_import_as_DC]],MATCH('השוואת פקטורים'!$B49,טבלה3[עמודה1],0),MATCH($C$4,טבלה3[[#Headers],[SPPR_1986]:[SPPR_symbolic_full_import_as_DC]],0))</f>
        <v>1</v>
      </c>
      <c r="I49" s="7" t="b">
        <f t="shared" si="3"/>
        <v>1</v>
      </c>
      <c r="J49" s="13"/>
      <c r="K49" s="9">
        <f>IF($B$4="סהכ",
INDEX(טבלה1[[SPPR_1986]:[SPPR_symbolic_full_import_as_DC]], MATCH('השוואת פקטורים'!$B49, 'PPRs all'!$A$2:$A$108, 0), MATCH('השוואת פקטורים'!K$6, טבלה1[[#Headers],[SPPR_1986]:[SPPR_symbolic_full_import_as_DC]], 0)) / INDEX(טבלה1[[SPPR_1986]:[SPPR_symbolic_full_import_as_DC]], MATCH('השוואת פקטורים'!$B49, 'PPRs all'!$A$2:$A$108, 0), MATCH('השוואת פקטורים'!J$6, טבלה1[[#Headers],[SPPR_1986]:[SPPR_symbolic_full_import_as_DC]], 0)),
INDEX(טבלה2[[SPPR_1986]:[SPPR_symbolic_full_import_as_DC]], MATCH('השוואת פקטורים'!$B49, 'PPRs inner'!$A$2:$A$108, 0), MATCH('השוואת פקטורים'!K$6, טבלה2[[#Headers],[SPPR_1986]:[SPPR_symbolic_full_import_as_DC]], 0)) / INDEX(טבלה2[[SPPR_1986]:[SPPR_symbolic_full_import_as_DC]], MATCH('השוואת פקטורים'!$B49, 'PPRs inner'!$A$2:$A$108, 0), MATCH('השוואת פקטורים'!J$6, טבלה2[[#Headers],[SPPR_1986]:[SPPR_symbolic_full_import_as_DC]], 0))
)</f>
        <v>0.74336337662778829</v>
      </c>
      <c r="L49" s="9">
        <f>IF($B$4="סהכ",
INDEX(טבלה1[[SPPR_1986]:[SPPR_symbolic_full_import_as_DC]], MATCH('השוואת פקטורים'!$B49, 'PPRs all'!$A$2:$A$108, 0), MATCH('השוואת פקטורים'!L$6, טבלה1[[#Headers],[SPPR_1986]:[SPPR_symbolic_full_import_as_DC]], 0)) / INDEX(טבלה1[[SPPR_1986]:[SPPR_symbolic_full_import_as_DC]], MATCH('השוואת פקטורים'!$B49, 'PPRs all'!$A$2:$A$108, 0), MATCH('השוואת פקטורים'!K$6, טבלה1[[#Headers],[SPPR_1986]:[SPPR_symbolic_full_import_as_DC]], 0)),
INDEX(טבלה2[[SPPR_1986]:[SPPR_symbolic_full_import_as_DC]], MATCH('השוואת פקטורים'!$B49, 'PPRs inner'!$A$2:$A$108, 0), MATCH('השוואת פקטורים'!L$6, טבלה2[[#Headers],[SPPR_1986]:[SPPR_symbolic_full_import_as_DC]], 0)) / INDEX(טבלה2[[SPPR_1986]:[SPPR_symbolic_full_import_as_DC]], MATCH('השוואת פקטורים'!$B49, 'PPRs inner'!$A$2:$A$108, 0), MATCH('השוואת פקטורים'!K$6, טבלה2[[#Headers],[SPPR_1986]:[SPPR_symbolic_full_import_as_DC]], 0))
)</f>
        <v>3.5475832830029606</v>
      </c>
      <c r="M49" s="9">
        <f>IF($B$4="סהכ",
INDEX(טבלה1[[SPPR_1986]:[SPPR_symbolic_full_import_as_DC]], MATCH('השוואת פקטורים'!$B49, 'PPRs all'!$A$2:$A$108, 0), MATCH('השוואת פקטורים'!M$6, טבלה1[[#Headers],[SPPR_1986]:[SPPR_symbolic_full_import_as_DC]], 0)) / INDEX(טבלה1[[SPPR_1986]:[SPPR_symbolic_full_import_as_DC]], MATCH('השוואת פקטורים'!$B49, 'PPRs all'!$A$2:$A$108, 0), MATCH('השוואת פקטורים'!L$6, טבלה1[[#Headers],[SPPR_1986]:[SPPR_symbolic_full_import_as_DC]], 0)),
INDEX(טבלה2[[SPPR_1986]:[SPPR_symbolic_full_import_as_DC]], MATCH('השוואת פקטורים'!$B49, 'PPRs inner'!$A$2:$A$108, 0), MATCH('השוואת פקטורים'!M$6, טבלה2[[#Headers],[SPPR_1986]:[SPPR_symbolic_full_import_as_DC]], 0)) / INDEX(טבלה2[[SPPR_1986]:[SPPR_symbolic_full_import_as_DC]], MATCH('השוואת פקטורים'!$B49, 'PPRs inner'!$A$2:$A$108, 0), MATCH('השוואת פקטורים'!L$6, טבלה2[[#Headers],[SPPR_1986]:[SPPR_symbolic_full_import_as_DC]], 0))
)</f>
        <v>0.27195339330754947</v>
      </c>
      <c r="N49" s="9">
        <f>IF($B$4="סהכ",
INDEX(טבלה1[[SPPR_1986]:[SPPR_symbolic_full_import_as_DC]], MATCH('השוואת פקטורים'!$B49, 'PPRs all'!$A$2:$A$108, 0), MATCH('השוואת פקטורים'!N$6, טבלה1[[#Headers],[SPPR_1986]:[SPPR_symbolic_full_import_as_DC]], 0)) / INDEX(טבלה1[[SPPR_1986]:[SPPR_symbolic_full_import_as_DC]], MATCH('השוואת פקטורים'!$B49, 'PPRs all'!$A$2:$A$108, 0), MATCH('השוואת פקטורים'!M$6, טבלה1[[#Headers],[SPPR_1986]:[SPPR_symbolic_full_import_as_DC]], 0)),
INDEX(טבלה2[[SPPR_1986]:[SPPR_symbolic_full_import_as_DC]], MATCH('השוואת פקטורים'!$B49, 'PPRs inner'!$A$2:$A$108, 0), MATCH('השוואת פקטורים'!N$6, טבלה2[[#Headers],[SPPR_1986]:[SPPR_symbolic_full_import_as_DC]], 0)) / INDEX(טבלה2[[SPPR_1986]:[SPPR_symbolic_full_import_as_DC]], MATCH('השוואת פקטורים'!$B49, 'PPRs inner'!$A$2:$A$108, 0), MATCH('השוואת פקטורים'!M$6, טבלה2[[#Headers],[SPPR_1986]:[SPPR_symbolic_full_import_as_DC]], 0))
)</f>
        <v>1.3190525848601964</v>
      </c>
      <c r="O49" s="9">
        <f>IF($B$4="סהכ",
INDEX(טבלה1[[SPPR_1986]:[SPPR_symbolic_full_import_as_DC]], MATCH('השוואת פקטורים'!$B49, 'PPRs all'!$A$2:$A$108, 0), MATCH('השוואת פקטורים'!O$6, טבלה1[[#Headers],[SPPR_1986]:[SPPR_symbolic_full_import_as_DC]], 0)) / INDEX(טבלה1[[SPPR_1986]:[SPPR_symbolic_full_import_as_DC]], MATCH('השוואת פקטורים'!$B49, 'PPRs all'!$A$2:$A$108, 0), MATCH('השוואת פקטורים'!N$6, טבלה1[[#Headers],[SPPR_1986]:[SPPR_symbolic_full_import_as_DC]], 0)),
INDEX(טבלה2[[SPPR_1986]:[SPPR_symbolic_full_import_as_DC]], MATCH('השוואת פקטורים'!$B49, 'PPRs inner'!$A$2:$A$108, 0), MATCH('השוואת פקטורים'!O$6, טבלה2[[#Headers],[SPPR_1986]:[SPPR_symbolic_full_import_as_DC]], 0)) / INDEX(טבלה2[[SPPR_1986]:[SPPR_symbolic_full_import_as_DC]], MATCH('השוואת פקטורים'!$B49, 'PPRs inner'!$A$2:$A$108, 0), MATCH('השוואת פקטורים'!N$6, טבלה2[[#Headers],[SPPR_1986]:[SPPR_symbolic_full_import_as_DC]], 0))
)</f>
        <v>0.99999999999999978</v>
      </c>
      <c r="P49" s="9">
        <f>IF($B$4="סהכ",
INDEX(טבלה1[[SPPR_1986]:[SPPR_symbolic_full_import_as_DC]], MATCH('השוואת פקטורים'!$B49, 'PPRs all'!$A$2:$A$108, 0), MATCH('השוואת פקטורים'!P$6, טבלה1[[#Headers],[SPPR_1986]:[SPPR_symbolic_full_import_as_DC]], 0)) / INDEX(טבלה1[[SPPR_1986]:[SPPR_symbolic_full_import_as_DC]], MATCH('השוואת פקטורים'!$B49, 'PPRs all'!$A$2:$A$108, 0), MATCH('השוואת פקטורים'!O$6, טבלה1[[#Headers],[SPPR_1986]:[SPPR_symbolic_full_import_as_DC]], 0)),
INDEX(טבלה2[[SPPR_1986]:[SPPR_symbolic_full_import_as_DC]], MATCH('השוואת פקטורים'!$B49, 'PPRs inner'!$A$2:$A$108, 0), MATCH('השוואת פקטורים'!P$6, טבלה2[[#Headers],[SPPR_1986]:[SPPR_symbolic_full_import_as_DC]], 0)) / INDEX(טבלה2[[SPPR_1986]:[SPPR_symbolic_full_import_as_DC]], MATCH('השוואת פקטורים'!$B49, 'PPRs inner'!$A$2:$A$108, 0), MATCH('השוואת פקטורים'!O$6, טבלה2[[#Headers],[SPPR_1986]:[SPPR_symbolic_full_import_as_DC]], 0))
)</f>
        <v>1.1948824220012875</v>
      </c>
      <c r="Q49" s="9">
        <f>IF($B$4="סהכ",
INDEX(טבלה1[[SPPR_1986]:[SPPR_symbolic_full_import_as_DC]], MATCH('השוואת פקטורים'!$B49, 'PPRs all'!$A$2:$A$108, 0), MATCH('השוואת פקטורים'!Q$6, טבלה1[[#Headers],[SPPR_1986]:[SPPR_symbolic_full_import_as_DC]], 0)) / INDEX(טבלה1[[SPPR_1986]:[SPPR_symbolic_full_import_as_DC]], MATCH('השוואת פקטורים'!$B49, 'PPRs all'!$A$2:$A$108, 0), MATCH('השוואת פקטורים'!P$6, טבלה1[[#Headers],[SPPR_1986]:[SPPR_symbolic_full_import_as_DC]], 0)),
INDEX(טבלה2[[SPPR_1986]:[SPPR_symbolic_full_import_as_DC]], MATCH('השוואת פקטורים'!$B49, 'PPRs inner'!$A$2:$A$108, 0), MATCH('השוואת פקטורים'!Q$6, טבלה2[[#Headers],[SPPR_1986]:[SPPR_symbolic_full_import_as_DC]], 0)) / INDEX(טבלה2[[SPPR_1986]:[SPPR_symbolic_full_import_as_DC]], MATCH('השוואת פקטורים'!$B49, 'PPRs inner'!$A$2:$A$108, 0), MATCH('השוואת פקטורים'!P$6, טבלה2[[#Headers],[SPPR_1986]:[SPPR_symbolic_full_import_as_DC]], 0))
)</f>
        <v>0.99999999999999956</v>
      </c>
      <c r="R49" s="9">
        <f>IF($B$4="סהכ",
INDEX(טבלה1[[SPPR_1986]:[SPPR_symbolic_full_import_as_DC]], MATCH('השוואת פקטורים'!$B49, 'PPRs all'!$A$2:$A$108, 0), MATCH('השוואת פקטורים'!R$6, טבלה1[[#Headers],[SPPR_1986]:[SPPR_symbolic_full_import_as_DC]], 0)) / INDEX(טבלה1[[SPPR_1986]:[SPPR_symbolic_full_import_as_DC]], MATCH('השוואת פקטורים'!$B49, 'PPRs all'!$A$2:$A$108, 0), MATCH('השוואת פקטורים'!Q$6, טבלה1[[#Headers],[SPPR_1986]:[SPPR_symbolic_full_import_as_DC]], 0)),
INDEX(טבלה2[[SPPR_1986]:[SPPR_symbolic_full_import_as_DC]], MATCH('השוואת פקטורים'!$B49, 'PPRs inner'!$A$2:$A$108, 0), MATCH('השוואת פקטורים'!R$6, טבלה2[[#Headers],[SPPR_1986]:[SPPR_symbolic_full_import_as_DC]], 0)) / INDEX(טבלה2[[SPPR_1986]:[SPPR_symbolic_full_import_as_DC]], MATCH('השוואת פקטורים'!$B49, 'PPRs inner'!$A$2:$A$108, 0), MATCH('השוואת פקטורים'!Q$6, טבלה2[[#Headers],[SPPR_1986]:[SPPR_symbolic_full_import_as_DC]], 0))
)</f>
        <v>1</v>
      </c>
      <c r="S49" s="9">
        <f>IF($B$4="סהכ",
INDEX(טבלה1[[SPPR_1986]:[SPPR_symbolic_full_import_as_DC]], MATCH('השוואת פקטורים'!$B49, 'PPRs all'!$A$2:$A$108, 0), MATCH('השוואת פקטורים'!S$6, טבלה1[[#Headers],[SPPR_1986]:[SPPR_symbolic_full_import_as_DC]], 0)) / INDEX(טבלה1[[SPPR_1986]:[SPPR_symbolic_full_import_as_DC]], MATCH('השוואת פקטורים'!$B49, 'PPRs all'!$A$2:$A$108, 0), MATCH('השוואת פקטורים'!R$6, טבלה1[[#Headers],[SPPR_1986]:[SPPR_symbolic_full_import_as_DC]], 0)),
INDEX(טבלה2[[SPPR_1986]:[SPPR_symbolic_full_import_as_DC]], MATCH('השוואת פקטורים'!$B49, 'PPRs inner'!$A$2:$A$108, 0), MATCH('השוואת פקטורים'!S$6, טבלה2[[#Headers],[SPPR_1986]:[SPPR_symbolic_full_import_as_DC]], 0)) / INDEX(טבלה2[[SPPR_1986]:[SPPR_symbolic_full_import_as_DC]], MATCH('השוואת פקטורים'!$B49, 'PPRs inner'!$A$2:$A$108, 0), MATCH('השוואת פקטורים'!R$6, טבלה2[[#Headers],[SPPR_1986]:[SPPR_symbolic_full_import_as_DC]], 0))
)</f>
        <v>1</v>
      </c>
      <c r="T49" s="9">
        <f>IF($B$4="סהכ",
INDEX(טבלה1[[SPPR_1986]:[SPPR_symbolic_full_import_as_DC]], MATCH('השוואת פקטורים'!$B49, 'PPRs all'!$A$2:$A$108, 0), MATCH('השוואת פקטורים'!T$6, טבלה1[[#Headers],[SPPR_1986]:[SPPR_symbolic_full_import_as_DC]], 0)) / INDEX(טבלה1[[SPPR_1986]:[SPPR_symbolic_full_import_as_DC]], MATCH('השוואת פקטורים'!$B49, 'PPRs all'!$A$2:$A$108, 0), MATCH('השוואת פקטורים'!S$6, טבלה1[[#Headers],[SPPR_1986]:[SPPR_symbolic_full_import_as_DC]], 0)),
INDEX(טבלה2[[SPPR_1986]:[SPPR_symbolic_full_import_as_DC]], MATCH('השוואת פקטורים'!$B49, 'PPRs inner'!$A$2:$A$108, 0), MATCH('השוואת פקטורים'!T$6, טבלה2[[#Headers],[SPPR_1986]:[SPPR_symbolic_full_import_as_DC]], 0)) / INDEX(טבלה2[[SPPR_1986]:[SPPR_symbolic_full_import_as_DC]], MATCH('השוואת פקטורים'!$B49, 'PPRs inner'!$A$2:$A$108, 0), MATCH('השוואת פקטורים'!S$6, טבלה2[[#Headers],[SPPR_1986]:[SPPR_symbolic_full_import_as_DC]], 0))
)</f>
        <v>1</v>
      </c>
      <c r="U49" s="9">
        <f>IF($B$4="סהכ",
INDEX(טבלה1[[SPPR_1986]:[SPPR_symbolic_full_import_as_DC]], MATCH('השוואת פקטורים'!$B49, 'PPRs all'!$A$2:$A$108, 0), MATCH('השוואת פקטורים'!U$6, טבלה1[[#Headers],[SPPR_1986]:[SPPR_symbolic_full_import_as_DC]], 0)) / INDEX(טבלה1[[SPPR_1986]:[SPPR_symbolic_full_import_as_DC]], MATCH('השוואת פקטורים'!$B49, 'PPRs all'!$A$2:$A$108, 0), MATCH('השוואת פקטורים'!T$6, טבלה1[[#Headers],[SPPR_1986]:[SPPR_symbolic_full_import_as_DC]], 0)),
INDEX(טבלה2[[SPPR_1986]:[SPPR_symbolic_full_import_as_DC]], MATCH('השוואת פקטורים'!$B49, 'PPRs inner'!$A$2:$A$108, 0), MATCH('השוואת פקטורים'!U$6, טבלה2[[#Headers],[SPPR_1986]:[SPPR_symbolic_full_import_as_DC]], 0)) / INDEX(טבלה2[[SPPR_1986]:[SPPR_symbolic_full_import_as_DC]], MATCH('השוואת פקטורים'!$B49, 'PPRs inner'!$A$2:$A$108, 0), MATCH('השוואת פקטורים'!T$6, טבלה2[[#Headers],[SPPR_1986]:[SPPR_symbolic_full_import_as_DC]], 0))
)</f>
        <v>1.0000000000000004</v>
      </c>
      <c r="V49" s="9"/>
      <c r="W49" s="9"/>
      <c r="X49" s="14"/>
      <c r="Y49" s="14"/>
      <c r="Z49" s="15">
        <f t="shared" si="2"/>
        <v>1.1303567296423269</v>
      </c>
    </row>
    <row r="50" spans="2:26" x14ac:dyDescent="0.3">
      <c r="B50" s="6" t="s">
        <v>64</v>
      </c>
      <c r="C50" s="12" t="b">
        <v>1</v>
      </c>
      <c r="D50" s="12" t="b">
        <v>0</v>
      </c>
      <c r="E50" s="12" t="b">
        <v>1</v>
      </c>
      <c r="F50" s="12" t="b">
        <f t="shared" si="1"/>
        <v>0</v>
      </c>
      <c r="G50" s="7" t="b">
        <f>ABS(INDEX(טבלה5[[SPPR_1986]:[SPPR_symbolic_full_import_as_DC]],MATCH('השוואת פקטורים'!$B50,טבלה5[עמודה1],0),MATCH($C$4,טבלה5[[#Headers],[SPPR_1986]:[SPPR_symbolic_full_import_as_DC]],0))) &lt; 5</f>
        <v>1</v>
      </c>
      <c r="H50" s="7" t="b">
        <f>INDEX(טבלה3[[SPPR_1986]:[SPPR_symbolic_full_import_as_DC]],MATCH('השוואת פקטורים'!$B50,טבלה3[עמודה1],0),MATCH($C$4,טבלה3[[#Headers],[SPPR_1986]:[SPPR_symbolic_full_import_as_DC]],0))</f>
        <v>1</v>
      </c>
      <c r="I50" s="7" t="b">
        <f t="shared" si="3"/>
        <v>0</v>
      </c>
      <c r="J50" s="13"/>
      <c r="K50" s="9">
        <f>IF($B$4="סהכ",
INDEX(טבלה1[[SPPR_1986]:[SPPR_symbolic_full_import_as_DC]], MATCH('השוואת פקטורים'!$B50, 'PPRs all'!$A$2:$A$108, 0), MATCH('השוואת פקטורים'!K$6, טבלה1[[#Headers],[SPPR_1986]:[SPPR_symbolic_full_import_as_DC]], 0)) / INDEX(טבלה1[[SPPR_1986]:[SPPR_symbolic_full_import_as_DC]], MATCH('השוואת פקטורים'!$B50, 'PPRs all'!$A$2:$A$108, 0), MATCH('השוואת פקטורים'!J$6, טבלה1[[#Headers],[SPPR_1986]:[SPPR_symbolic_full_import_as_DC]], 0)),
INDEX(טבלה2[[SPPR_1986]:[SPPR_symbolic_full_import_as_DC]], MATCH('השוואת פקטורים'!$B50, 'PPRs inner'!$A$2:$A$108, 0), MATCH('השוואת פקטורים'!K$6, טבלה2[[#Headers],[SPPR_1986]:[SPPR_symbolic_full_import_as_DC]], 0)) / INDEX(טבלה2[[SPPR_1986]:[SPPR_symbolic_full_import_as_DC]], MATCH('השוואת פקטורים'!$B50, 'PPRs inner'!$A$2:$A$108, 0), MATCH('השוואת פקטורים'!J$6, טבלה2[[#Headers],[SPPR_1986]:[SPPR_symbolic_full_import_as_DC]], 0))
)</f>
        <v>0.2178215928611133</v>
      </c>
      <c r="L50" s="9">
        <f>IF($B$4="סהכ",
INDEX(טבלה1[[SPPR_1986]:[SPPR_symbolic_full_import_as_DC]], MATCH('השוואת פקטורים'!$B50, 'PPRs all'!$A$2:$A$108, 0), MATCH('השוואת פקטורים'!L$6, טבלה1[[#Headers],[SPPR_1986]:[SPPR_symbolic_full_import_as_DC]], 0)) / INDEX(טבלה1[[SPPR_1986]:[SPPR_symbolic_full_import_as_DC]], MATCH('השוואת פקטורים'!$B50, 'PPRs all'!$A$2:$A$108, 0), MATCH('השוואת פקטורים'!K$6, טבלה1[[#Headers],[SPPR_1986]:[SPPR_symbolic_full_import_as_DC]], 0)),
INDEX(טבלה2[[SPPR_1986]:[SPPR_symbolic_full_import_as_DC]], MATCH('השוואת פקטורים'!$B50, 'PPRs inner'!$A$2:$A$108, 0), MATCH('השוואת פקטורים'!L$6, טבלה2[[#Headers],[SPPR_1986]:[SPPR_symbolic_full_import_as_DC]], 0)) / INDEX(טבלה2[[SPPR_1986]:[SPPR_symbolic_full_import_as_DC]], MATCH('השוואת פקטורים'!$B50, 'PPRs inner'!$A$2:$A$108, 0), MATCH('השוואת פקטורים'!K$6, טבלה2[[#Headers],[SPPR_1986]:[SPPR_symbolic_full_import_as_DC]], 0))
)</f>
        <v>1.3149425134926251</v>
      </c>
      <c r="M50" s="9">
        <f>IF($B$4="סהכ",
INDEX(טבלה1[[SPPR_1986]:[SPPR_symbolic_full_import_as_DC]], MATCH('השוואת פקטורים'!$B50, 'PPRs all'!$A$2:$A$108, 0), MATCH('השוואת פקטורים'!M$6, טבלה1[[#Headers],[SPPR_1986]:[SPPR_symbolic_full_import_as_DC]], 0)) / INDEX(טבלה1[[SPPR_1986]:[SPPR_symbolic_full_import_as_DC]], MATCH('השוואת פקטורים'!$B50, 'PPRs all'!$A$2:$A$108, 0), MATCH('השוואת פקטורים'!L$6, טבלה1[[#Headers],[SPPR_1986]:[SPPR_symbolic_full_import_as_DC]], 0)),
INDEX(טבלה2[[SPPR_1986]:[SPPR_symbolic_full_import_as_DC]], MATCH('השוואת פקטורים'!$B50, 'PPRs inner'!$A$2:$A$108, 0), MATCH('השוואת פקטורים'!M$6, טבלה2[[#Headers],[SPPR_1986]:[SPPR_symbolic_full_import_as_DC]], 0)) / INDEX(טבלה2[[SPPR_1986]:[SPPR_symbolic_full_import_as_DC]], MATCH('השוואת פקטורים'!$B50, 'PPRs inner'!$A$2:$A$108, 0), MATCH('השוואת פקטורים'!L$6, טבלה2[[#Headers],[SPPR_1986]:[SPPR_symbolic_full_import_as_DC]], 0))
)</f>
        <v>1.5377329881009467</v>
      </c>
      <c r="N50" s="9">
        <f>IF($B$4="סהכ",
INDEX(טבלה1[[SPPR_1986]:[SPPR_symbolic_full_import_as_DC]], MATCH('השוואת פקטורים'!$B50, 'PPRs all'!$A$2:$A$108, 0), MATCH('השוואת פקטורים'!N$6, טבלה1[[#Headers],[SPPR_1986]:[SPPR_symbolic_full_import_as_DC]], 0)) / INDEX(טבלה1[[SPPR_1986]:[SPPR_symbolic_full_import_as_DC]], MATCH('השוואת פקטורים'!$B50, 'PPRs all'!$A$2:$A$108, 0), MATCH('השוואת פקטורים'!M$6, טבלה1[[#Headers],[SPPR_1986]:[SPPR_symbolic_full_import_as_DC]], 0)),
INDEX(טבלה2[[SPPR_1986]:[SPPR_symbolic_full_import_as_DC]], MATCH('השוואת פקטורים'!$B50, 'PPRs inner'!$A$2:$A$108, 0), MATCH('השוואת פקטורים'!N$6, טבלה2[[#Headers],[SPPR_1986]:[SPPR_symbolic_full_import_as_DC]], 0)) / INDEX(טבלה2[[SPPR_1986]:[SPPR_symbolic_full_import_as_DC]], MATCH('השוואת פקטורים'!$B50, 'PPRs inner'!$A$2:$A$108, 0), MATCH('השוואת פקטורים'!M$6, טבלה2[[#Headers],[SPPR_1986]:[SPPR_symbolic_full_import_as_DC]], 0))
)</f>
        <v>9.1318584403301504</v>
      </c>
      <c r="O50" s="9">
        <f>IF($B$4="סהכ",
INDEX(טבלה1[[SPPR_1986]:[SPPR_symbolic_full_import_as_DC]], MATCH('השוואת פקטורים'!$B50, 'PPRs all'!$A$2:$A$108, 0), MATCH('השוואת פקטורים'!O$6, טבלה1[[#Headers],[SPPR_1986]:[SPPR_symbolic_full_import_as_DC]], 0)) / INDEX(טבלה1[[SPPR_1986]:[SPPR_symbolic_full_import_as_DC]], MATCH('השוואת פקטורים'!$B50, 'PPRs all'!$A$2:$A$108, 0), MATCH('השוואת פקטורים'!N$6, טבלה1[[#Headers],[SPPR_1986]:[SPPR_symbolic_full_import_as_DC]], 0)),
INDEX(טבלה2[[SPPR_1986]:[SPPR_symbolic_full_import_as_DC]], MATCH('השוואת פקטורים'!$B50, 'PPRs inner'!$A$2:$A$108, 0), MATCH('השוואת פקטורים'!O$6, טבלה2[[#Headers],[SPPR_1986]:[SPPR_symbolic_full_import_as_DC]], 0)) / INDEX(טבלה2[[SPPR_1986]:[SPPR_symbolic_full_import_as_DC]], MATCH('השוואת פקטורים'!$B50, 'PPRs inner'!$A$2:$A$108, 0), MATCH('השוואת פקטורים'!N$6, טבלה2[[#Headers],[SPPR_1986]:[SPPR_symbolic_full_import_as_DC]], 0))
)</f>
        <v>1.0000000000000013</v>
      </c>
      <c r="P50" s="9">
        <f>IF($B$4="סהכ",
INDEX(טבלה1[[SPPR_1986]:[SPPR_symbolic_full_import_as_DC]], MATCH('השוואת פקטורים'!$B50, 'PPRs all'!$A$2:$A$108, 0), MATCH('השוואת פקטורים'!P$6, טבלה1[[#Headers],[SPPR_1986]:[SPPR_symbolic_full_import_as_DC]], 0)) / INDEX(טבלה1[[SPPR_1986]:[SPPR_symbolic_full_import_as_DC]], MATCH('השוואת פקטורים'!$B50, 'PPRs all'!$A$2:$A$108, 0), MATCH('השוואת פקטורים'!O$6, טבלה1[[#Headers],[SPPR_1986]:[SPPR_symbolic_full_import_as_DC]], 0)),
INDEX(טבלה2[[SPPR_1986]:[SPPR_symbolic_full_import_as_DC]], MATCH('השוואת פקטורים'!$B50, 'PPRs inner'!$A$2:$A$108, 0), MATCH('השוואת פקטורים'!P$6, טבלה2[[#Headers],[SPPR_1986]:[SPPR_symbolic_full_import_as_DC]], 0)) / INDEX(טבלה2[[SPPR_1986]:[SPPR_symbolic_full_import_as_DC]], MATCH('השוואת פקטורים'!$B50, 'PPRs inner'!$A$2:$A$108, 0), MATCH('השוואת פקטורים'!O$6, טבלה2[[#Headers],[SPPR_1986]:[SPPR_symbolic_full_import_as_DC]], 0))
)</f>
        <v>0.18567583332824783</v>
      </c>
      <c r="Q50" s="9">
        <f>IF($B$4="סהכ",
INDEX(טבלה1[[SPPR_1986]:[SPPR_symbolic_full_import_as_DC]], MATCH('השוואת פקטורים'!$B50, 'PPRs all'!$A$2:$A$108, 0), MATCH('השוואת פקטורים'!Q$6, טבלה1[[#Headers],[SPPR_1986]:[SPPR_symbolic_full_import_as_DC]], 0)) / INDEX(טבלה1[[SPPR_1986]:[SPPR_symbolic_full_import_as_DC]], MATCH('השוואת פקטורים'!$B50, 'PPRs all'!$A$2:$A$108, 0), MATCH('השוואת פקטורים'!P$6, טבלה1[[#Headers],[SPPR_1986]:[SPPR_symbolic_full_import_as_DC]], 0)),
INDEX(טבלה2[[SPPR_1986]:[SPPR_symbolic_full_import_as_DC]], MATCH('השוואת פקטורים'!$B50, 'PPRs inner'!$A$2:$A$108, 0), MATCH('השוואת פקטורים'!Q$6, טבלה2[[#Headers],[SPPR_1986]:[SPPR_symbolic_full_import_as_DC]], 0)) / INDEX(טבלה2[[SPPR_1986]:[SPPR_symbolic_full_import_as_DC]], MATCH('השוואת פקטורים'!$B50, 'PPRs inner'!$A$2:$A$108, 0), MATCH('השוואת פקטורים'!P$6, טבלה2[[#Headers],[SPPR_1986]:[SPPR_symbolic_full_import_as_DC]], 0))
)</f>
        <v>1.0000000000000009</v>
      </c>
      <c r="R50" s="9">
        <f>IF($B$4="סהכ",
INDEX(טבלה1[[SPPR_1986]:[SPPR_symbolic_full_import_as_DC]], MATCH('השוואת פקטורים'!$B50, 'PPRs all'!$A$2:$A$108, 0), MATCH('השוואת פקטורים'!R$6, טבלה1[[#Headers],[SPPR_1986]:[SPPR_symbolic_full_import_as_DC]], 0)) / INDEX(טבלה1[[SPPR_1986]:[SPPR_symbolic_full_import_as_DC]], MATCH('השוואת פקטורים'!$B50, 'PPRs all'!$A$2:$A$108, 0), MATCH('השוואת פקטורים'!Q$6, טבלה1[[#Headers],[SPPR_1986]:[SPPR_symbolic_full_import_as_DC]], 0)),
INDEX(טבלה2[[SPPR_1986]:[SPPR_symbolic_full_import_as_DC]], MATCH('השוואת פקטורים'!$B50, 'PPRs inner'!$A$2:$A$108, 0), MATCH('השוואת פקטורים'!R$6, טבלה2[[#Headers],[SPPR_1986]:[SPPR_symbolic_full_import_as_DC]], 0)) / INDEX(טבלה2[[SPPR_1986]:[SPPR_symbolic_full_import_as_DC]], MATCH('השוואת פקטורים'!$B50, 'PPRs inner'!$A$2:$A$108, 0), MATCH('השוואת פקטורים'!Q$6, טבלה2[[#Headers],[SPPR_1986]:[SPPR_symbolic_full_import_as_DC]], 0))
)</f>
        <v>1</v>
      </c>
      <c r="S50" s="9">
        <f>IF($B$4="סהכ",
INDEX(טבלה1[[SPPR_1986]:[SPPR_symbolic_full_import_as_DC]], MATCH('השוואת פקטורים'!$B50, 'PPRs all'!$A$2:$A$108, 0), MATCH('השוואת פקטורים'!S$6, טבלה1[[#Headers],[SPPR_1986]:[SPPR_symbolic_full_import_as_DC]], 0)) / INDEX(טבלה1[[SPPR_1986]:[SPPR_symbolic_full_import_as_DC]], MATCH('השוואת פקטורים'!$B50, 'PPRs all'!$A$2:$A$108, 0), MATCH('השוואת פקטורים'!R$6, טבלה1[[#Headers],[SPPR_1986]:[SPPR_symbolic_full_import_as_DC]], 0)),
INDEX(טבלה2[[SPPR_1986]:[SPPR_symbolic_full_import_as_DC]], MATCH('השוואת פקטורים'!$B50, 'PPRs inner'!$A$2:$A$108, 0), MATCH('השוואת פקטורים'!S$6, טבלה2[[#Headers],[SPPR_1986]:[SPPR_symbolic_full_import_as_DC]], 0)) / INDEX(טבלה2[[SPPR_1986]:[SPPR_symbolic_full_import_as_DC]], MATCH('השוואת פקטורים'!$B50, 'PPRs inner'!$A$2:$A$108, 0), MATCH('השוואת פקטורים'!R$6, טבלה2[[#Headers],[SPPR_1986]:[SPPR_symbolic_full_import_as_DC]], 0))
)</f>
        <v>1</v>
      </c>
      <c r="T50" s="9">
        <f>IF($B$4="סהכ",
INDEX(טבלה1[[SPPR_1986]:[SPPR_symbolic_full_import_as_DC]], MATCH('השוואת פקטורים'!$B50, 'PPRs all'!$A$2:$A$108, 0), MATCH('השוואת פקטורים'!T$6, טבלה1[[#Headers],[SPPR_1986]:[SPPR_symbolic_full_import_as_DC]], 0)) / INDEX(טבלה1[[SPPR_1986]:[SPPR_symbolic_full_import_as_DC]], MATCH('השוואת פקטורים'!$B50, 'PPRs all'!$A$2:$A$108, 0), MATCH('השוואת פקטורים'!S$6, טבלה1[[#Headers],[SPPR_1986]:[SPPR_symbolic_full_import_as_DC]], 0)),
INDEX(טבלה2[[SPPR_1986]:[SPPR_symbolic_full_import_as_DC]], MATCH('השוואת פקטורים'!$B50, 'PPRs inner'!$A$2:$A$108, 0), MATCH('השוואת פקטורים'!T$6, טבלה2[[#Headers],[SPPR_1986]:[SPPR_symbolic_full_import_as_DC]], 0)) / INDEX(טבלה2[[SPPR_1986]:[SPPR_symbolic_full_import_as_DC]], MATCH('השוואת פקטורים'!$B50, 'PPRs inner'!$A$2:$A$108, 0), MATCH('השוואת פקטורים'!S$6, טבלה2[[#Headers],[SPPR_1986]:[SPPR_symbolic_full_import_as_DC]], 0))
)</f>
        <v>1</v>
      </c>
      <c r="U50" s="9">
        <f>IF($B$4="סהכ",
INDEX(טבלה1[[SPPR_1986]:[SPPR_symbolic_full_import_as_DC]], MATCH('השוואת פקטורים'!$B50, 'PPRs all'!$A$2:$A$108, 0), MATCH('השוואת פקטורים'!U$6, טבלה1[[#Headers],[SPPR_1986]:[SPPR_symbolic_full_import_as_DC]], 0)) / INDEX(טבלה1[[SPPR_1986]:[SPPR_symbolic_full_import_as_DC]], MATCH('השוואת פקטורים'!$B50, 'PPRs all'!$A$2:$A$108, 0), MATCH('השוואת פקטורים'!T$6, טבלה1[[#Headers],[SPPR_1986]:[SPPR_symbolic_full_import_as_DC]], 0)),
INDEX(טבלה2[[SPPR_1986]:[SPPR_symbolic_full_import_as_DC]], MATCH('השוואת פקטורים'!$B50, 'PPRs inner'!$A$2:$A$108, 0), MATCH('השוואת פקטורים'!U$6, טבלה2[[#Headers],[SPPR_1986]:[SPPR_symbolic_full_import_as_DC]], 0)) / INDEX(טבלה2[[SPPR_1986]:[SPPR_symbolic_full_import_as_DC]], MATCH('השוואת פקטורים'!$B50, 'PPRs inner'!$A$2:$A$108, 0), MATCH('השוואת פקטורים'!T$6, טבלה2[[#Headers],[SPPR_1986]:[SPPR_symbolic_full_import_as_DC]], 0))
)</f>
        <v>0.99999999999999922</v>
      </c>
      <c r="V50" s="9"/>
      <c r="W50" s="9"/>
      <c r="X50" s="14"/>
      <c r="Y50" s="14"/>
      <c r="Z50" s="15">
        <f t="shared" si="2"/>
        <v>0.74679805780121256</v>
      </c>
    </row>
    <row r="51" spans="2:26" x14ac:dyDescent="0.3">
      <c r="B51" s="6" t="s">
        <v>65</v>
      </c>
      <c r="C51" s="12" t="b">
        <v>1</v>
      </c>
      <c r="D51" s="12" t="b">
        <v>1</v>
      </c>
      <c r="E51" s="12" t="b">
        <v>1</v>
      </c>
      <c r="F51" s="12" t="b">
        <f t="shared" si="1"/>
        <v>1</v>
      </c>
      <c r="G51" s="7" t="b">
        <f>ABS(INDEX(טבלה5[[SPPR_1986]:[SPPR_symbolic_full_import_as_DC]],MATCH('השוואת פקטורים'!$B51,טבלה5[עמודה1],0),MATCH($C$4,טבלה5[[#Headers],[SPPR_1986]:[SPPR_symbolic_full_import_as_DC]],0))) &lt; 5</f>
        <v>1</v>
      </c>
      <c r="H51" s="7" t="b">
        <f>INDEX(טבלה3[[SPPR_1986]:[SPPR_symbolic_full_import_as_DC]],MATCH('השוואת פקטורים'!$B51,טבלה3[עמודה1],0),MATCH($C$4,טבלה3[[#Headers],[SPPR_1986]:[SPPR_symbolic_full_import_as_DC]],0))</f>
        <v>1</v>
      </c>
      <c r="I51" s="7" t="b">
        <f t="shared" si="3"/>
        <v>1</v>
      </c>
      <c r="J51" s="13"/>
      <c r="K51" s="9">
        <f>IF($B$4="סהכ",
INDEX(טבלה1[[SPPR_1986]:[SPPR_symbolic_full_import_as_DC]], MATCH('השוואת פקטורים'!$B51, 'PPRs all'!$A$2:$A$108, 0), MATCH('השוואת פקטורים'!K$6, טבלה1[[#Headers],[SPPR_1986]:[SPPR_symbolic_full_import_as_DC]], 0)) / INDEX(טבלה1[[SPPR_1986]:[SPPR_symbolic_full_import_as_DC]], MATCH('השוואת פקטורים'!$B51, 'PPRs all'!$A$2:$A$108, 0), MATCH('השוואת פקטורים'!J$6, טבלה1[[#Headers],[SPPR_1986]:[SPPR_symbolic_full_import_as_DC]], 0)),
INDEX(טבלה2[[SPPR_1986]:[SPPR_symbolic_full_import_as_DC]], MATCH('השוואת פקטורים'!$B51, 'PPRs inner'!$A$2:$A$108, 0), MATCH('השוואת פקטורים'!K$6, טבלה2[[#Headers],[SPPR_1986]:[SPPR_symbolic_full_import_as_DC]], 0)) / INDEX(טבלה2[[SPPR_1986]:[SPPR_symbolic_full_import_as_DC]], MATCH('השוואת פקטורים'!$B51, 'PPRs inner'!$A$2:$A$108, 0), MATCH('השוואת פקטורים'!J$6, טבלה2[[#Headers],[SPPR_1986]:[SPPR_symbolic_full_import_as_DC]], 0))
)</f>
        <v>3.9057693250714389</v>
      </c>
      <c r="L51" s="9">
        <f>IF($B$4="סהכ",
INDEX(טבלה1[[SPPR_1986]:[SPPR_symbolic_full_import_as_DC]], MATCH('השוואת פקטורים'!$B51, 'PPRs all'!$A$2:$A$108, 0), MATCH('השוואת פקטורים'!L$6, טבלה1[[#Headers],[SPPR_1986]:[SPPR_symbolic_full_import_as_DC]], 0)) / INDEX(טבלה1[[SPPR_1986]:[SPPR_symbolic_full_import_as_DC]], MATCH('השוואת פקטורים'!$B51, 'PPRs all'!$A$2:$A$108, 0), MATCH('השוואת פקטורים'!K$6, טבלה1[[#Headers],[SPPR_1986]:[SPPR_symbolic_full_import_as_DC]], 0)),
INDEX(טבלה2[[SPPR_1986]:[SPPR_symbolic_full_import_as_DC]], MATCH('השוואת פקטורים'!$B51, 'PPRs inner'!$A$2:$A$108, 0), MATCH('השוואת פקטורים'!L$6, טבלה2[[#Headers],[SPPR_1986]:[SPPR_symbolic_full_import_as_DC]], 0)) / INDEX(טבלה2[[SPPR_1986]:[SPPR_symbolic_full_import_as_DC]], MATCH('השוואת פקטורים'!$B51, 'PPRs inner'!$A$2:$A$108, 0), MATCH('השוואת פקטורים'!K$6, טבלה2[[#Headers],[SPPR_1986]:[SPPR_symbolic_full_import_as_DC]], 0))
)</f>
        <v>14.423319813375782</v>
      </c>
      <c r="M51" s="9">
        <f>IF($B$4="סהכ",
INDEX(טבלה1[[SPPR_1986]:[SPPR_symbolic_full_import_as_DC]], MATCH('השוואת פקטורים'!$B51, 'PPRs all'!$A$2:$A$108, 0), MATCH('השוואת פקטורים'!M$6, טבלה1[[#Headers],[SPPR_1986]:[SPPR_symbolic_full_import_as_DC]], 0)) / INDEX(טבלה1[[SPPR_1986]:[SPPR_symbolic_full_import_as_DC]], MATCH('השוואת פקטורים'!$B51, 'PPRs all'!$A$2:$A$108, 0), MATCH('השוואת פקטורים'!L$6, טבלה1[[#Headers],[SPPR_1986]:[SPPR_symbolic_full_import_as_DC]], 0)),
INDEX(טבלה2[[SPPR_1986]:[SPPR_symbolic_full_import_as_DC]], MATCH('השוואת פקטורים'!$B51, 'PPRs inner'!$A$2:$A$108, 0), MATCH('השוואת פקטורים'!M$6, טבלה2[[#Headers],[SPPR_1986]:[SPPR_symbolic_full_import_as_DC]], 0)) / INDEX(טבלה2[[SPPR_1986]:[SPPR_symbolic_full_import_as_DC]], MATCH('השוואת פקטורים'!$B51, 'PPRs inner'!$A$2:$A$108, 0), MATCH('השוואת פקטורים'!L$6, טבלה2[[#Headers],[SPPR_1986]:[SPPR_symbolic_full_import_as_DC]], 0))
)</f>
        <v>0.37500013756627021</v>
      </c>
      <c r="N51" s="9">
        <f>IF($B$4="סהכ",
INDEX(טבלה1[[SPPR_1986]:[SPPR_symbolic_full_import_as_DC]], MATCH('השוואת פקטורים'!$B51, 'PPRs all'!$A$2:$A$108, 0), MATCH('השוואת פקטורים'!N$6, טבלה1[[#Headers],[SPPR_1986]:[SPPR_symbolic_full_import_as_DC]], 0)) / INDEX(טבלה1[[SPPR_1986]:[SPPR_symbolic_full_import_as_DC]], MATCH('השוואת פקטורים'!$B51, 'PPRs all'!$A$2:$A$108, 0), MATCH('השוואת פקטורים'!M$6, טבלה1[[#Headers],[SPPR_1986]:[SPPR_symbolic_full_import_as_DC]], 0)),
INDEX(טבלה2[[SPPR_1986]:[SPPR_symbolic_full_import_as_DC]], MATCH('השוואת פקטורים'!$B51, 'PPRs inner'!$A$2:$A$108, 0), MATCH('השוואת פקטורים'!N$6, טבלה2[[#Headers],[SPPR_1986]:[SPPR_symbolic_full_import_as_DC]], 0)) / INDEX(טבלה2[[SPPR_1986]:[SPPR_symbolic_full_import_as_DC]], MATCH('השוואת פקטורים'!$B51, 'PPRs inner'!$A$2:$A$108, 0), MATCH('השוואת פקטורים'!M$6, טבלה2[[#Headers],[SPPR_1986]:[SPPR_symbolic_full_import_as_DC]], 0))
)</f>
        <v>7.4638362437776218</v>
      </c>
      <c r="O51" s="9">
        <f>IF($B$4="סהכ",
INDEX(טבלה1[[SPPR_1986]:[SPPR_symbolic_full_import_as_DC]], MATCH('השוואת פקטורים'!$B51, 'PPRs all'!$A$2:$A$108, 0), MATCH('השוואת פקטורים'!O$6, טבלה1[[#Headers],[SPPR_1986]:[SPPR_symbolic_full_import_as_DC]], 0)) / INDEX(טבלה1[[SPPR_1986]:[SPPR_symbolic_full_import_as_DC]], MATCH('השוואת פקטורים'!$B51, 'PPRs all'!$A$2:$A$108, 0), MATCH('השוואת פקטורים'!N$6, טבלה1[[#Headers],[SPPR_1986]:[SPPR_symbolic_full_import_as_DC]], 0)),
INDEX(טבלה2[[SPPR_1986]:[SPPR_symbolic_full_import_as_DC]], MATCH('השוואת פקטורים'!$B51, 'PPRs inner'!$A$2:$A$108, 0), MATCH('השוואת פקטורים'!O$6, טבלה2[[#Headers],[SPPR_1986]:[SPPR_symbolic_full_import_as_DC]], 0)) / INDEX(טבלה2[[SPPR_1986]:[SPPR_symbolic_full_import_as_DC]], MATCH('השוואת פקטורים'!$B51, 'PPRs inner'!$A$2:$A$108, 0), MATCH('השוואת פקטורים'!N$6, טבלה2[[#Headers],[SPPR_1986]:[SPPR_symbolic_full_import_as_DC]], 0))
)</f>
        <v>1.0000000000000049</v>
      </c>
      <c r="P51" s="9">
        <f>IF($B$4="סהכ",
INDEX(טבלה1[[SPPR_1986]:[SPPR_symbolic_full_import_as_DC]], MATCH('השוואת פקטורים'!$B51, 'PPRs all'!$A$2:$A$108, 0), MATCH('השוואת פקטורים'!P$6, טבלה1[[#Headers],[SPPR_1986]:[SPPR_symbolic_full_import_as_DC]], 0)) / INDEX(טבלה1[[SPPR_1986]:[SPPR_symbolic_full_import_as_DC]], MATCH('השוואת פקטורים'!$B51, 'PPRs all'!$A$2:$A$108, 0), MATCH('השוואת פקטורים'!O$6, טבלה1[[#Headers],[SPPR_1986]:[SPPR_symbolic_full_import_as_DC]], 0)),
INDEX(טבלה2[[SPPR_1986]:[SPPR_symbolic_full_import_as_DC]], MATCH('השוואת פקטורים'!$B51, 'PPRs inner'!$A$2:$A$108, 0), MATCH('השוואת פקטורים'!P$6, טבלה2[[#Headers],[SPPR_1986]:[SPPR_symbolic_full_import_as_DC]], 0)) / INDEX(טבלה2[[SPPR_1986]:[SPPR_symbolic_full_import_as_DC]], MATCH('השוואת פקטורים'!$B51, 'PPRs inner'!$A$2:$A$108, 0), MATCH('השוואת פקטורים'!O$6, טבלה2[[#Headers],[SPPR_1986]:[SPPR_symbolic_full_import_as_DC]], 0))
)</f>
        <v>1.232609240348068E-2</v>
      </c>
      <c r="Q51" s="9">
        <f>IF($B$4="סהכ",
INDEX(טבלה1[[SPPR_1986]:[SPPR_symbolic_full_import_as_DC]], MATCH('השוואת פקטורים'!$B51, 'PPRs all'!$A$2:$A$108, 0), MATCH('השוואת פקטורים'!Q$6, טבלה1[[#Headers],[SPPR_1986]:[SPPR_symbolic_full_import_as_DC]], 0)) / INDEX(טבלה1[[SPPR_1986]:[SPPR_symbolic_full_import_as_DC]], MATCH('השוואת פקטורים'!$B51, 'PPRs all'!$A$2:$A$108, 0), MATCH('השוואת פקטורים'!P$6, טבלה1[[#Headers],[SPPR_1986]:[SPPR_symbolic_full_import_as_DC]], 0)),
INDEX(טבלה2[[SPPR_1986]:[SPPR_symbolic_full_import_as_DC]], MATCH('השוואת פקטורים'!$B51, 'PPRs inner'!$A$2:$A$108, 0), MATCH('השוואת פקטורים'!Q$6, טבלה2[[#Headers],[SPPR_1986]:[SPPR_symbolic_full_import_as_DC]], 0)) / INDEX(טבלה2[[SPPR_1986]:[SPPR_symbolic_full_import_as_DC]], MATCH('השוואת פקטורים'!$B51, 'PPRs inner'!$A$2:$A$108, 0), MATCH('השוואת פקטורים'!P$6, טבלה2[[#Headers],[SPPR_1986]:[SPPR_symbolic_full_import_as_DC]], 0))
)</f>
        <v>1.0000000000000027</v>
      </c>
      <c r="R51" s="9">
        <f>IF($B$4="סהכ",
INDEX(טבלה1[[SPPR_1986]:[SPPR_symbolic_full_import_as_DC]], MATCH('השוואת פקטורים'!$B51, 'PPRs all'!$A$2:$A$108, 0), MATCH('השוואת פקטורים'!R$6, טבלה1[[#Headers],[SPPR_1986]:[SPPR_symbolic_full_import_as_DC]], 0)) / INDEX(טבלה1[[SPPR_1986]:[SPPR_symbolic_full_import_as_DC]], MATCH('השוואת פקטורים'!$B51, 'PPRs all'!$A$2:$A$108, 0), MATCH('השוואת פקטורים'!Q$6, טבלה1[[#Headers],[SPPR_1986]:[SPPR_symbolic_full_import_as_DC]], 0)),
INDEX(טבלה2[[SPPR_1986]:[SPPR_symbolic_full_import_as_DC]], MATCH('השוואת פקטורים'!$B51, 'PPRs inner'!$A$2:$A$108, 0), MATCH('השוואת פקטורים'!R$6, טבלה2[[#Headers],[SPPR_1986]:[SPPR_symbolic_full_import_as_DC]], 0)) / INDEX(טבלה2[[SPPR_1986]:[SPPR_symbolic_full_import_as_DC]], MATCH('השוואת פקטורים'!$B51, 'PPRs inner'!$A$2:$A$108, 0), MATCH('השוואת פקטורים'!Q$6, טבלה2[[#Headers],[SPPR_1986]:[SPPR_symbolic_full_import_as_DC]], 0))
)</f>
        <v>1</v>
      </c>
      <c r="S51" s="9">
        <f>IF($B$4="סהכ",
INDEX(טבלה1[[SPPR_1986]:[SPPR_symbolic_full_import_as_DC]], MATCH('השוואת פקטורים'!$B51, 'PPRs all'!$A$2:$A$108, 0), MATCH('השוואת פקטורים'!S$6, טבלה1[[#Headers],[SPPR_1986]:[SPPR_symbolic_full_import_as_DC]], 0)) / INDEX(טבלה1[[SPPR_1986]:[SPPR_symbolic_full_import_as_DC]], MATCH('השוואת פקטורים'!$B51, 'PPRs all'!$A$2:$A$108, 0), MATCH('השוואת פקטורים'!R$6, טבלה1[[#Headers],[SPPR_1986]:[SPPR_symbolic_full_import_as_DC]], 0)),
INDEX(טבלה2[[SPPR_1986]:[SPPR_symbolic_full_import_as_DC]], MATCH('השוואת פקטורים'!$B51, 'PPRs inner'!$A$2:$A$108, 0), MATCH('השוואת פקטורים'!S$6, טבלה2[[#Headers],[SPPR_1986]:[SPPR_symbolic_full_import_as_DC]], 0)) / INDEX(טבלה2[[SPPR_1986]:[SPPR_symbolic_full_import_as_DC]], MATCH('השוואת פקטורים'!$B51, 'PPRs inner'!$A$2:$A$108, 0), MATCH('השוואת פקטורים'!R$6, טבלה2[[#Headers],[SPPR_1986]:[SPPR_symbolic_full_import_as_DC]], 0))
)</f>
        <v>1</v>
      </c>
      <c r="T51" s="9">
        <f>IF($B$4="סהכ",
INDEX(טבלה1[[SPPR_1986]:[SPPR_symbolic_full_import_as_DC]], MATCH('השוואת פקטורים'!$B51, 'PPRs all'!$A$2:$A$108, 0), MATCH('השוואת פקטורים'!T$6, טבלה1[[#Headers],[SPPR_1986]:[SPPR_symbolic_full_import_as_DC]], 0)) / INDEX(טבלה1[[SPPR_1986]:[SPPR_symbolic_full_import_as_DC]], MATCH('השוואת פקטורים'!$B51, 'PPRs all'!$A$2:$A$108, 0), MATCH('השוואת פקטורים'!S$6, טבלה1[[#Headers],[SPPR_1986]:[SPPR_symbolic_full_import_as_DC]], 0)),
INDEX(טבלה2[[SPPR_1986]:[SPPR_symbolic_full_import_as_DC]], MATCH('השוואת פקטורים'!$B51, 'PPRs inner'!$A$2:$A$108, 0), MATCH('השוואת פקטורים'!T$6, טבלה2[[#Headers],[SPPR_1986]:[SPPR_symbolic_full_import_as_DC]], 0)) / INDEX(טבלה2[[SPPR_1986]:[SPPR_symbolic_full_import_as_DC]], MATCH('השוואת פקטורים'!$B51, 'PPRs inner'!$A$2:$A$108, 0), MATCH('השוואת פקטורים'!S$6, טבלה2[[#Headers],[SPPR_1986]:[SPPR_symbolic_full_import_as_DC]], 0))
)</f>
        <v>1</v>
      </c>
      <c r="U51" s="9">
        <f>IF($B$4="סהכ",
INDEX(טבלה1[[SPPR_1986]:[SPPR_symbolic_full_import_as_DC]], MATCH('השוואת פקטורים'!$B51, 'PPRs all'!$A$2:$A$108, 0), MATCH('השוואת פקטורים'!U$6, טבלה1[[#Headers],[SPPR_1986]:[SPPR_symbolic_full_import_as_DC]], 0)) / INDEX(טבלה1[[SPPR_1986]:[SPPR_symbolic_full_import_as_DC]], MATCH('השוואת פקטורים'!$B51, 'PPRs all'!$A$2:$A$108, 0), MATCH('השוואת פקטורים'!T$6, טבלה1[[#Headers],[SPPR_1986]:[SPPR_symbolic_full_import_as_DC]], 0)),
INDEX(טבלה2[[SPPR_1986]:[SPPR_symbolic_full_import_as_DC]], MATCH('השוואת פקטורים'!$B51, 'PPRs inner'!$A$2:$A$108, 0), MATCH('השוואת פקטורים'!U$6, טבלה2[[#Headers],[SPPR_1986]:[SPPR_symbolic_full_import_as_DC]], 0)) / INDEX(טבלה2[[SPPR_1986]:[SPPR_symbolic_full_import_as_DC]], MATCH('השוואת פקטורים'!$B51, 'PPRs inner'!$A$2:$A$108, 0), MATCH('השוואת פקטורים'!T$6, טבלה2[[#Headers],[SPPR_1986]:[SPPR_symbolic_full_import_as_DC]], 0))
)</f>
        <v>0.99999999999999722</v>
      </c>
      <c r="V51" s="9"/>
      <c r="W51" s="9"/>
      <c r="X51" s="14"/>
      <c r="Y51" s="14"/>
      <c r="Z51" s="15">
        <f t="shared" si="2"/>
        <v>1.9435278677842909</v>
      </c>
    </row>
    <row r="52" spans="2:26" x14ac:dyDescent="0.3">
      <c r="B52" s="6" t="s">
        <v>66</v>
      </c>
      <c r="C52" s="12" t="b">
        <v>1</v>
      </c>
      <c r="D52" s="12" t="b">
        <v>0</v>
      </c>
      <c r="E52" s="12" t="b">
        <v>0</v>
      </c>
      <c r="F52" s="12" t="b">
        <f t="shared" si="1"/>
        <v>0</v>
      </c>
      <c r="G52" s="7" t="b">
        <f>ABS(INDEX(טבלה5[[SPPR_1986]:[SPPR_symbolic_full_import_as_DC]],MATCH('השוואת פקטורים'!$B52,טבלה5[עמודה1],0),MATCH($C$4,טבלה5[[#Headers],[SPPR_1986]:[SPPR_symbolic_full_import_as_DC]],0))) &lt; 5</f>
        <v>0</v>
      </c>
      <c r="H52" s="7" t="b">
        <f>INDEX(טבלה3[[SPPR_1986]:[SPPR_symbolic_full_import_as_DC]],MATCH('השוואת פקטורים'!$B52,טבלה3[עמודה1],0),MATCH($C$4,טבלה3[[#Headers],[SPPR_1986]:[SPPR_symbolic_full_import_as_DC]],0))</f>
        <v>0</v>
      </c>
      <c r="I52" s="7" t="b">
        <f t="shared" si="3"/>
        <v>0</v>
      </c>
      <c r="J52" s="13"/>
      <c r="K52" s="9">
        <f>IF($B$4="סהכ",
INDEX(טבלה1[[SPPR_1986]:[SPPR_symbolic_full_import_as_DC]], MATCH('השוואת פקטורים'!$B52, 'PPRs all'!$A$2:$A$108, 0), MATCH('השוואת פקטורים'!K$6, טבלה1[[#Headers],[SPPR_1986]:[SPPR_symbolic_full_import_as_DC]], 0)) / INDEX(טבלה1[[SPPR_1986]:[SPPR_symbolic_full_import_as_DC]], MATCH('השוואת פקטורים'!$B52, 'PPRs all'!$A$2:$A$108, 0), MATCH('השוואת פקטורים'!J$6, טבלה1[[#Headers],[SPPR_1986]:[SPPR_symbolic_full_import_as_DC]], 0)),
INDEX(טבלה2[[SPPR_1986]:[SPPR_symbolic_full_import_as_DC]], MATCH('השוואת פקטורים'!$B52, 'PPRs inner'!$A$2:$A$108, 0), MATCH('השוואת פקטורים'!K$6, טבלה2[[#Headers],[SPPR_1986]:[SPPR_symbolic_full_import_as_DC]], 0)) / INDEX(טבלה2[[SPPR_1986]:[SPPR_symbolic_full_import_as_DC]], MATCH('השוואת פקטורים'!$B52, 'PPRs inner'!$A$2:$A$108, 0), MATCH('השוואת פקטורים'!J$6, טבלה2[[#Headers],[SPPR_1986]:[SPPR_symbolic_full_import_as_DC]], 0))
)</f>
        <v>0.25099571030391954</v>
      </c>
      <c r="L52" s="9">
        <f>IF($B$4="סהכ",
INDEX(טבלה1[[SPPR_1986]:[SPPR_symbolic_full_import_as_DC]], MATCH('השוואת פקטורים'!$B52, 'PPRs all'!$A$2:$A$108, 0), MATCH('השוואת פקטורים'!L$6, טבלה1[[#Headers],[SPPR_1986]:[SPPR_symbolic_full_import_as_DC]], 0)) / INDEX(טבלה1[[SPPR_1986]:[SPPR_symbolic_full_import_as_DC]], MATCH('השוואת פקטורים'!$B52, 'PPRs all'!$A$2:$A$108, 0), MATCH('השוואת פקטורים'!K$6, טבלה1[[#Headers],[SPPR_1986]:[SPPR_symbolic_full_import_as_DC]], 0)),
INDEX(טבלה2[[SPPR_1986]:[SPPR_symbolic_full_import_as_DC]], MATCH('השוואת פקטורים'!$B52, 'PPRs inner'!$A$2:$A$108, 0), MATCH('השוואת פקטורים'!L$6, טבלה2[[#Headers],[SPPR_1986]:[SPPR_symbolic_full_import_as_DC]], 0)) / INDEX(טבלה2[[SPPR_1986]:[SPPR_symbolic_full_import_as_DC]], MATCH('השוואת פקטורים'!$B52, 'PPRs inner'!$A$2:$A$108, 0), MATCH('השוואת פקטורים'!K$6, טבלה2[[#Headers],[SPPR_1986]:[SPPR_symbolic_full_import_as_DC]], 0))
)</f>
        <v>1.1550734513390912</v>
      </c>
      <c r="M52" s="9">
        <f>IF($B$4="סהכ",
INDEX(טבלה1[[SPPR_1986]:[SPPR_symbolic_full_import_as_DC]], MATCH('השוואת פקטורים'!$B52, 'PPRs all'!$A$2:$A$108, 0), MATCH('השוואת פקטורים'!M$6, טבלה1[[#Headers],[SPPR_1986]:[SPPR_symbolic_full_import_as_DC]], 0)) / INDEX(טבלה1[[SPPR_1986]:[SPPR_symbolic_full_import_as_DC]], MATCH('השוואת פקטורים'!$B52, 'PPRs all'!$A$2:$A$108, 0), MATCH('השוואת פקטורים'!L$6, טבלה1[[#Headers],[SPPR_1986]:[SPPR_symbolic_full_import_as_DC]], 0)),
INDEX(טבלה2[[SPPR_1986]:[SPPR_symbolic_full_import_as_DC]], MATCH('השוואת פקטורים'!$B52, 'PPRs inner'!$A$2:$A$108, 0), MATCH('השוואת פקטורים'!M$6, טבלה2[[#Headers],[SPPR_1986]:[SPPR_symbolic_full_import_as_DC]], 0)) / INDEX(טבלה2[[SPPR_1986]:[SPPR_symbolic_full_import_as_DC]], MATCH('השוואת פקטורים'!$B52, 'PPRs inner'!$A$2:$A$108, 0), MATCH('השוואת פקטורים'!L$6, טבלה2[[#Headers],[SPPR_1986]:[SPPR_symbolic_full_import_as_DC]], 0))
)</f>
        <v>1.6267693649730197</v>
      </c>
      <c r="N52" s="9">
        <f>IF($B$4="סהכ",
INDEX(טבלה1[[SPPR_1986]:[SPPR_symbolic_full_import_as_DC]], MATCH('השוואת פקטורים'!$B52, 'PPRs all'!$A$2:$A$108, 0), MATCH('השוואת פקטורים'!N$6, טבלה1[[#Headers],[SPPR_1986]:[SPPR_symbolic_full_import_as_DC]], 0)) / INDEX(טבלה1[[SPPR_1986]:[SPPR_symbolic_full_import_as_DC]], MATCH('השוואת פקטורים'!$B52, 'PPRs all'!$A$2:$A$108, 0), MATCH('השוואת פקטורים'!M$6, טבלה1[[#Headers],[SPPR_1986]:[SPPR_symbolic_full_import_as_DC]], 0)),
INDEX(טבלה2[[SPPR_1986]:[SPPR_symbolic_full_import_as_DC]], MATCH('השוואת פקטורים'!$B52, 'PPRs inner'!$A$2:$A$108, 0), MATCH('השוואת פקטורים'!N$6, טבלה2[[#Headers],[SPPR_1986]:[SPPR_symbolic_full_import_as_DC]], 0)) / INDEX(טבלה2[[SPPR_1986]:[SPPR_symbolic_full_import_as_DC]], MATCH('השוואת פקטורים'!$B52, 'PPRs inner'!$A$2:$A$108, 0), MATCH('השוואת פקטורים'!M$6, טבלה2[[#Headers],[SPPR_1986]:[SPPR_symbolic_full_import_as_DC]], 0))
)</f>
        <v>2.6420410306180315</v>
      </c>
      <c r="O52" s="9">
        <f>IF($B$4="סהכ",
INDEX(טבלה1[[SPPR_1986]:[SPPR_symbolic_full_import_as_DC]], MATCH('השוואת פקטורים'!$B52, 'PPRs all'!$A$2:$A$108, 0), MATCH('השוואת פקטורים'!O$6, טבלה1[[#Headers],[SPPR_1986]:[SPPR_symbolic_full_import_as_DC]], 0)) / INDEX(טבלה1[[SPPR_1986]:[SPPR_symbolic_full_import_as_DC]], MATCH('השוואת פקטורים'!$B52, 'PPRs all'!$A$2:$A$108, 0), MATCH('השוואת פקטורים'!N$6, טבלה1[[#Headers],[SPPR_1986]:[SPPR_symbolic_full_import_as_DC]], 0)),
INDEX(טבלה2[[SPPR_1986]:[SPPR_symbolic_full_import_as_DC]], MATCH('השוואת פקטורים'!$B52, 'PPRs inner'!$A$2:$A$108, 0), MATCH('השוואת פקטורים'!O$6, טבלה2[[#Headers],[SPPR_1986]:[SPPR_symbolic_full_import_as_DC]], 0)) / INDEX(טבלה2[[SPPR_1986]:[SPPR_symbolic_full_import_as_DC]], MATCH('השוואת פקטורים'!$B52, 'PPRs inner'!$A$2:$A$108, 0), MATCH('השוואת פקטורים'!N$6, טבלה2[[#Headers],[SPPR_1986]:[SPPR_symbolic_full_import_as_DC]], 0))
)</f>
        <v>1.0000000000000004</v>
      </c>
      <c r="P52" s="9">
        <f>IF($B$4="סהכ",
INDEX(טבלה1[[SPPR_1986]:[SPPR_symbolic_full_import_as_DC]], MATCH('השוואת פקטורים'!$B52, 'PPRs all'!$A$2:$A$108, 0), MATCH('השוואת פקטורים'!P$6, טבלה1[[#Headers],[SPPR_1986]:[SPPR_symbolic_full_import_as_DC]], 0)) / INDEX(טבלה1[[SPPR_1986]:[SPPR_symbolic_full_import_as_DC]], MATCH('השוואת פקטורים'!$B52, 'PPRs all'!$A$2:$A$108, 0), MATCH('השוואת פקטורים'!O$6, טבלה1[[#Headers],[SPPR_1986]:[SPPR_symbolic_full_import_as_DC]], 0)),
INDEX(טבלה2[[SPPR_1986]:[SPPR_symbolic_full_import_as_DC]], MATCH('השוואת פקטורים'!$B52, 'PPRs inner'!$A$2:$A$108, 0), MATCH('השוואת פקטורים'!P$6, טבלה2[[#Headers],[SPPR_1986]:[SPPR_symbolic_full_import_as_DC]], 0)) / INDEX(טבלה2[[SPPR_1986]:[SPPR_symbolic_full_import_as_DC]], MATCH('השוואת פקטורים'!$B52, 'PPRs inner'!$A$2:$A$108, 0), MATCH('השוואת פקטורים'!O$6, טבלה2[[#Headers],[SPPR_1986]:[SPPR_symbolic_full_import_as_DC]], 0))
)</f>
        <v>-4.4461018697735936E-2</v>
      </c>
      <c r="Q52" s="9">
        <f>IF($B$4="סהכ",
INDEX(טבלה1[[SPPR_1986]:[SPPR_symbolic_full_import_as_DC]], MATCH('השוואת פקטורים'!$B52, 'PPRs all'!$A$2:$A$108, 0), MATCH('השוואת פקטורים'!Q$6, טבלה1[[#Headers],[SPPR_1986]:[SPPR_symbolic_full_import_as_DC]], 0)) / INDEX(טבלה1[[SPPR_1986]:[SPPR_symbolic_full_import_as_DC]], MATCH('השוואת פקטורים'!$B52, 'PPRs all'!$A$2:$A$108, 0), MATCH('השוואת פקטורים'!P$6, טבלה1[[#Headers],[SPPR_1986]:[SPPR_symbolic_full_import_as_DC]], 0)),
INDEX(טבלה2[[SPPR_1986]:[SPPR_symbolic_full_import_as_DC]], MATCH('השוואת פקטורים'!$B52, 'PPRs inner'!$A$2:$A$108, 0), MATCH('השוואת פקטורים'!Q$6, טבלה2[[#Headers],[SPPR_1986]:[SPPR_symbolic_full_import_as_DC]], 0)) / INDEX(טבלה2[[SPPR_1986]:[SPPR_symbolic_full_import_as_DC]], MATCH('השוואת פקטורים'!$B52, 'PPRs inner'!$A$2:$A$108, 0), MATCH('השוואת פקטורים'!P$6, טבלה2[[#Headers],[SPPR_1986]:[SPPR_symbolic_full_import_as_DC]], 0))
)</f>
        <v>0.99999999999999933</v>
      </c>
      <c r="R52" s="9">
        <f>IF($B$4="סהכ",
INDEX(טבלה1[[SPPR_1986]:[SPPR_symbolic_full_import_as_DC]], MATCH('השוואת פקטורים'!$B52, 'PPRs all'!$A$2:$A$108, 0), MATCH('השוואת פקטורים'!R$6, טבלה1[[#Headers],[SPPR_1986]:[SPPR_symbolic_full_import_as_DC]], 0)) / INDEX(טבלה1[[SPPR_1986]:[SPPR_symbolic_full_import_as_DC]], MATCH('השוואת פקטורים'!$B52, 'PPRs all'!$A$2:$A$108, 0), MATCH('השוואת פקטורים'!Q$6, טבלה1[[#Headers],[SPPR_1986]:[SPPR_symbolic_full_import_as_DC]], 0)),
INDEX(טבלה2[[SPPR_1986]:[SPPR_symbolic_full_import_as_DC]], MATCH('השוואת פקטורים'!$B52, 'PPRs inner'!$A$2:$A$108, 0), MATCH('השוואת פקטורים'!R$6, טבלה2[[#Headers],[SPPR_1986]:[SPPR_symbolic_full_import_as_DC]], 0)) / INDEX(טבלה2[[SPPR_1986]:[SPPR_symbolic_full_import_as_DC]], MATCH('השוואת פקטורים'!$B52, 'PPRs inner'!$A$2:$A$108, 0), MATCH('השוואת פקטורים'!Q$6, טבלה2[[#Headers],[SPPR_1986]:[SPPR_symbolic_full_import_as_DC]], 0))
)</f>
        <v>0.99024670292935657</v>
      </c>
      <c r="S52" s="9">
        <f>IF($B$4="סהכ",
INDEX(טבלה1[[SPPR_1986]:[SPPR_symbolic_full_import_as_DC]], MATCH('השוואת פקטורים'!$B52, 'PPRs all'!$A$2:$A$108, 0), MATCH('השוואת פקטורים'!S$6, טבלה1[[#Headers],[SPPR_1986]:[SPPR_symbolic_full_import_as_DC]], 0)) / INDEX(טבלה1[[SPPR_1986]:[SPPR_symbolic_full_import_as_DC]], MATCH('השוואת פקטורים'!$B52, 'PPRs all'!$A$2:$A$108, 0), MATCH('השוואת פקטורים'!R$6, טבלה1[[#Headers],[SPPR_1986]:[SPPR_symbolic_full_import_as_DC]], 0)),
INDEX(טבלה2[[SPPR_1986]:[SPPR_symbolic_full_import_as_DC]], MATCH('השוואת פקטורים'!$B52, 'PPRs inner'!$A$2:$A$108, 0), MATCH('השוואת פקטורים'!S$6, טבלה2[[#Headers],[SPPR_1986]:[SPPR_symbolic_full_import_as_DC]], 0)) / INDEX(טבלה2[[SPPR_1986]:[SPPR_symbolic_full_import_as_DC]], MATCH('השוואת פקטורים'!$B52, 'PPRs inner'!$A$2:$A$108, 0), MATCH('השוואת פקטורים'!R$6, טבלה2[[#Headers],[SPPR_1986]:[SPPR_symbolic_full_import_as_DC]], 0))
)</f>
        <v>1.0098493608126047</v>
      </c>
      <c r="T52" s="9">
        <f>IF($B$4="סהכ",
INDEX(טבלה1[[SPPR_1986]:[SPPR_symbolic_full_import_as_DC]], MATCH('השוואת פקטורים'!$B52, 'PPRs all'!$A$2:$A$108, 0), MATCH('השוואת פקטורים'!T$6, טבלה1[[#Headers],[SPPR_1986]:[SPPR_symbolic_full_import_as_DC]], 0)) / INDEX(טבלה1[[SPPR_1986]:[SPPR_symbolic_full_import_as_DC]], MATCH('השוואת פקטורים'!$B52, 'PPRs all'!$A$2:$A$108, 0), MATCH('השוואת פקטורים'!S$6, טבלה1[[#Headers],[SPPR_1986]:[SPPR_symbolic_full_import_as_DC]], 0)),
INDEX(טבלה2[[SPPR_1986]:[SPPR_symbolic_full_import_as_DC]], MATCH('השוואת פקטורים'!$B52, 'PPRs inner'!$A$2:$A$108, 0), MATCH('השוואת פקטורים'!T$6, טבלה2[[#Headers],[SPPR_1986]:[SPPR_symbolic_full_import_as_DC]], 0)) / INDEX(טבלה2[[SPPR_1986]:[SPPR_symbolic_full_import_as_DC]], MATCH('השוואת פקטורים'!$B52, 'PPRs inner'!$A$2:$A$108, 0), MATCH('השוואת פקטורים'!S$6, טבלה2[[#Headers],[SPPR_1986]:[SPPR_symbolic_full_import_as_DC]], 0))
)</f>
        <v>0.99024670292935657</v>
      </c>
      <c r="U52" s="9">
        <f>IF($B$4="סהכ",
INDEX(טבלה1[[SPPR_1986]:[SPPR_symbolic_full_import_as_DC]], MATCH('השוואת פקטורים'!$B52, 'PPRs all'!$A$2:$A$108, 0), MATCH('השוואת פקטורים'!U$6, טבלה1[[#Headers],[SPPR_1986]:[SPPR_symbolic_full_import_as_DC]], 0)) / INDEX(טבלה1[[SPPR_1986]:[SPPR_symbolic_full_import_as_DC]], MATCH('השוואת פקטורים'!$B52, 'PPRs all'!$A$2:$A$108, 0), MATCH('השוואת פקטורים'!T$6, טבלה1[[#Headers],[SPPR_1986]:[SPPR_symbolic_full_import_as_DC]], 0)),
INDEX(טבלה2[[SPPR_1986]:[SPPR_symbolic_full_import_as_DC]], MATCH('השוואת פקטורים'!$B52, 'PPRs inner'!$A$2:$A$108, 0), MATCH('השוואת פקטורים'!U$6, טבלה2[[#Headers],[SPPR_1986]:[SPPR_symbolic_full_import_as_DC]], 0)) / INDEX(טבלה2[[SPPR_1986]:[SPPR_symbolic_full_import_as_DC]], MATCH('השוואת פקטורים'!$B52, 'PPRs inner'!$A$2:$A$108, 0), MATCH('השוואת פקטורים'!T$6, טבלה2[[#Headers],[SPPR_1986]:[SPPR_symbolic_full_import_as_DC]], 0))
)</f>
        <v>1.0098493608126053</v>
      </c>
      <c r="V52" s="9"/>
      <c r="W52" s="9"/>
      <c r="X52" s="14"/>
      <c r="Y52" s="14"/>
      <c r="Z52" s="15">
        <f t="shared" si="2"/>
        <v>-5.540141451797477E-2</v>
      </c>
    </row>
    <row r="53" spans="2:26" x14ac:dyDescent="0.3">
      <c r="B53" s="6" t="s">
        <v>67</v>
      </c>
      <c r="C53" s="12" t="b">
        <v>1</v>
      </c>
      <c r="D53" s="12" t="b">
        <v>0</v>
      </c>
      <c r="E53" s="12" t="b">
        <v>1</v>
      </c>
      <c r="F53" s="12" t="b">
        <f t="shared" si="1"/>
        <v>0</v>
      </c>
      <c r="G53" s="7" t="b">
        <f>ABS(INDEX(טבלה5[[SPPR_1986]:[SPPR_symbolic_full_import_as_DC]],MATCH('השוואת פקטורים'!$B53,טבלה5[עמודה1],0),MATCH($C$4,טבלה5[[#Headers],[SPPR_1986]:[SPPR_symbolic_full_import_as_DC]],0))) &lt; 5</f>
        <v>1</v>
      </c>
      <c r="H53" s="7" t="b">
        <f>INDEX(טבלה3[[SPPR_1986]:[SPPR_symbolic_full_import_as_DC]],MATCH('השוואת פקטורים'!$B53,טבלה3[עמודה1],0),MATCH($C$4,טבלה3[[#Headers],[SPPR_1986]:[SPPR_symbolic_full_import_as_DC]],0))</f>
        <v>1</v>
      </c>
      <c r="I53" s="7" t="b">
        <f t="shared" si="3"/>
        <v>0</v>
      </c>
      <c r="J53" s="13"/>
      <c r="K53" s="9">
        <f>IF($B$4="סהכ",
INDEX(טבלה1[[SPPR_1986]:[SPPR_symbolic_full_import_as_DC]], MATCH('השוואת פקטורים'!$B53, 'PPRs all'!$A$2:$A$108, 0), MATCH('השוואת פקטורים'!K$6, טבלה1[[#Headers],[SPPR_1986]:[SPPR_symbolic_full_import_as_DC]], 0)) / INDEX(טבלה1[[SPPR_1986]:[SPPR_symbolic_full_import_as_DC]], MATCH('השוואת פקטורים'!$B53, 'PPRs all'!$A$2:$A$108, 0), MATCH('השוואת פקטורים'!J$6, טבלה1[[#Headers],[SPPR_1986]:[SPPR_symbolic_full_import_as_DC]], 0)),
INDEX(טבלה2[[SPPR_1986]:[SPPR_symbolic_full_import_as_DC]], MATCH('השוואת פקטורים'!$B53, 'PPRs inner'!$A$2:$A$108, 0), MATCH('השוואת פקטורים'!K$6, טבלה2[[#Headers],[SPPR_1986]:[SPPR_symbolic_full_import_as_DC]], 0)) / INDEX(טבלה2[[SPPR_1986]:[SPPR_symbolic_full_import_as_DC]], MATCH('השוואת פקטורים'!$B53, 'PPRs inner'!$A$2:$A$108, 0), MATCH('השוואת פקטורים'!J$6, טבלה2[[#Headers],[SPPR_1986]:[SPPR_symbolic_full_import_as_DC]], 0))
)</f>
        <v>0.44924755246627118</v>
      </c>
      <c r="L53" s="9">
        <f>IF($B$4="סהכ",
INDEX(טבלה1[[SPPR_1986]:[SPPR_symbolic_full_import_as_DC]], MATCH('השוואת פקטורים'!$B53, 'PPRs all'!$A$2:$A$108, 0), MATCH('השוואת פקטורים'!L$6, טבלה1[[#Headers],[SPPR_1986]:[SPPR_symbolic_full_import_as_DC]], 0)) / INDEX(טבלה1[[SPPR_1986]:[SPPR_symbolic_full_import_as_DC]], MATCH('השוואת פקטורים'!$B53, 'PPRs all'!$A$2:$A$108, 0), MATCH('השוואת פקטורים'!K$6, טבלה1[[#Headers],[SPPR_1986]:[SPPR_symbolic_full_import_as_DC]], 0)),
INDEX(טבלה2[[SPPR_1986]:[SPPR_symbolic_full_import_as_DC]], MATCH('השוואת פקטורים'!$B53, 'PPRs inner'!$A$2:$A$108, 0), MATCH('השוואת פקטורים'!L$6, טבלה2[[#Headers],[SPPR_1986]:[SPPR_symbolic_full_import_as_DC]], 0)) / INDEX(טבלה2[[SPPR_1986]:[SPPR_symbolic_full_import_as_DC]], MATCH('השוואת פקטורים'!$B53, 'PPRs inner'!$A$2:$A$108, 0), MATCH('השוואת פקטורים'!K$6, טבלה2[[#Headers],[SPPR_1986]:[SPPR_symbolic_full_import_as_DC]], 0))
)</f>
        <v>2.8835809537786981</v>
      </c>
      <c r="M53" s="9">
        <f>IF($B$4="סהכ",
INDEX(טבלה1[[SPPR_1986]:[SPPR_symbolic_full_import_as_DC]], MATCH('השוואת פקטורים'!$B53, 'PPRs all'!$A$2:$A$108, 0), MATCH('השוואת פקטורים'!M$6, טבלה1[[#Headers],[SPPR_1986]:[SPPR_symbolic_full_import_as_DC]], 0)) / INDEX(טבלה1[[SPPR_1986]:[SPPR_symbolic_full_import_as_DC]], MATCH('השוואת פקטורים'!$B53, 'PPRs all'!$A$2:$A$108, 0), MATCH('השוואת פקטורים'!L$6, טבלה1[[#Headers],[SPPR_1986]:[SPPR_symbolic_full_import_as_DC]], 0)),
INDEX(טבלה2[[SPPR_1986]:[SPPR_symbolic_full_import_as_DC]], MATCH('השוואת פקטורים'!$B53, 'PPRs inner'!$A$2:$A$108, 0), MATCH('השוואת פקטורים'!M$6, טבלה2[[#Headers],[SPPR_1986]:[SPPR_symbolic_full_import_as_DC]], 0)) / INDEX(טבלה2[[SPPR_1986]:[SPPR_symbolic_full_import_as_DC]], MATCH('השוואת פקטורים'!$B53, 'PPRs inner'!$A$2:$A$108, 0), MATCH('השוואת פקטורים'!L$6, טבלה2[[#Headers],[SPPR_1986]:[SPPR_symbolic_full_import_as_DC]], 0))
)</f>
        <v>14.20487092434931</v>
      </c>
      <c r="N53" s="9">
        <f>IF($B$4="סהכ",
INDEX(טבלה1[[SPPR_1986]:[SPPR_symbolic_full_import_as_DC]], MATCH('השוואת פקטורים'!$B53, 'PPRs all'!$A$2:$A$108, 0), MATCH('השוואת פקטורים'!N$6, טבלה1[[#Headers],[SPPR_1986]:[SPPR_symbolic_full_import_as_DC]], 0)) / INDEX(טבלה1[[SPPR_1986]:[SPPR_symbolic_full_import_as_DC]], MATCH('השוואת פקטורים'!$B53, 'PPRs all'!$A$2:$A$108, 0), MATCH('השוואת פקטורים'!M$6, טבלה1[[#Headers],[SPPR_1986]:[SPPR_symbolic_full_import_as_DC]], 0)),
INDEX(טבלה2[[SPPR_1986]:[SPPR_symbolic_full_import_as_DC]], MATCH('השוואת פקטורים'!$B53, 'PPRs inner'!$A$2:$A$108, 0), MATCH('השוואת פקטורים'!N$6, טבלה2[[#Headers],[SPPR_1986]:[SPPR_symbolic_full_import_as_DC]], 0)) / INDEX(טבלה2[[SPPR_1986]:[SPPR_symbolic_full_import_as_DC]], MATCH('השוואת פקטורים'!$B53, 'PPRs inner'!$A$2:$A$108, 0), MATCH('השוואת פקטורים'!M$6, טבלה2[[#Headers],[SPPR_1986]:[SPPR_symbolic_full_import_as_DC]], 0))
)</f>
        <v>1.7849204263318319</v>
      </c>
      <c r="O53" s="9">
        <f>IF($B$4="סהכ",
INDEX(טבלה1[[SPPR_1986]:[SPPR_symbolic_full_import_as_DC]], MATCH('השוואת פקטורים'!$B53, 'PPRs all'!$A$2:$A$108, 0), MATCH('השוואת פקטורים'!O$6, טבלה1[[#Headers],[SPPR_1986]:[SPPR_symbolic_full_import_as_DC]], 0)) / INDEX(טבלה1[[SPPR_1986]:[SPPR_symbolic_full_import_as_DC]], MATCH('השוואת פקטורים'!$B53, 'PPRs all'!$A$2:$A$108, 0), MATCH('השוואת פקטורים'!N$6, טבלה1[[#Headers],[SPPR_1986]:[SPPR_symbolic_full_import_as_DC]], 0)),
INDEX(טבלה2[[SPPR_1986]:[SPPR_symbolic_full_import_as_DC]], MATCH('השוואת פקטורים'!$B53, 'PPRs inner'!$A$2:$A$108, 0), MATCH('השוואת פקטורים'!O$6, טבלה2[[#Headers],[SPPR_1986]:[SPPR_symbolic_full_import_as_DC]], 0)) / INDEX(טבלה2[[SPPR_1986]:[SPPR_symbolic_full_import_as_DC]], MATCH('השוואת פקטורים'!$B53, 'PPRs inner'!$A$2:$A$108, 0), MATCH('השוואת פקטורים'!N$6, טבלה2[[#Headers],[SPPR_1986]:[SPPR_symbolic_full_import_as_DC]], 0))
)</f>
        <v>0.99999999999936084</v>
      </c>
      <c r="P53" s="9">
        <f>IF($B$4="סהכ",
INDEX(טבלה1[[SPPR_1986]:[SPPR_symbolic_full_import_as_DC]], MATCH('השוואת פקטורים'!$B53, 'PPRs all'!$A$2:$A$108, 0), MATCH('השוואת פקטורים'!P$6, טבלה1[[#Headers],[SPPR_1986]:[SPPR_symbolic_full_import_as_DC]], 0)) / INDEX(טבלה1[[SPPR_1986]:[SPPR_symbolic_full_import_as_DC]], MATCH('השוואת פקטורים'!$B53, 'PPRs all'!$A$2:$A$108, 0), MATCH('השוואת פקטורים'!O$6, טבלה1[[#Headers],[SPPR_1986]:[SPPR_symbolic_full_import_as_DC]], 0)),
INDEX(טבלה2[[SPPR_1986]:[SPPR_symbolic_full_import_as_DC]], MATCH('השוואת פקטורים'!$B53, 'PPRs inner'!$A$2:$A$108, 0), MATCH('השוואת פקטורים'!P$6, טבלה2[[#Headers],[SPPR_1986]:[SPPR_symbolic_full_import_as_DC]], 0)) / INDEX(טבלה2[[SPPR_1986]:[SPPR_symbolic_full_import_as_DC]], MATCH('השוואת פקטורים'!$B53, 'PPRs inner'!$A$2:$A$108, 0), MATCH('השוואת פקטורים'!O$6, טבלה2[[#Headers],[SPPR_1986]:[SPPR_symbolic_full_import_as_DC]], 0))
)</f>
        <v>1.0571605643852983E-2</v>
      </c>
      <c r="Q53" s="9">
        <f>IF($B$4="סהכ",
INDEX(טבלה1[[SPPR_1986]:[SPPR_symbolic_full_import_as_DC]], MATCH('השוואת פקטורים'!$B53, 'PPRs all'!$A$2:$A$108, 0), MATCH('השוואת פקטורים'!Q$6, טבלה1[[#Headers],[SPPR_1986]:[SPPR_symbolic_full_import_as_DC]], 0)) / INDEX(טבלה1[[SPPR_1986]:[SPPR_symbolic_full_import_as_DC]], MATCH('השוואת פקטורים'!$B53, 'PPRs all'!$A$2:$A$108, 0), MATCH('השוואת פקטורים'!P$6, טבלה1[[#Headers],[SPPR_1986]:[SPPR_symbolic_full_import_as_DC]], 0)),
INDEX(טבלה2[[SPPR_1986]:[SPPR_symbolic_full_import_as_DC]], MATCH('השוואת פקטורים'!$B53, 'PPRs inner'!$A$2:$A$108, 0), MATCH('השוואת פקטורים'!Q$6, טבלה2[[#Headers],[SPPR_1986]:[SPPR_symbolic_full_import_as_DC]], 0)) / INDEX(טבלה2[[SPPR_1986]:[SPPR_symbolic_full_import_as_DC]], MATCH('השוואת פקטורים'!$B53, 'PPRs inner'!$A$2:$A$108, 0), MATCH('השוואת פקטורים'!P$6, טבלה2[[#Headers],[SPPR_1986]:[SPPR_symbolic_full_import_as_DC]], 0))
)</f>
        <v>1.0000000000000024</v>
      </c>
      <c r="R53" s="9">
        <f>IF($B$4="סהכ",
INDEX(טבלה1[[SPPR_1986]:[SPPR_symbolic_full_import_as_DC]], MATCH('השוואת פקטורים'!$B53, 'PPRs all'!$A$2:$A$108, 0), MATCH('השוואת פקטורים'!R$6, טבלה1[[#Headers],[SPPR_1986]:[SPPR_symbolic_full_import_as_DC]], 0)) / INDEX(טבלה1[[SPPR_1986]:[SPPR_symbolic_full_import_as_DC]], MATCH('השוואת פקטורים'!$B53, 'PPRs all'!$A$2:$A$108, 0), MATCH('השוואת פקטורים'!Q$6, טבלה1[[#Headers],[SPPR_1986]:[SPPR_symbolic_full_import_as_DC]], 0)),
INDEX(טבלה2[[SPPR_1986]:[SPPR_symbolic_full_import_as_DC]], MATCH('השוואת פקטורים'!$B53, 'PPRs inner'!$A$2:$A$108, 0), MATCH('השוואת פקטורים'!R$6, טבלה2[[#Headers],[SPPR_1986]:[SPPR_symbolic_full_import_as_DC]], 0)) / INDEX(טבלה2[[SPPR_1986]:[SPPR_symbolic_full_import_as_DC]], MATCH('השוואת פקטורים'!$B53, 'PPRs inner'!$A$2:$A$108, 0), MATCH('השוואת פקטורים'!Q$6, טבלה2[[#Headers],[SPPR_1986]:[SPPR_symbolic_full_import_as_DC]], 0))
)</f>
        <v>1</v>
      </c>
      <c r="S53" s="9">
        <f>IF($B$4="סהכ",
INDEX(טבלה1[[SPPR_1986]:[SPPR_symbolic_full_import_as_DC]], MATCH('השוואת פקטורים'!$B53, 'PPRs all'!$A$2:$A$108, 0), MATCH('השוואת פקטורים'!S$6, טבלה1[[#Headers],[SPPR_1986]:[SPPR_symbolic_full_import_as_DC]], 0)) / INDEX(טבלה1[[SPPR_1986]:[SPPR_symbolic_full_import_as_DC]], MATCH('השוואת פקטורים'!$B53, 'PPRs all'!$A$2:$A$108, 0), MATCH('השוואת פקטורים'!R$6, טבלה1[[#Headers],[SPPR_1986]:[SPPR_symbolic_full_import_as_DC]], 0)),
INDEX(טבלה2[[SPPR_1986]:[SPPR_symbolic_full_import_as_DC]], MATCH('השוואת פקטורים'!$B53, 'PPRs inner'!$A$2:$A$108, 0), MATCH('השוואת פקטורים'!S$6, טבלה2[[#Headers],[SPPR_1986]:[SPPR_symbolic_full_import_as_DC]], 0)) / INDEX(טבלה2[[SPPR_1986]:[SPPR_symbolic_full_import_as_DC]], MATCH('השוואת פקטורים'!$B53, 'PPRs inner'!$A$2:$A$108, 0), MATCH('השוואת פקטורים'!R$6, טבלה2[[#Headers],[SPPR_1986]:[SPPR_symbolic_full_import_as_DC]], 0))
)</f>
        <v>1</v>
      </c>
      <c r="T53" s="9">
        <f>IF($B$4="סהכ",
INDEX(טבלה1[[SPPR_1986]:[SPPR_symbolic_full_import_as_DC]], MATCH('השוואת פקטורים'!$B53, 'PPRs all'!$A$2:$A$108, 0), MATCH('השוואת פקטורים'!T$6, טבלה1[[#Headers],[SPPR_1986]:[SPPR_symbolic_full_import_as_DC]], 0)) / INDEX(טבלה1[[SPPR_1986]:[SPPR_symbolic_full_import_as_DC]], MATCH('השוואת פקטורים'!$B53, 'PPRs all'!$A$2:$A$108, 0), MATCH('השוואת פקטורים'!S$6, טבלה1[[#Headers],[SPPR_1986]:[SPPR_symbolic_full_import_as_DC]], 0)),
INDEX(טבלה2[[SPPR_1986]:[SPPR_symbolic_full_import_as_DC]], MATCH('השוואת פקטורים'!$B53, 'PPRs inner'!$A$2:$A$108, 0), MATCH('השוואת פקטורים'!T$6, טבלה2[[#Headers],[SPPR_1986]:[SPPR_symbolic_full_import_as_DC]], 0)) / INDEX(טבלה2[[SPPR_1986]:[SPPR_symbolic_full_import_as_DC]], MATCH('השוואת פקטורים'!$B53, 'PPRs inner'!$A$2:$A$108, 0), MATCH('השוואת פקטורים'!S$6, טבלה2[[#Headers],[SPPR_1986]:[SPPR_symbolic_full_import_as_DC]], 0))
)</f>
        <v>1</v>
      </c>
      <c r="U53" s="9">
        <f>IF($B$4="סהכ",
INDEX(טבלה1[[SPPR_1986]:[SPPR_symbolic_full_import_as_DC]], MATCH('השוואת פקטורים'!$B53, 'PPRs all'!$A$2:$A$108, 0), MATCH('השוואת פקטורים'!U$6, טבלה1[[#Headers],[SPPR_1986]:[SPPR_symbolic_full_import_as_DC]], 0)) / INDEX(טבלה1[[SPPR_1986]:[SPPR_symbolic_full_import_as_DC]], MATCH('השוואת פקטורים'!$B53, 'PPRs all'!$A$2:$A$108, 0), MATCH('השוואת פקטורים'!T$6, טבלה1[[#Headers],[SPPR_1986]:[SPPR_symbolic_full_import_as_DC]], 0)),
INDEX(טבלה2[[SPPR_1986]:[SPPR_symbolic_full_import_as_DC]], MATCH('השוואת פקטורים'!$B53, 'PPRs inner'!$A$2:$A$108, 0), MATCH('השוואת פקטורים'!U$6, טבלה2[[#Headers],[SPPR_1986]:[SPPR_symbolic_full_import_as_DC]], 0)) / INDEX(טבלה2[[SPPR_1986]:[SPPR_symbolic_full_import_as_DC]], MATCH('השוואת פקטורים'!$B53, 'PPRs inner'!$A$2:$A$108, 0), MATCH('השוואת פקטורים'!T$6, טבלה2[[#Headers],[SPPR_1986]:[SPPR_symbolic_full_import_as_DC]], 0))
)</f>
        <v>0.99999999999999756</v>
      </c>
      <c r="V53" s="9"/>
      <c r="W53" s="9"/>
      <c r="X53" s="14"/>
      <c r="Y53" s="14"/>
      <c r="Z53" s="15">
        <f t="shared" si="2"/>
        <v>0.34722818761514412</v>
      </c>
    </row>
    <row r="54" spans="2:26" x14ac:dyDescent="0.3">
      <c r="B54" s="6" t="s">
        <v>68</v>
      </c>
      <c r="C54" s="12" t="b">
        <v>1</v>
      </c>
      <c r="D54" s="12" t="b">
        <v>1</v>
      </c>
      <c r="E54" s="12" t="b">
        <v>1</v>
      </c>
      <c r="F54" s="12" t="b">
        <f t="shared" si="1"/>
        <v>1</v>
      </c>
      <c r="G54" s="7" t="b">
        <f>ABS(INDEX(טבלה5[[SPPR_1986]:[SPPR_symbolic_full_import_as_DC]],MATCH('השוואת פקטורים'!$B54,טבלה5[עמודה1],0),MATCH($C$4,טבלה5[[#Headers],[SPPR_1986]:[SPPR_symbolic_full_import_as_DC]],0))) &lt; 5</f>
        <v>1</v>
      </c>
      <c r="H54" s="7" t="b">
        <f>INDEX(טבלה3[[SPPR_1986]:[SPPR_symbolic_full_import_as_DC]],MATCH('השוואת פקטורים'!$B54,טבלה3[עמודה1],0),MATCH($C$4,טבלה3[[#Headers],[SPPR_1986]:[SPPR_symbolic_full_import_as_DC]],0))</f>
        <v>1</v>
      </c>
      <c r="I54" s="7" t="b">
        <f t="shared" si="3"/>
        <v>1</v>
      </c>
      <c r="J54" s="13"/>
      <c r="K54" s="9">
        <f>IF($B$4="סהכ",
INDEX(טבלה1[[SPPR_1986]:[SPPR_symbolic_full_import_as_DC]], MATCH('השוואת פקטורים'!$B54, 'PPRs all'!$A$2:$A$108, 0), MATCH('השוואת פקטורים'!K$6, טבלה1[[#Headers],[SPPR_1986]:[SPPR_symbolic_full_import_as_DC]], 0)) / INDEX(טבלה1[[SPPR_1986]:[SPPR_symbolic_full_import_as_DC]], MATCH('השוואת פקטורים'!$B54, 'PPRs all'!$A$2:$A$108, 0), MATCH('השוואת פקטורים'!J$6, טבלה1[[#Headers],[SPPR_1986]:[SPPR_symbolic_full_import_as_DC]], 0)),
INDEX(טבלה2[[SPPR_1986]:[SPPR_symbolic_full_import_as_DC]], MATCH('השוואת פקטורים'!$B54, 'PPRs inner'!$A$2:$A$108, 0), MATCH('השוואת פקטורים'!K$6, טבלה2[[#Headers],[SPPR_1986]:[SPPR_symbolic_full_import_as_DC]], 0)) / INDEX(טבלה2[[SPPR_1986]:[SPPR_symbolic_full_import_as_DC]], MATCH('השוואת פקטורים'!$B54, 'PPRs inner'!$A$2:$A$108, 0), MATCH('השוואת פקטורים'!J$6, טבלה2[[#Headers],[SPPR_1986]:[SPPR_symbolic_full_import_as_DC]], 0))
)</f>
        <v>1.3459241331427787</v>
      </c>
      <c r="L54" s="9">
        <f>IF($B$4="סהכ",
INDEX(טבלה1[[SPPR_1986]:[SPPR_symbolic_full_import_as_DC]], MATCH('השוואת פקטורים'!$B54, 'PPRs all'!$A$2:$A$108, 0), MATCH('השוואת פקטורים'!L$6, טבלה1[[#Headers],[SPPR_1986]:[SPPR_symbolic_full_import_as_DC]], 0)) / INDEX(טבלה1[[SPPR_1986]:[SPPR_symbolic_full_import_as_DC]], MATCH('השוואת פקטורים'!$B54, 'PPRs all'!$A$2:$A$108, 0), MATCH('השוואת פקטורים'!K$6, טבלה1[[#Headers],[SPPR_1986]:[SPPR_symbolic_full_import_as_DC]], 0)),
INDEX(טבלה2[[SPPR_1986]:[SPPR_symbolic_full_import_as_DC]], MATCH('השוואת פקטורים'!$B54, 'PPRs inner'!$A$2:$A$108, 0), MATCH('השוואת פקטורים'!L$6, טבלה2[[#Headers],[SPPR_1986]:[SPPR_symbolic_full_import_as_DC]], 0)) / INDEX(טבלה2[[SPPR_1986]:[SPPR_symbolic_full_import_as_DC]], MATCH('השוואת פקטורים'!$B54, 'PPRs inner'!$A$2:$A$108, 0), MATCH('השוואת פקטורים'!K$6, טבלה2[[#Headers],[SPPR_1986]:[SPPR_symbolic_full_import_as_DC]], 0))
)</f>
        <v>6.7348840957733245</v>
      </c>
      <c r="M54" s="9">
        <f>IF($B$4="סהכ",
INDEX(טבלה1[[SPPR_1986]:[SPPR_symbolic_full_import_as_DC]], MATCH('השוואת פקטורים'!$B54, 'PPRs all'!$A$2:$A$108, 0), MATCH('השוואת פקטורים'!M$6, טבלה1[[#Headers],[SPPR_1986]:[SPPR_symbolic_full_import_as_DC]], 0)) / INDEX(טבלה1[[SPPR_1986]:[SPPR_symbolic_full_import_as_DC]], MATCH('השוואת פקטורים'!$B54, 'PPRs all'!$A$2:$A$108, 0), MATCH('השוואת פקטורים'!L$6, טבלה1[[#Headers],[SPPR_1986]:[SPPR_symbolic_full_import_as_DC]], 0)),
INDEX(טבלה2[[SPPR_1986]:[SPPR_symbolic_full_import_as_DC]], MATCH('השוואת פקטורים'!$B54, 'PPRs inner'!$A$2:$A$108, 0), MATCH('השוואת פקטורים'!M$6, טבלה2[[#Headers],[SPPR_1986]:[SPPR_symbolic_full_import_as_DC]], 0)) / INDEX(טבלה2[[SPPR_1986]:[SPPR_symbolic_full_import_as_DC]], MATCH('השוואת פקטורים'!$B54, 'PPRs inner'!$A$2:$A$108, 0), MATCH('השוואת פקטורים'!L$6, טבלה2[[#Headers],[SPPR_1986]:[SPPR_symbolic_full_import_as_DC]], 0))
)</f>
        <v>0.16711653077872757</v>
      </c>
      <c r="N54" s="9">
        <f>IF($B$4="סהכ",
INDEX(טבלה1[[SPPR_1986]:[SPPR_symbolic_full_import_as_DC]], MATCH('השוואת פקטורים'!$B54, 'PPRs all'!$A$2:$A$108, 0), MATCH('השוואת פקטורים'!N$6, טבלה1[[#Headers],[SPPR_1986]:[SPPR_symbolic_full_import_as_DC]], 0)) / INDEX(טבלה1[[SPPR_1986]:[SPPR_symbolic_full_import_as_DC]], MATCH('השוואת פקטורים'!$B54, 'PPRs all'!$A$2:$A$108, 0), MATCH('השוואת פקטורים'!M$6, טבלה1[[#Headers],[SPPR_1986]:[SPPR_symbolic_full_import_as_DC]], 0)),
INDEX(טבלה2[[SPPR_1986]:[SPPR_symbolic_full_import_as_DC]], MATCH('השוואת פקטורים'!$B54, 'PPRs inner'!$A$2:$A$108, 0), MATCH('השוואת פקטורים'!N$6, טבלה2[[#Headers],[SPPR_1986]:[SPPR_symbolic_full_import_as_DC]], 0)) / INDEX(טבלה2[[SPPR_1986]:[SPPR_symbolic_full_import_as_DC]], MATCH('השוואת פקטורים'!$B54, 'PPRs inner'!$A$2:$A$108, 0), MATCH('השוואת פקטורים'!M$6, טבלה2[[#Headers],[SPPR_1986]:[SPPR_symbolic_full_import_as_DC]], 0))
)</f>
        <v>10.782518178873989</v>
      </c>
      <c r="O54" s="9">
        <f>IF($B$4="סהכ",
INDEX(טבלה1[[SPPR_1986]:[SPPR_symbolic_full_import_as_DC]], MATCH('השוואת פקטורים'!$B54, 'PPRs all'!$A$2:$A$108, 0), MATCH('השוואת פקטורים'!O$6, טבלה1[[#Headers],[SPPR_1986]:[SPPR_symbolic_full_import_as_DC]], 0)) / INDEX(טבלה1[[SPPR_1986]:[SPPR_symbolic_full_import_as_DC]], MATCH('השוואת פקטורים'!$B54, 'PPRs all'!$A$2:$A$108, 0), MATCH('השוואת פקטורים'!N$6, טבלה1[[#Headers],[SPPR_1986]:[SPPR_symbolic_full_import_as_DC]], 0)),
INDEX(טבלה2[[SPPR_1986]:[SPPR_symbolic_full_import_as_DC]], MATCH('השוואת פקטורים'!$B54, 'PPRs inner'!$A$2:$A$108, 0), MATCH('השוואת פקטורים'!O$6, טבלה2[[#Headers],[SPPR_1986]:[SPPR_symbolic_full_import_as_DC]], 0)) / INDEX(טבלה2[[SPPR_1986]:[SPPR_symbolic_full_import_as_DC]], MATCH('השוואת פקטורים'!$B54, 'PPRs inner'!$A$2:$A$108, 0), MATCH('השוואת פקטורים'!N$6, טבלה2[[#Headers],[SPPR_1986]:[SPPR_symbolic_full_import_as_DC]], 0))
)</f>
        <v>1.0000000000055476</v>
      </c>
      <c r="P54" s="9">
        <f>IF($B$4="סהכ",
INDEX(טבלה1[[SPPR_1986]:[SPPR_symbolic_full_import_as_DC]], MATCH('השוואת פקטורים'!$B54, 'PPRs all'!$A$2:$A$108, 0), MATCH('השוואת פקטורים'!P$6, טבלה1[[#Headers],[SPPR_1986]:[SPPR_symbolic_full_import_as_DC]], 0)) / INDEX(טבלה1[[SPPR_1986]:[SPPR_symbolic_full_import_as_DC]], MATCH('השוואת פקטורים'!$B54, 'PPRs all'!$A$2:$A$108, 0), MATCH('השוואת פקטורים'!O$6, טבלה1[[#Headers],[SPPR_1986]:[SPPR_symbolic_full_import_as_DC]], 0)),
INDEX(טבלה2[[SPPR_1986]:[SPPR_symbolic_full_import_as_DC]], MATCH('השוואת פקטורים'!$B54, 'PPRs inner'!$A$2:$A$108, 0), MATCH('השוואת פקטורים'!P$6, טבלה2[[#Headers],[SPPR_1986]:[SPPR_symbolic_full_import_as_DC]], 0)) / INDEX(טבלה2[[SPPR_1986]:[SPPR_symbolic_full_import_as_DC]], MATCH('השוואת פקטורים'!$B54, 'PPRs inner'!$A$2:$A$108, 0), MATCH('השוואת פקטורים'!O$6, טבלה2[[#Headers],[SPPR_1986]:[SPPR_symbolic_full_import_as_DC]], 0))
)</f>
        <v>0.10589416804076476</v>
      </c>
      <c r="Q54" s="9">
        <f>IF($B$4="סהכ",
INDEX(טבלה1[[SPPR_1986]:[SPPR_symbolic_full_import_as_DC]], MATCH('השוואת פקטורים'!$B54, 'PPRs all'!$A$2:$A$108, 0), MATCH('השוואת פקטורים'!Q$6, טבלה1[[#Headers],[SPPR_1986]:[SPPR_symbolic_full_import_as_DC]], 0)) / INDEX(טבלה1[[SPPR_1986]:[SPPR_symbolic_full_import_as_DC]], MATCH('השוואת פקטורים'!$B54, 'PPRs all'!$A$2:$A$108, 0), MATCH('השוואת פקטורים'!P$6, טבלה1[[#Headers],[SPPR_1986]:[SPPR_symbolic_full_import_as_DC]], 0)),
INDEX(טבלה2[[SPPR_1986]:[SPPR_symbolic_full_import_as_DC]], MATCH('השוואת פקטורים'!$B54, 'PPRs inner'!$A$2:$A$108, 0), MATCH('השוואת פקטורים'!Q$6, טבלה2[[#Headers],[SPPR_1986]:[SPPR_symbolic_full_import_as_DC]], 0)) / INDEX(טבלה2[[SPPR_1986]:[SPPR_symbolic_full_import_as_DC]], MATCH('השוואת פקטורים'!$B54, 'PPRs inner'!$A$2:$A$108, 0), MATCH('השוואת פקטורים'!P$6, טבלה2[[#Headers],[SPPR_1986]:[SPPR_symbolic_full_import_as_DC]], 0))
)</f>
        <v>0.99999999999987388</v>
      </c>
      <c r="R54" s="9">
        <f>IF($B$4="סהכ",
INDEX(טבלה1[[SPPR_1986]:[SPPR_symbolic_full_import_as_DC]], MATCH('השוואת פקטורים'!$B54, 'PPRs all'!$A$2:$A$108, 0), MATCH('השוואת פקטורים'!R$6, טבלה1[[#Headers],[SPPR_1986]:[SPPR_symbolic_full_import_as_DC]], 0)) / INDEX(טבלה1[[SPPR_1986]:[SPPR_symbolic_full_import_as_DC]], MATCH('השוואת פקטורים'!$B54, 'PPRs all'!$A$2:$A$108, 0), MATCH('השוואת פקטורים'!Q$6, טבלה1[[#Headers],[SPPR_1986]:[SPPR_symbolic_full_import_as_DC]], 0)),
INDEX(טבלה2[[SPPR_1986]:[SPPR_symbolic_full_import_as_DC]], MATCH('השוואת פקטורים'!$B54, 'PPRs inner'!$A$2:$A$108, 0), MATCH('השוואת פקטורים'!R$6, טבלה2[[#Headers],[SPPR_1986]:[SPPR_symbolic_full_import_as_DC]], 0)) / INDEX(טבלה2[[SPPR_1986]:[SPPR_symbolic_full_import_as_DC]], MATCH('השוואת פקטורים'!$B54, 'PPRs inner'!$A$2:$A$108, 0), MATCH('השוואת פקטורים'!Q$6, טבלה2[[#Headers],[SPPR_1986]:[SPPR_symbolic_full_import_as_DC]], 0))
)</f>
        <v>58951782751.070412</v>
      </c>
      <c r="S54" s="9">
        <f>IF($B$4="סהכ",
INDEX(טבלה1[[SPPR_1986]:[SPPR_symbolic_full_import_as_DC]], MATCH('השוואת פקטורים'!$B54, 'PPRs all'!$A$2:$A$108, 0), MATCH('השוואת פקטורים'!S$6, טבלה1[[#Headers],[SPPR_1986]:[SPPR_symbolic_full_import_as_DC]], 0)) / INDEX(טבלה1[[SPPR_1986]:[SPPR_symbolic_full_import_as_DC]], MATCH('השוואת פקטורים'!$B54, 'PPRs all'!$A$2:$A$108, 0), MATCH('השוואת פקטורים'!R$6, טבלה1[[#Headers],[SPPR_1986]:[SPPR_symbolic_full_import_as_DC]], 0)),
INDEX(טבלה2[[SPPR_1986]:[SPPR_symbolic_full_import_as_DC]], MATCH('השוואת פקטורים'!$B54, 'PPRs inner'!$A$2:$A$108, 0), MATCH('השוואת פקטורים'!S$6, טבלה2[[#Headers],[SPPR_1986]:[SPPR_symbolic_full_import_as_DC]], 0)) / INDEX(טבלה2[[SPPR_1986]:[SPPR_symbolic_full_import_as_DC]], MATCH('השוואת פקטורים'!$B54, 'PPRs inner'!$A$2:$A$108, 0), MATCH('השוואת פקטורים'!R$6, טבלה2[[#Headers],[SPPR_1986]:[SPPR_symbolic_full_import_as_DC]], 0))
)</f>
        <v>1.6963015422664934E-11</v>
      </c>
      <c r="T54" s="9">
        <f>IF($B$4="סהכ",
INDEX(טבלה1[[SPPR_1986]:[SPPR_symbolic_full_import_as_DC]], MATCH('השוואת פקטורים'!$B54, 'PPRs all'!$A$2:$A$108, 0), MATCH('השוואת פקטורים'!T$6, טבלה1[[#Headers],[SPPR_1986]:[SPPR_symbolic_full_import_as_DC]], 0)) / INDEX(טבלה1[[SPPR_1986]:[SPPR_symbolic_full_import_as_DC]], MATCH('השוואת פקטורים'!$B54, 'PPRs all'!$A$2:$A$108, 0), MATCH('השוואת פקטורים'!S$6, טבלה1[[#Headers],[SPPR_1986]:[SPPR_symbolic_full_import_as_DC]], 0)),
INDEX(טבלה2[[SPPR_1986]:[SPPR_symbolic_full_import_as_DC]], MATCH('השוואת פקטורים'!$B54, 'PPRs inner'!$A$2:$A$108, 0), MATCH('השוואת פקטורים'!T$6, טבלה2[[#Headers],[SPPR_1986]:[SPPR_symbolic_full_import_as_DC]], 0)) / INDEX(טבלה2[[SPPR_1986]:[SPPR_symbolic_full_import_as_DC]], MATCH('השוואת פקטורים'!$B54, 'PPRs inner'!$A$2:$A$108, 0), MATCH('השוואת פקטורים'!S$6, טבלה2[[#Headers],[SPPR_1986]:[SPPR_symbolic_full_import_as_DC]], 0))
)</f>
        <v>58951782751.070412</v>
      </c>
      <c r="U54" s="9">
        <f>IF($B$4="סהכ",
INDEX(טבלה1[[SPPR_1986]:[SPPR_symbolic_full_import_as_DC]], MATCH('השוואת פקטורים'!$B54, 'PPRs all'!$A$2:$A$108, 0), MATCH('השוואת פקטורים'!U$6, טבלה1[[#Headers],[SPPR_1986]:[SPPR_symbolic_full_import_as_DC]], 0)) / INDEX(טבלה1[[SPPR_1986]:[SPPR_symbolic_full_import_as_DC]], MATCH('השוואת פקטורים'!$B54, 'PPRs all'!$A$2:$A$108, 0), MATCH('השוואת פקטורים'!T$6, טבלה1[[#Headers],[SPPR_1986]:[SPPR_symbolic_full_import_as_DC]], 0)),
INDEX(טבלה2[[SPPR_1986]:[SPPR_symbolic_full_import_as_DC]], MATCH('השוואת פקטורים'!$B54, 'PPRs inner'!$A$2:$A$108, 0), MATCH('השוואת פקטורים'!U$6, טבלה2[[#Headers],[SPPR_1986]:[SPPR_symbolic_full_import_as_DC]], 0)) / INDEX(טבלה2[[SPPR_1986]:[SPPR_symbolic_full_import_as_DC]], MATCH('השוואת פקטורים'!$B54, 'PPRs inner'!$A$2:$A$108, 0), MATCH('השוואת פקטורים'!T$6, טבלה2[[#Headers],[SPPR_1986]:[SPPR_symbolic_full_import_as_DC]], 0))
)</f>
        <v>1.6963015422667073E-11</v>
      </c>
      <c r="V54" s="9"/>
      <c r="W54" s="9"/>
      <c r="X54" s="14"/>
      <c r="Y54" s="14"/>
      <c r="Z54" s="15">
        <f>PRODUCT(K54:Y54)</f>
        <v>1.7296664419437042</v>
      </c>
    </row>
    <row r="55" spans="2:26" x14ac:dyDescent="0.3">
      <c r="B55" s="6" t="s">
        <v>69</v>
      </c>
      <c r="C55" s="12" t="b">
        <v>1</v>
      </c>
      <c r="D55" s="12" t="b">
        <v>1</v>
      </c>
      <c r="E55" s="12" t="b">
        <v>1</v>
      </c>
      <c r="F55" s="12" t="b">
        <f t="shared" si="1"/>
        <v>1</v>
      </c>
      <c r="G55" s="7" t="b">
        <f>ABS(INDEX(טבלה5[[SPPR_1986]:[SPPR_symbolic_full_import_as_DC]],MATCH('השוואת פקטורים'!$B55,טבלה5[עמודה1],0),MATCH($C$4,טבלה5[[#Headers],[SPPR_1986]:[SPPR_symbolic_full_import_as_DC]],0))) &lt; 5</f>
        <v>1</v>
      </c>
      <c r="H55" s="7" t="b">
        <f>INDEX(טבלה3[[SPPR_1986]:[SPPR_symbolic_full_import_as_DC]],MATCH('השוואת פקטורים'!$B55,טבלה3[עמודה1],0),MATCH($C$4,טבלה3[[#Headers],[SPPR_1986]:[SPPR_symbolic_full_import_as_DC]],0))</f>
        <v>1</v>
      </c>
      <c r="I55" s="7" t="b">
        <f t="shared" si="3"/>
        <v>1</v>
      </c>
      <c r="J55" s="13"/>
      <c r="K55" s="9">
        <f>IF($B$4="סהכ",
INDEX(טבלה1[[SPPR_1986]:[SPPR_symbolic_full_import_as_DC]], MATCH('השוואת פקטורים'!$B55, 'PPRs all'!$A$2:$A$108, 0), MATCH('השוואת פקטורים'!K$6, טבלה1[[#Headers],[SPPR_1986]:[SPPR_symbolic_full_import_as_DC]], 0)) / INDEX(טבלה1[[SPPR_1986]:[SPPR_symbolic_full_import_as_DC]], MATCH('השוואת פקטורים'!$B55, 'PPRs all'!$A$2:$A$108, 0), MATCH('השוואת פקטורים'!J$6, טבלה1[[#Headers],[SPPR_1986]:[SPPR_symbolic_full_import_as_DC]], 0)),
INDEX(טבלה2[[SPPR_1986]:[SPPR_symbolic_full_import_as_DC]], MATCH('השוואת פקטורים'!$B55, 'PPRs inner'!$A$2:$A$108, 0), MATCH('השוואת פקטורים'!K$6, טבלה2[[#Headers],[SPPR_1986]:[SPPR_symbolic_full_import_as_DC]], 0)) / INDEX(טבלה2[[SPPR_1986]:[SPPR_symbolic_full_import_as_DC]], MATCH('השוואת פקטורים'!$B55, 'PPRs inner'!$A$2:$A$108, 0), MATCH('השוואת פקטורים'!J$6, טבלה2[[#Headers],[SPPR_1986]:[SPPR_symbolic_full_import_as_DC]], 0))
)</f>
        <v>9.4788375913195583E-2</v>
      </c>
      <c r="L55" s="9">
        <f>IF($B$4="סהכ",
INDEX(טבלה1[[SPPR_1986]:[SPPR_symbolic_full_import_as_DC]], MATCH('השוואת פקטורים'!$B55, 'PPRs all'!$A$2:$A$108, 0), MATCH('השוואת פקטורים'!L$6, טבלה1[[#Headers],[SPPR_1986]:[SPPR_symbolic_full_import_as_DC]], 0)) / INDEX(טבלה1[[SPPR_1986]:[SPPR_symbolic_full_import_as_DC]], MATCH('השוואת פקטורים'!$B55, 'PPRs all'!$A$2:$A$108, 0), MATCH('השוואת פקטורים'!K$6, טבלה1[[#Headers],[SPPR_1986]:[SPPR_symbolic_full_import_as_DC]], 0)),
INDEX(טבלה2[[SPPR_1986]:[SPPR_symbolic_full_import_as_DC]], MATCH('השוואת פקטורים'!$B55, 'PPRs inner'!$A$2:$A$108, 0), MATCH('השוואת פקטורים'!L$6, טבלה2[[#Headers],[SPPR_1986]:[SPPR_symbolic_full_import_as_DC]], 0)) / INDEX(טבלה2[[SPPR_1986]:[SPPR_symbolic_full_import_as_DC]], MATCH('השוואת פקטורים'!$B55, 'PPRs inner'!$A$2:$A$108, 0), MATCH('השוואת פקטורים'!K$6, טבלה2[[#Headers],[SPPR_1986]:[SPPR_symbolic_full_import_as_DC]], 0))
)</f>
        <v>2.1509619644588329</v>
      </c>
      <c r="M55" s="9">
        <f>IF($B$4="סהכ",
INDEX(טבלה1[[SPPR_1986]:[SPPR_symbolic_full_import_as_DC]], MATCH('השוואת פקטורים'!$B55, 'PPRs all'!$A$2:$A$108, 0), MATCH('השוואת פקטורים'!M$6, טבלה1[[#Headers],[SPPR_1986]:[SPPR_symbolic_full_import_as_DC]], 0)) / INDEX(טבלה1[[SPPR_1986]:[SPPR_symbolic_full_import_as_DC]], MATCH('השוואת פקטורים'!$B55, 'PPRs all'!$A$2:$A$108, 0), MATCH('השוואת פקטורים'!L$6, טבלה1[[#Headers],[SPPR_1986]:[SPPR_symbolic_full_import_as_DC]], 0)),
INDEX(טבלה2[[SPPR_1986]:[SPPR_symbolic_full_import_as_DC]], MATCH('השוואת פקטורים'!$B55, 'PPRs inner'!$A$2:$A$108, 0), MATCH('השוואת פקטורים'!M$6, טבלה2[[#Headers],[SPPR_1986]:[SPPR_symbolic_full_import_as_DC]], 0)) / INDEX(טבלה2[[SPPR_1986]:[SPPR_symbolic_full_import_as_DC]], MATCH('השוואת פקטורים'!$B55, 'PPRs inner'!$A$2:$A$108, 0), MATCH('השוואת פקטורים'!L$6, טבלה2[[#Headers],[SPPR_1986]:[SPPR_symbolic_full_import_as_DC]], 0))
)</f>
        <v>4.9961556724142104</v>
      </c>
      <c r="N55" s="9">
        <f>IF($B$4="סהכ",
INDEX(טבלה1[[SPPR_1986]:[SPPR_symbolic_full_import_as_DC]], MATCH('השוואת פקטורים'!$B55, 'PPRs all'!$A$2:$A$108, 0), MATCH('השוואת פקטורים'!N$6, טבלה1[[#Headers],[SPPR_1986]:[SPPR_symbolic_full_import_as_DC]], 0)) / INDEX(טבלה1[[SPPR_1986]:[SPPR_symbolic_full_import_as_DC]], MATCH('השוואת פקטורים'!$B55, 'PPRs all'!$A$2:$A$108, 0), MATCH('השוואת פקטורים'!M$6, טבלה1[[#Headers],[SPPR_1986]:[SPPR_symbolic_full_import_as_DC]], 0)),
INDEX(טבלה2[[SPPR_1986]:[SPPR_symbolic_full_import_as_DC]], MATCH('השוואת פקטורים'!$B55, 'PPRs inner'!$A$2:$A$108, 0), MATCH('השוואת פקטורים'!N$6, טבלה2[[#Headers],[SPPR_1986]:[SPPR_symbolic_full_import_as_DC]], 0)) / INDEX(טבלה2[[SPPR_1986]:[SPPR_symbolic_full_import_as_DC]], MATCH('השוואת פקטורים'!$B55, 'PPRs inner'!$A$2:$A$108, 0), MATCH('השוואת פקטורים'!M$6, טבלה2[[#Headers],[SPPR_1986]:[SPPR_symbolic_full_import_as_DC]], 0))
)</f>
        <v>0.81740531041376174</v>
      </c>
      <c r="O55" s="9">
        <f>IF($B$4="סהכ",
INDEX(טבלה1[[SPPR_1986]:[SPPR_symbolic_full_import_as_DC]], MATCH('השוואת פקטורים'!$B55, 'PPRs all'!$A$2:$A$108, 0), MATCH('השוואת פקטורים'!O$6, טבלה1[[#Headers],[SPPR_1986]:[SPPR_symbolic_full_import_as_DC]], 0)) / INDEX(טבלה1[[SPPR_1986]:[SPPR_symbolic_full_import_as_DC]], MATCH('השוואת פקטורים'!$B55, 'PPRs all'!$A$2:$A$108, 0), MATCH('השוואת פקטורים'!N$6, טבלה1[[#Headers],[SPPR_1986]:[SPPR_symbolic_full_import_as_DC]], 0)),
INDEX(טבלה2[[SPPR_1986]:[SPPR_symbolic_full_import_as_DC]], MATCH('השוואת פקטורים'!$B55, 'PPRs inner'!$A$2:$A$108, 0), MATCH('השוואת פקטורים'!O$6, טבלה2[[#Headers],[SPPR_1986]:[SPPR_symbolic_full_import_as_DC]], 0)) / INDEX(טבלה2[[SPPR_1986]:[SPPR_symbolic_full_import_as_DC]], MATCH('השוואת פקטורים'!$B55, 'PPRs inner'!$A$2:$A$108, 0), MATCH('השוואת פקטורים'!N$6, טבלה2[[#Headers],[SPPR_1986]:[SPPR_symbolic_full_import_as_DC]], 0))
)</f>
        <v>0.99999999999999789</v>
      </c>
      <c r="P55" s="9">
        <f>IF($B$4="סהכ",
INDEX(טבלה1[[SPPR_1986]:[SPPR_symbolic_full_import_as_DC]], MATCH('השוואת פקטורים'!$B55, 'PPRs all'!$A$2:$A$108, 0), MATCH('השוואת פקטורים'!P$6, טבלה1[[#Headers],[SPPR_1986]:[SPPR_symbolic_full_import_as_DC]], 0)) / INDEX(טבלה1[[SPPR_1986]:[SPPR_symbolic_full_import_as_DC]], MATCH('השוואת פקטורים'!$B55, 'PPRs all'!$A$2:$A$108, 0), MATCH('השוואת פקטורים'!O$6, טבלה1[[#Headers],[SPPR_1986]:[SPPR_symbolic_full_import_as_DC]], 0)),
INDEX(טבלה2[[SPPR_1986]:[SPPR_symbolic_full_import_as_DC]], MATCH('השוואת פקטורים'!$B55, 'PPRs inner'!$A$2:$A$108, 0), MATCH('השוואת פקטורים'!P$6, טבלה2[[#Headers],[SPPR_1986]:[SPPR_symbolic_full_import_as_DC]], 0)) / INDEX(טבלה2[[SPPR_1986]:[SPPR_symbolic_full_import_as_DC]], MATCH('השוואת פקטורים'!$B55, 'PPRs inner'!$A$2:$A$108, 0), MATCH('השוואת פקטורים'!O$6, טבלה2[[#Headers],[SPPR_1986]:[SPPR_symbolic_full_import_as_DC]], 0))
)</f>
        <v>0.98520508102152327</v>
      </c>
      <c r="Q55" s="9">
        <f>IF($B$4="סהכ",
INDEX(טבלה1[[SPPR_1986]:[SPPR_symbolic_full_import_as_DC]], MATCH('השוואת פקטורים'!$B55, 'PPRs all'!$A$2:$A$108, 0), MATCH('השוואת פקטורים'!Q$6, טבלה1[[#Headers],[SPPR_1986]:[SPPR_symbolic_full_import_as_DC]], 0)) / INDEX(טבלה1[[SPPR_1986]:[SPPR_symbolic_full_import_as_DC]], MATCH('השוואת פקטורים'!$B55, 'PPRs all'!$A$2:$A$108, 0), MATCH('השוואת פקטורים'!P$6, טבלה1[[#Headers],[SPPR_1986]:[SPPR_symbolic_full_import_as_DC]], 0)),
INDEX(טבלה2[[SPPR_1986]:[SPPR_symbolic_full_import_as_DC]], MATCH('השוואת פקטורים'!$B55, 'PPRs inner'!$A$2:$A$108, 0), MATCH('השוואת פקטורים'!Q$6, טבלה2[[#Headers],[SPPR_1986]:[SPPR_symbolic_full_import_as_DC]], 0)) / INDEX(טבלה2[[SPPR_1986]:[SPPR_symbolic_full_import_as_DC]], MATCH('השוואת פקטורים'!$B55, 'PPRs inner'!$A$2:$A$108, 0), MATCH('השוואת פקטורים'!P$6, טבלה2[[#Headers],[SPPR_1986]:[SPPR_symbolic_full_import_as_DC]], 0))
)</f>
        <v>0.99999999999999833</v>
      </c>
      <c r="R55" s="9">
        <f>IF($B$4="סהכ",
INDEX(טבלה1[[SPPR_1986]:[SPPR_symbolic_full_import_as_DC]], MATCH('השוואת פקטורים'!$B55, 'PPRs all'!$A$2:$A$108, 0), MATCH('השוואת פקטורים'!R$6, טבלה1[[#Headers],[SPPR_1986]:[SPPR_symbolic_full_import_as_DC]], 0)) / INDEX(טבלה1[[SPPR_1986]:[SPPR_symbolic_full_import_as_DC]], MATCH('השוואת פקטורים'!$B55, 'PPRs all'!$A$2:$A$108, 0), MATCH('השוואת פקטורים'!Q$6, טבלה1[[#Headers],[SPPR_1986]:[SPPR_symbolic_full_import_as_DC]], 0)),
INDEX(טבלה2[[SPPR_1986]:[SPPR_symbolic_full_import_as_DC]], MATCH('השוואת פקטורים'!$B55, 'PPRs inner'!$A$2:$A$108, 0), MATCH('השוואת פקטורים'!R$6, טבלה2[[#Headers],[SPPR_1986]:[SPPR_symbolic_full_import_as_DC]], 0)) / INDEX(טבלה2[[SPPR_1986]:[SPPR_symbolic_full_import_as_DC]], MATCH('השוואת פקטורים'!$B55, 'PPRs inner'!$A$2:$A$108, 0), MATCH('השוואת פקטורים'!Q$6, טבלה2[[#Headers],[SPPR_1986]:[SPPR_symbolic_full_import_as_DC]], 0))
)</f>
        <v>1</v>
      </c>
      <c r="S55" s="9">
        <f>IF($B$4="סהכ",
INDEX(טבלה1[[SPPR_1986]:[SPPR_symbolic_full_import_as_DC]], MATCH('השוואת פקטורים'!$B55, 'PPRs all'!$A$2:$A$108, 0), MATCH('השוואת פקטורים'!S$6, טבלה1[[#Headers],[SPPR_1986]:[SPPR_symbolic_full_import_as_DC]], 0)) / INDEX(טבלה1[[SPPR_1986]:[SPPR_symbolic_full_import_as_DC]], MATCH('השוואת פקטורים'!$B55, 'PPRs all'!$A$2:$A$108, 0), MATCH('השוואת פקטורים'!R$6, טבלה1[[#Headers],[SPPR_1986]:[SPPR_symbolic_full_import_as_DC]], 0)),
INDEX(טבלה2[[SPPR_1986]:[SPPR_symbolic_full_import_as_DC]], MATCH('השוואת פקטורים'!$B55, 'PPRs inner'!$A$2:$A$108, 0), MATCH('השוואת פקטורים'!S$6, טבלה2[[#Headers],[SPPR_1986]:[SPPR_symbolic_full_import_as_DC]], 0)) / INDEX(טבלה2[[SPPR_1986]:[SPPR_symbolic_full_import_as_DC]], MATCH('השוואת פקטורים'!$B55, 'PPRs inner'!$A$2:$A$108, 0), MATCH('השוואת פקטורים'!R$6, טבלה2[[#Headers],[SPPR_1986]:[SPPR_symbolic_full_import_as_DC]], 0))
)</f>
        <v>1</v>
      </c>
      <c r="T55" s="9">
        <f>IF($B$4="סהכ",
INDEX(טבלה1[[SPPR_1986]:[SPPR_symbolic_full_import_as_DC]], MATCH('השוואת פקטורים'!$B55, 'PPRs all'!$A$2:$A$108, 0), MATCH('השוואת פקטורים'!T$6, טבלה1[[#Headers],[SPPR_1986]:[SPPR_symbolic_full_import_as_DC]], 0)) / INDEX(טבלה1[[SPPR_1986]:[SPPR_symbolic_full_import_as_DC]], MATCH('השוואת פקטורים'!$B55, 'PPRs all'!$A$2:$A$108, 0), MATCH('השוואת פקטורים'!S$6, טבלה1[[#Headers],[SPPR_1986]:[SPPR_symbolic_full_import_as_DC]], 0)),
INDEX(טבלה2[[SPPR_1986]:[SPPR_symbolic_full_import_as_DC]], MATCH('השוואת פקטורים'!$B55, 'PPRs inner'!$A$2:$A$108, 0), MATCH('השוואת פקטורים'!T$6, טבלה2[[#Headers],[SPPR_1986]:[SPPR_symbolic_full_import_as_DC]], 0)) / INDEX(טבלה2[[SPPR_1986]:[SPPR_symbolic_full_import_as_DC]], MATCH('השוואת פקטורים'!$B55, 'PPRs inner'!$A$2:$A$108, 0), MATCH('השוואת פקטורים'!S$6, טבלה2[[#Headers],[SPPR_1986]:[SPPR_symbolic_full_import_as_DC]], 0))
)</f>
        <v>1</v>
      </c>
      <c r="U55" s="9">
        <f>IF($B$4="סהכ",
INDEX(טבלה1[[SPPR_1986]:[SPPR_symbolic_full_import_as_DC]], MATCH('השוואת פקטורים'!$B55, 'PPRs all'!$A$2:$A$108, 0), MATCH('השוואת פקטורים'!U$6, טבלה1[[#Headers],[SPPR_1986]:[SPPR_symbolic_full_import_as_DC]], 0)) / INDEX(טבלה1[[SPPR_1986]:[SPPR_symbolic_full_import_as_DC]], MATCH('השוואת פקטורים'!$B55, 'PPRs all'!$A$2:$A$108, 0), MATCH('השוואת פקטורים'!T$6, טבלה1[[#Headers],[SPPR_1986]:[SPPR_symbolic_full_import_as_DC]], 0)),
INDEX(טבלה2[[SPPR_1986]:[SPPR_symbolic_full_import_as_DC]], MATCH('השוואת פקטורים'!$B55, 'PPRs inner'!$A$2:$A$108, 0), MATCH('השוואת פקטורים'!U$6, טבלה2[[#Headers],[SPPR_1986]:[SPPR_symbolic_full_import_as_DC]], 0)) / INDEX(טבלה2[[SPPR_1986]:[SPPR_symbolic_full_import_as_DC]], MATCH('השוואת פקטורים'!$B55, 'PPRs inner'!$A$2:$A$108, 0), MATCH('השוואת פקטורים'!T$6, טבלה2[[#Headers],[SPPR_1986]:[SPPR_symbolic_full_import_as_DC]], 0))
)</f>
        <v>1.0000000000000018</v>
      </c>
      <c r="V55" s="9"/>
      <c r="W55" s="9"/>
      <c r="X55" s="14"/>
      <c r="Y55" s="14"/>
      <c r="Z55" s="15">
        <f t="shared" si="2"/>
        <v>0.82032863702463077</v>
      </c>
    </row>
    <row r="56" spans="2:26" x14ac:dyDescent="0.3">
      <c r="B56" s="6" t="s">
        <v>70</v>
      </c>
      <c r="C56" s="12" t="b">
        <v>1</v>
      </c>
      <c r="D56" s="12" t="b">
        <v>1</v>
      </c>
      <c r="E56" s="12" t="b">
        <v>1</v>
      </c>
      <c r="F56" s="12" t="b">
        <f t="shared" si="1"/>
        <v>1</v>
      </c>
      <c r="G56" s="7" t="b">
        <f>ABS(INDEX(טבלה5[[SPPR_1986]:[SPPR_symbolic_full_import_as_DC]],MATCH('השוואת פקטורים'!$B56,טבלה5[עמודה1],0),MATCH($C$4,טבלה5[[#Headers],[SPPR_1986]:[SPPR_symbolic_full_import_as_DC]],0))) &lt; 5</f>
        <v>1</v>
      </c>
      <c r="H56" s="7" t="b">
        <f>INDEX(טבלה3[[SPPR_1986]:[SPPR_symbolic_full_import_as_DC]],MATCH('השוואת פקטורים'!$B56,טבלה3[עמודה1],0),MATCH($C$4,טבלה3[[#Headers],[SPPR_1986]:[SPPR_symbolic_full_import_as_DC]],0))</f>
        <v>1</v>
      </c>
      <c r="I56" s="7" t="b">
        <f t="shared" si="3"/>
        <v>1</v>
      </c>
      <c r="J56" s="13"/>
      <c r="K56" s="9">
        <f>IF($B$4="סהכ",
INDEX(טבלה1[[SPPR_1986]:[SPPR_symbolic_full_import_as_DC]], MATCH('השוואת פקטורים'!$B56, 'PPRs all'!$A$2:$A$108, 0), MATCH('השוואת פקטורים'!K$6, טבלה1[[#Headers],[SPPR_1986]:[SPPR_symbolic_full_import_as_DC]], 0)) / INDEX(טבלה1[[SPPR_1986]:[SPPR_symbolic_full_import_as_DC]], MATCH('השוואת פקטורים'!$B56, 'PPRs all'!$A$2:$A$108, 0), MATCH('השוואת פקטורים'!J$6, טבלה1[[#Headers],[SPPR_1986]:[SPPR_symbolic_full_import_as_DC]], 0)),
INDEX(טבלה2[[SPPR_1986]:[SPPR_symbolic_full_import_as_DC]], MATCH('השוואת פקטורים'!$B56, 'PPRs inner'!$A$2:$A$108, 0), MATCH('השוואת פקטורים'!K$6, טבלה2[[#Headers],[SPPR_1986]:[SPPR_symbolic_full_import_as_DC]], 0)) / INDEX(טבלה2[[SPPR_1986]:[SPPR_symbolic_full_import_as_DC]], MATCH('השוואת פקטורים'!$B56, 'PPRs inner'!$A$2:$A$108, 0), MATCH('השוואת פקטורים'!J$6, טבלה2[[#Headers],[SPPR_1986]:[SPPR_symbolic_full_import_as_DC]], 0))
)</f>
        <v>0.13714635567893538</v>
      </c>
      <c r="L56" s="9">
        <f>IF($B$4="סהכ",
INDEX(טבלה1[[SPPR_1986]:[SPPR_symbolic_full_import_as_DC]], MATCH('השוואת פקטורים'!$B56, 'PPRs all'!$A$2:$A$108, 0), MATCH('השוואת פקטורים'!L$6, טבלה1[[#Headers],[SPPR_1986]:[SPPR_symbolic_full_import_as_DC]], 0)) / INDEX(טבלה1[[SPPR_1986]:[SPPR_symbolic_full_import_as_DC]], MATCH('השוואת פקטורים'!$B56, 'PPRs all'!$A$2:$A$108, 0), MATCH('השוואת פקטורים'!K$6, טבלה1[[#Headers],[SPPR_1986]:[SPPR_symbolic_full_import_as_DC]], 0)),
INDEX(טבלה2[[SPPR_1986]:[SPPR_symbolic_full_import_as_DC]], MATCH('השוואת פקטורים'!$B56, 'PPRs inner'!$A$2:$A$108, 0), MATCH('השוואת פקטורים'!L$6, טבלה2[[#Headers],[SPPR_1986]:[SPPR_symbolic_full_import_as_DC]], 0)) / INDEX(טבלה2[[SPPR_1986]:[SPPR_symbolic_full_import_as_DC]], MATCH('השוואת פקטורים'!$B56, 'PPRs inner'!$A$2:$A$108, 0), MATCH('השוואת פקטורים'!K$6, טבלה2[[#Headers],[SPPR_1986]:[SPPR_symbolic_full_import_as_DC]], 0))
)</f>
        <v>1.7641501343920505</v>
      </c>
      <c r="M56" s="9">
        <f>IF($B$4="סהכ",
INDEX(טבלה1[[SPPR_1986]:[SPPR_symbolic_full_import_as_DC]], MATCH('השוואת פקטורים'!$B56, 'PPRs all'!$A$2:$A$108, 0), MATCH('השוואת פקטורים'!M$6, טבלה1[[#Headers],[SPPR_1986]:[SPPR_symbolic_full_import_as_DC]], 0)) / INDEX(טבלה1[[SPPR_1986]:[SPPR_symbolic_full_import_as_DC]], MATCH('השוואת פקטורים'!$B56, 'PPRs all'!$A$2:$A$108, 0), MATCH('השוואת פקטורים'!L$6, טבלה1[[#Headers],[SPPR_1986]:[SPPR_symbolic_full_import_as_DC]], 0)),
INDEX(טבלה2[[SPPR_1986]:[SPPR_symbolic_full_import_as_DC]], MATCH('השוואת פקטורים'!$B56, 'PPRs inner'!$A$2:$A$108, 0), MATCH('השוואת פקטורים'!M$6, טבלה2[[#Headers],[SPPR_1986]:[SPPR_symbolic_full_import_as_DC]], 0)) / INDEX(טבלה2[[SPPR_1986]:[SPPR_symbolic_full_import_as_DC]], MATCH('השוואת פקטורים'!$B56, 'PPRs inner'!$A$2:$A$108, 0), MATCH('השוואת פקטורים'!L$6, טבלה2[[#Headers],[SPPR_1986]:[SPPR_symbolic_full_import_as_DC]], 0))
)</f>
        <v>2.42130050932496</v>
      </c>
      <c r="N56" s="9">
        <f>IF($B$4="סהכ",
INDEX(טבלה1[[SPPR_1986]:[SPPR_symbolic_full_import_as_DC]], MATCH('השוואת פקטורים'!$B56, 'PPRs all'!$A$2:$A$108, 0), MATCH('השוואת פקטורים'!N$6, טבלה1[[#Headers],[SPPR_1986]:[SPPR_symbolic_full_import_as_DC]], 0)) / INDEX(טבלה1[[SPPR_1986]:[SPPR_symbolic_full_import_as_DC]], MATCH('השוואת פקטורים'!$B56, 'PPRs all'!$A$2:$A$108, 0), MATCH('השוואת פקטורים'!M$6, טבלה1[[#Headers],[SPPR_1986]:[SPPR_symbolic_full_import_as_DC]], 0)),
INDEX(טבלה2[[SPPR_1986]:[SPPR_symbolic_full_import_as_DC]], MATCH('השוואת פקטורים'!$B56, 'PPRs inner'!$A$2:$A$108, 0), MATCH('השוואת פקטורים'!N$6, טבלה2[[#Headers],[SPPR_1986]:[SPPR_symbolic_full_import_as_DC]], 0)) / INDEX(טבלה2[[SPPR_1986]:[SPPR_symbolic_full_import_as_DC]], MATCH('השוואת פקטורים'!$B56, 'PPRs inner'!$A$2:$A$108, 0), MATCH('השוואת פקטורים'!M$6, טבלה2[[#Headers],[SPPR_1986]:[SPPR_symbolic_full_import_as_DC]], 0))
)</f>
        <v>1.7830585657292377</v>
      </c>
      <c r="O56" s="9">
        <f>IF($B$4="סהכ",
INDEX(טבלה1[[SPPR_1986]:[SPPR_symbolic_full_import_as_DC]], MATCH('השוואת פקטורים'!$B56, 'PPRs all'!$A$2:$A$108, 0), MATCH('השוואת פקטורים'!O$6, טבלה1[[#Headers],[SPPR_1986]:[SPPR_symbolic_full_import_as_DC]], 0)) / INDEX(טבלה1[[SPPR_1986]:[SPPR_symbolic_full_import_as_DC]], MATCH('השוואת פקטורים'!$B56, 'PPRs all'!$A$2:$A$108, 0), MATCH('השוואת פקטורים'!N$6, טבלה1[[#Headers],[SPPR_1986]:[SPPR_symbolic_full_import_as_DC]], 0)),
INDEX(טבלה2[[SPPR_1986]:[SPPR_symbolic_full_import_as_DC]], MATCH('השוואת פקטורים'!$B56, 'PPRs inner'!$A$2:$A$108, 0), MATCH('השוואת פקטורים'!O$6, טבלה2[[#Headers],[SPPR_1986]:[SPPR_symbolic_full_import_as_DC]], 0)) / INDEX(טבלה2[[SPPR_1986]:[SPPR_symbolic_full_import_as_DC]], MATCH('השוואת פקטורים'!$B56, 'PPRs inner'!$A$2:$A$108, 0), MATCH('השוואת פקטורים'!N$6, טבלה2[[#Headers],[SPPR_1986]:[SPPR_symbolic_full_import_as_DC]], 0))
)</f>
        <v>0.99999999999999956</v>
      </c>
      <c r="P56" s="9">
        <f>IF($B$4="סהכ",
INDEX(טבלה1[[SPPR_1986]:[SPPR_symbolic_full_import_as_DC]], MATCH('השוואת פקטורים'!$B56, 'PPRs all'!$A$2:$A$108, 0), MATCH('השוואת פקטורים'!P$6, טבלה1[[#Headers],[SPPR_1986]:[SPPR_symbolic_full_import_as_DC]], 0)) / INDEX(טבלה1[[SPPR_1986]:[SPPR_symbolic_full_import_as_DC]], MATCH('השוואת פקטורים'!$B56, 'PPRs all'!$A$2:$A$108, 0), MATCH('השוואת פקטורים'!O$6, טבלה1[[#Headers],[SPPR_1986]:[SPPR_symbolic_full_import_as_DC]], 0)),
INDEX(טבלה2[[SPPR_1986]:[SPPR_symbolic_full_import_as_DC]], MATCH('השוואת פקטורים'!$B56, 'PPRs inner'!$A$2:$A$108, 0), MATCH('השוואת פקטורים'!P$6, טבלה2[[#Headers],[SPPR_1986]:[SPPR_symbolic_full_import_as_DC]], 0)) / INDEX(טבלה2[[SPPR_1986]:[SPPR_symbolic_full_import_as_DC]], MATCH('השוואת פקטורים'!$B56, 'PPRs inner'!$A$2:$A$108, 0), MATCH('השוואת פקטורים'!O$6, טבלה2[[#Headers],[SPPR_1986]:[SPPR_symbolic_full_import_as_DC]], 0))
)</f>
        <v>0.19339153405450951</v>
      </c>
      <c r="Q56" s="9">
        <f>IF($B$4="סהכ",
INDEX(טבלה1[[SPPR_1986]:[SPPR_symbolic_full_import_as_DC]], MATCH('השוואת פקטורים'!$B56, 'PPRs all'!$A$2:$A$108, 0), MATCH('השוואת פקטורים'!Q$6, טבלה1[[#Headers],[SPPR_1986]:[SPPR_symbolic_full_import_as_DC]], 0)) / INDEX(טבלה1[[SPPR_1986]:[SPPR_symbolic_full_import_as_DC]], MATCH('השוואת פקטורים'!$B56, 'PPRs all'!$A$2:$A$108, 0), MATCH('השוואת פקטורים'!P$6, טבלה1[[#Headers],[SPPR_1986]:[SPPR_symbolic_full_import_as_DC]], 0)),
INDEX(טבלה2[[SPPR_1986]:[SPPR_symbolic_full_import_as_DC]], MATCH('השוואת פקטורים'!$B56, 'PPRs inner'!$A$2:$A$108, 0), MATCH('השוואת פקטורים'!Q$6, טבלה2[[#Headers],[SPPR_1986]:[SPPR_symbolic_full_import_as_DC]], 0)) / INDEX(טבלה2[[SPPR_1986]:[SPPR_symbolic_full_import_as_DC]], MATCH('השוואת פקטורים'!$B56, 'PPRs inner'!$A$2:$A$108, 0), MATCH('השוואת פקטורים'!P$6, טבלה2[[#Headers],[SPPR_1986]:[SPPR_symbolic_full_import_as_DC]], 0))
)</f>
        <v>0.99999999999999811</v>
      </c>
      <c r="R56" s="9">
        <f>IF($B$4="סהכ",
INDEX(טבלה1[[SPPR_1986]:[SPPR_symbolic_full_import_as_DC]], MATCH('השוואת פקטורים'!$B56, 'PPRs all'!$A$2:$A$108, 0), MATCH('השוואת פקטורים'!R$6, טבלה1[[#Headers],[SPPR_1986]:[SPPR_symbolic_full_import_as_DC]], 0)) / INDEX(טבלה1[[SPPR_1986]:[SPPR_symbolic_full_import_as_DC]], MATCH('השוואת פקטורים'!$B56, 'PPRs all'!$A$2:$A$108, 0), MATCH('השוואת פקטורים'!Q$6, טבלה1[[#Headers],[SPPR_1986]:[SPPR_symbolic_full_import_as_DC]], 0)),
INDEX(טבלה2[[SPPR_1986]:[SPPR_symbolic_full_import_as_DC]], MATCH('השוואת פקטורים'!$B56, 'PPRs inner'!$A$2:$A$108, 0), MATCH('השוואת פקטורים'!R$6, טבלה2[[#Headers],[SPPR_1986]:[SPPR_symbolic_full_import_as_DC]], 0)) / INDEX(טבלה2[[SPPR_1986]:[SPPR_symbolic_full_import_as_DC]], MATCH('השוואת פקטורים'!$B56, 'PPRs inner'!$A$2:$A$108, 0), MATCH('השוואת פקטורים'!Q$6, טבלה2[[#Headers],[SPPR_1986]:[SPPR_symbolic_full_import_as_DC]], 0))
)</f>
        <v>1</v>
      </c>
      <c r="S56" s="9">
        <f>IF($B$4="סהכ",
INDEX(טבלה1[[SPPR_1986]:[SPPR_symbolic_full_import_as_DC]], MATCH('השוואת פקטורים'!$B56, 'PPRs all'!$A$2:$A$108, 0), MATCH('השוואת פקטורים'!S$6, טבלה1[[#Headers],[SPPR_1986]:[SPPR_symbolic_full_import_as_DC]], 0)) / INDEX(טבלה1[[SPPR_1986]:[SPPR_symbolic_full_import_as_DC]], MATCH('השוואת פקטורים'!$B56, 'PPRs all'!$A$2:$A$108, 0), MATCH('השוואת פקטורים'!R$6, טבלה1[[#Headers],[SPPR_1986]:[SPPR_symbolic_full_import_as_DC]], 0)),
INDEX(טבלה2[[SPPR_1986]:[SPPR_symbolic_full_import_as_DC]], MATCH('השוואת פקטורים'!$B56, 'PPRs inner'!$A$2:$A$108, 0), MATCH('השוואת פקטורים'!S$6, טבלה2[[#Headers],[SPPR_1986]:[SPPR_symbolic_full_import_as_DC]], 0)) / INDEX(טבלה2[[SPPR_1986]:[SPPR_symbolic_full_import_as_DC]], MATCH('השוואת פקטורים'!$B56, 'PPRs inner'!$A$2:$A$108, 0), MATCH('השוואת פקטורים'!R$6, טבלה2[[#Headers],[SPPR_1986]:[SPPR_symbolic_full_import_as_DC]], 0))
)</f>
        <v>1</v>
      </c>
      <c r="T56" s="9">
        <f>IF($B$4="סהכ",
INDEX(טבלה1[[SPPR_1986]:[SPPR_symbolic_full_import_as_DC]], MATCH('השוואת פקטורים'!$B56, 'PPRs all'!$A$2:$A$108, 0), MATCH('השוואת פקטורים'!T$6, טבלה1[[#Headers],[SPPR_1986]:[SPPR_symbolic_full_import_as_DC]], 0)) / INDEX(טבלה1[[SPPR_1986]:[SPPR_symbolic_full_import_as_DC]], MATCH('השוואת פקטורים'!$B56, 'PPRs all'!$A$2:$A$108, 0), MATCH('השוואת פקטורים'!S$6, טבלה1[[#Headers],[SPPR_1986]:[SPPR_symbolic_full_import_as_DC]], 0)),
INDEX(טבלה2[[SPPR_1986]:[SPPR_symbolic_full_import_as_DC]], MATCH('השוואת פקטורים'!$B56, 'PPRs inner'!$A$2:$A$108, 0), MATCH('השוואת פקטורים'!T$6, טבלה2[[#Headers],[SPPR_1986]:[SPPR_symbolic_full_import_as_DC]], 0)) / INDEX(טבלה2[[SPPR_1986]:[SPPR_symbolic_full_import_as_DC]], MATCH('השוואת פקטורים'!$B56, 'PPRs inner'!$A$2:$A$108, 0), MATCH('השוואת פקטורים'!S$6, טבלה2[[#Headers],[SPPR_1986]:[SPPR_symbolic_full_import_as_DC]], 0))
)</f>
        <v>1</v>
      </c>
      <c r="U56" s="9">
        <f>IF($B$4="סהכ",
INDEX(טבלה1[[SPPR_1986]:[SPPR_symbolic_full_import_as_DC]], MATCH('השוואת פקטורים'!$B56, 'PPRs all'!$A$2:$A$108, 0), MATCH('השוואת פקטורים'!U$6, טבלה1[[#Headers],[SPPR_1986]:[SPPR_symbolic_full_import_as_DC]], 0)) / INDEX(טבלה1[[SPPR_1986]:[SPPR_symbolic_full_import_as_DC]], MATCH('השוואת פקטורים'!$B56, 'PPRs all'!$A$2:$A$108, 0), MATCH('השוואת פקטורים'!T$6, טבלה1[[#Headers],[SPPR_1986]:[SPPR_symbolic_full_import_as_DC]], 0)),
INDEX(טבלה2[[SPPR_1986]:[SPPR_symbolic_full_import_as_DC]], MATCH('השוואת פקטורים'!$B56, 'PPRs inner'!$A$2:$A$108, 0), MATCH('השוואת פקטורים'!U$6, טבלה2[[#Headers],[SPPR_1986]:[SPPR_symbolic_full_import_as_DC]], 0)) / INDEX(טבלה2[[SPPR_1986]:[SPPR_symbolic_full_import_as_DC]], MATCH('השוואת פקטורים'!$B56, 'PPRs inner'!$A$2:$A$108, 0), MATCH('השוואת פקטורים'!T$6, טבלה2[[#Headers],[SPPR_1986]:[SPPR_symbolic_full_import_as_DC]], 0))
)</f>
        <v>1.0000000000000018</v>
      </c>
      <c r="V56" s="9"/>
      <c r="W56" s="9"/>
      <c r="X56" s="14"/>
      <c r="Y56" s="14"/>
      <c r="Z56" s="15">
        <f t="shared" si="2"/>
        <v>0.2020093977124518</v>
      </c>
    </row>
    <row r="57" spans="2:26" x14ac:dyDescent="0.3">
      <c r="B57" s="6" t="s">
        <v>71</v>
      </c>
      <c r="C57" s="12" t="b">
        <v>1</v>
      </c>
      <c r="D57" s="12" t="b">
        <v>0</v>
      </c>
      <c r="E57" s="12" t="b">
        <v>1</v>
      </c>
      <c r="F57" s="12" t="b">
        <f t="shared" si="1"/>
        <v>0</v>
      </c>
      <c r="G57" s="7" t="b">
        <f>ABS(INDEX(טבלה5[[SPPR_1986]:[SPPR_symbolic_full_import_as_DC]],MATCH('השוואת פקטורים'!$B57,טבלה5[עמודה1],0),MATCH($C$4,טבלה5[[#Headers],[SPPR_1986]:[SPPR_symbolic_full_import_as_DC]],0))) &lt; 5</f>
        <v>1</v>
      </c>
      <c r="H57" s="7" t="b">
        <f>INDEX(טבלה3[[SPPR_1986]:[SPPR_symbolic_full_import_as_DC]],MATCH('השוואת פקטורים'!$B57,טבלה3[עמודה1],0),MATCH($C$4,טבלה3[[#Headers],[SPPR_1986]:[SPPR_symbolic_full_import_as_DC]],0))</f>
        <v>0</v>
      </c>
      <c r="I57" s="7" t="b">
        <f t="shared" si="3"/>
        <v>0</v>
      </c>
      <c r="J57" s="13"/>
      <c r="K57" s="9">
        <f>IF($B$4="סהכ",
INDEX(טבלה1[[SPPR_1986]:[SPPR_symbolic_full_import_as_DC]], MATCH('השוואת פקטורים'!$B57, 'PPRs all'!$A$2:$A$108, 0), MATCH('השוואת פקטורים'!K$6, טבלה1[[#Headers],[SPPR_1986]:[SPPR_symbolic_full_import_as_DC]], 0)) / INDEX(טבלה1[[SPPR_1986]:[SPPR_symbolic_full_import_as_DC]], MATCH('השוואת פקטורים'!$B57, 'PPRs all'!$A$2:$A$108, 0), MATCH('השוואת פקטורים'!J$6, טבלה1[[#Headers],[SPPR_1986]:[SPPR_symbolic_full_import_as_DC]], 0)),
INDEX(טבלה2[[SPPR_1986]:[SPPR_symbolic_full_import_as_DC]], MATCH('השוואת פקטורים'!$B57, 'PPRs inner'!$A$2:$A$108, 0), MATCH('השוואת פקטורים'!K$6, טבלה2[[#Headers],[SPPR_1986]:[SPPR_symbolic_full_import_as_DC]], 0)) / INDEX(טבלה2[[SPPR_1986]:[SPPR_symbolic_full_import_as_DC]], MATCH('השוואת פקטורים'!$B57, 'PPRs inner'!$A$2:$A$108, 0), MATCH('השוואת פקטורים'!J$6, טבלה2[[#Headers],[SPPR_1986]:[SPPR_symbolic_full_import_as_DC]], 0))
)</f>
        <v>1.1292121861861046</v>
      </c>
      <c r="L57" s="9">
        <f>IF($B$4="סהכ",
INDEX(טבלה1[[SPPR_1986]:[SPPR_symbolic_full_import_as_DC]], MATCH('השוואת פקטורים'!$B57, 'PPRs all'!$A$2:$A$108, 0), MATCH('השוואת פקטורים'!L$6, טבלה1[[#Headers],[SPPR_1986]:[SPPR_symbolic_full_import_as_DC]], 0)) / INDEX(טבלה1[[SPPR_1986]:[SPPR_symbolic_full_import_as_DC]], MATCH('השוואת פקטורים'!$B57, 'PPRs all'!$A$2:$A$108, 0), MATCH('השוואת פקטורים'!K$6, טבלה1[[#Headers],[SPPR_1986]:[SPPR_symbolic_full_import_as_DC]], 0)),
INDEX(טבלה2[[SPPR_1986]:[SPPR_symbolic_full_import_as_DC]], MATCH('השוואת פקטורים'!$B57, 'PPRs inner'!$A$2:$A$108, 0), MATCH('השוואת פקטורים'!L$6, טבלה2[[#Headers],[SPPR_1986]:[SPPR_symbolic_full_import_as_DC]], 0)) / INDEX(טבלה2[[SPPR_1986]:[SPPR_symbolic_full_import_as_DC]], MATCH('השוואת פקטורים'!$B57, 'PPRs inner'!$A$2:$A$108, 0), MATCH('השוואת פקטורים'!K$6, טבלה2[[#Headers],[SPPR_1986]:[SPPR_symbolic_full_import_as_DC]], 0))
)</f>
        <v>2.3049137415376992</v>
      </c>
      <c r="M57" s="9">
        <f>IF($B$4="סהכ",
INDEX(טבלה1[[SPPR_1986]:[SPPR_symbolic_full_import_as_DC]], MATCH('השוואת פקטורים'!$B57, 'PPRs all'!$A$2:$A$108, 0), MATCH('השוואת פקטורים'!M$6, טבלה1[[#Headers],[SPPR_1986]:[SPPR_symbolic_full_import_as_DC]], 0)) / INDEX(טבלה1[[SPPR_1986]:[SPPR_symbolic_full_import_as_DC]], MATCH('השוואת פקטורים'!$B57, 'PPRs all'!$A$2:$A$108, 0), MATCH('השוואת פקטורים'!L$6, טבלה1[[#Headers],[SPPR_1986]:[SPPR_symbolic_full_import_as_DC]], 0)),
INDEX(טבלה2[[SPPR_1986]:[SPPR_symbolic_full_import_as_DC]], MATCH('השוואת פקטורים'!$B57, 'PPRs inner'!$A$2:$A$108, 0), MATCH('השוואת פקטורים'!M$6, טבלה2[[#Headers],[SPPR_1986]:[SPPR_symbolic_full_import_as_DC]], 0)) / INDEX(טבלה2[[SPPR_1986]:[SPPR_symbolic_full_import_as_DC]], MATCH('השוואת פקטורים'!$B57, 'PPRs inner'!$A$2:$A$108, 0), MATCH('השוואת פקטורים'!L$6, טבלה2[[#Headers],[SPPR_1986]:[SPPR_symbolic_full_import_as_DC]], 0))
)</f>
        <v>4.1522704674265212</v>
      </c>
      <c r="N57" s="9">
        <f>IF($B$4="סהכ",
INDEX(טבלה1[[SPPR_1986]:[SPPR_symbolic_full_import_as_DC]], MATCH('השוואת פקטורים'!$B57, 'PPRs all'!$A$2:$A$108, 0), MATCH('השוואת פקטורים'!N$6, טבלה1[[#Headers],[SPPR_1986]:[SPPR_symbolic_full_import_as_DC]], 0)) / INDEX(טבלה1[[SPPR_1986]:[SPPR_symbolic_full_import_as_DC]], MATCH('השוואת פקטורים'!$B57, 'PPRs all'!$A$2:$A$108, 0), MATCH('השוואת פקטורים'!M$6, טבלה1[[#Headers],[SPPR_1986]:[SPPR_symbolic_full_import_as_DC]], 0)),
INDEX(טבלה2[[SPPR_1986]:[SPPR_symbolic_full_import_as_DC]], MATCH('השוואת פקטורים'!$B57, 'PPRs inner'!$A$2:$A$108, 0), MATCH('השוואת פקטורים'!N$6, טבלה2[[#Headers],[SPPR_1986]:[SPPR_symbolic_full_import_as_DC]], 0)) / INDEX(טבלה2[[SPPR_1986]:[SPPR_symbolic_full_import_as_DC]], MATCH('השוואת פקטורים'!$B57, 'PPRs inner'!$A$2:$A$108, 0), MATCH('השוואת פקטורים'!M$6, טבלה2[[#Headers],[SPPR_1986]:[SPPR_symbolic_full_import_as_DC]], 0))
)</f>
        <v>0.87460926708885678</v>
      </c>
      <c r="O57" s="9">
        <f>IF($B$4="סהכ",
INDEX(טבלה1[[SPPR_1986]:[SPPR_symbolic_full_import_as_DC]], MATCH('השוואת פקטורים'!$B57, 'PPRs all'!$A$2:$A$108, 0), MATCH('השוואת פקטורים'!O$6, טבלה1[[#Headers],[SPPR_1986]:[SPPR_symbolic_full_import_as_DC]], 0)) / INDEX(טבלה1[[SPPR_1986]:[SPPR_symbolic_full_import_as_DC]], MATCH('השוואת פקטורים'!$B57, 'PPRs all'!$A$2:$A$108, 0), MATCH('השוואת פקטורים'!N$6, טבלה1[[#Headers],[SPPR_1986]:[SPPR_symbolic_full_import_as_DC]], 0)),
INDEX(טבלה2[[SPPR_1986]:[SPPR_symbolic_full_import_as_DC]], MATCH('השוואת פקטורים'!$B57, 'PPRs inner'!$A$2:$A$108, 0), MATCH('השוואת פקטורים'!O$6, טבלה2[[#Headers],[SPPR_1986]:[SPPR_symbolic_full_import_as_DC]], 0)) / INDEX(טבלה2[[SPPR_1986]:[SPPR_symbolic_full_import_as_DC]], MATCH('השוואת פקטורים'!$B57, 'PPRs inner'!$A$2:$A$108, 0), MATCH('השוואת פקטורים'!N$6, טבלה2[[#Headers],[SPPR_1986]:[SPPR_symbolic_full_import_as_DC]], 0))
)</f>
        <v>1.0000000000000009</v>
      </c>
      <c r="P57" s="9">
        <f>IF($B$4="סהכ",
INDEX(טבלה1[[SPPR_1986]:[SPPR_symbolic_full_import_as_DC]], MATCH('השוואת פקטורים'!$B57, 'PPRs all'!$A$2:$A$108, 0), MATCH('השוואת פקטורים'!P$6, טבלה1[[#Headers],[SPPR_1986]:[SPPR_symbolic_full_import_as_DC]], 0)) / INDEX(טבלה1[[SPPR_1986]:[SPPR_symbolic_full_import_as_DC]], MATCH('השוואת פקטורים'!$B57, 'PPRs all'!$A$2:$A$108, 0), MATCH('השוואת פקטורים'!O$6, טבלה1[[#Headers],[SPPR_1986]:[SPPR_symbolic_full_import_as_DC]], 0)),
INDEX(טבלה2[[SPPR_1986]:[SPPR_symbolic_full_import_as_DC]], MATCH('השוואת פקטורים'!$B57, 'PPRs inner'!$A$2:$A$108, 0), MATCH('השוואת פקטורים'!P$6, טבלה2[[#Headers],[SPPR_1986]:[SPPR_symbolic_full_import_as_DC]], 0)) / INDEX(טבלה2[[SPPR_1986]:[SPPR_symbolic_full_import_as_DC]], MATCH('השוואת פקטורים'!$B57, 'PPRs inner'!$A$2:$A$108, 0), MATCH('השוואת פקטורים'!O$6, טבלה2[[#Headers],[SPPR_1986]:[SPPR_symbolic_full_import_as_DC]], 0))
)</f>
        <v>-5.4482047031914043</v>
      </c>
      <c r="Q57" s="9">
        <f>IF($B$4="סהכ",
INDEX(טבלה1[[SPPR_1986]:[SPPR_symbolic_full_import_as_DC]], MATCH('השוואת פקטורים'!$B57, 'PPRs all'!$A$2:$A$108, 0), MATCH('השוואת פקטורים'!Q$6, טבלה1[[#Headers],[SPPR_1986]:[SPPR_symbolic_full_import_as_DC]], 0)) / INDEX(טבלה1[[SPPR_1986]:[SPPR_symbolic_full_import_as_DC]], MATCH('השוואת פקטורים'!$B57, 'PPRs all'!$A$2:$A$108, 0), MATCH('השוואת פקטורים'!P$6, טבלה1[[#Headers],[SPPR_1986]:[SPPR_symbolic_full_import_as_DC]], 0)),
INDEX(טבלה2[[SPPR_1986]:[SPPR_symbolic_full_import_as_DC]], MATCH('השוואת פקטורים'!$B57, 'PPRs inner'!$A$2:$A$108, 0), MATCH('השוואת פקטורים'!Q$6, טבלה2[[#Headers],[SPPR_1986]:[SPPR_symbolic_full_import_as_DC]], 0)) / INDEX(טבלה2[[SPPR_1986]:[SPPR_symbolic_full_import_as_DC]], MATCH('השוואת פקטורים'!$B57, 'PPRs inner'!$A$2:$A$108, 0), MATCH('השוואת פקטורים'!P$6, טבלה2[[#Headers],[SPPR_1986]:[SPPR_symbolic_full_import_as_DC]], 0))
)</f>
        <v>0.99999999999996358</v>
      </c>
      <c r="R57" s="9">
        <f>IF($B$4="סהכ",
INDEX(טבלה1[[SPPR_1986]:[SPPR_symbolic_full_import_as_DC]], MATCH('השוואת פקטורים'!$B57, 'PPRs all'!$A$2:$A$108, 0), MATCH('השוואת פקטורים'!R$6, טבלה1[[#Headers],[SPPR_1986]:[SPPR_symbolic_full_import_as_DC]], 0)) / INDEX(טבלה1[[SPPR_1986]:[SPPR_symbolic_full_import_as_DC]], MATCH('השוואת פקטורים'!$B57, 'PPRs all'!$A$2:$A$108, 0), MATCH('השוואת פקטורים'!Q$6, טבלה1[[#Headers],[SPPR_1986]:[SPPR_symbolic_full_import_as_DC]], 0)),
INDEX(טבלה2[[SPPR_1986]:[SPPR_symbolic_full_import_as_DC]], MATCH('השוואת פקטורים'!$B57, 'PPRs inner'!$A$2:$A$108, 0), MATCH('השוואת פקטורים'!R$6, טבלה2[[#Headers],[SPPR_1986]:[SPPR_symbolic_full_import_as_DC]], 0)) / INDEX(טבלה2[[SPPR_1986]:[SPPR_symbolic_full_import_as_DC]], MATCH('השוואת פקטורים'!$B57, 'PPRs inner'!$A$2:$A$108, 0), MATCH('השוואת פקטורים'!Q$6, טבלה2[[#Headers],[SPPR_1986]:[SPPR_symbolic_full_import_as_DC]], 0))
)</f>
        <v>1</v>
      </c>
      <c r="S57" s="9">
        <f>IF($B$4="סהכ",
INDEX(טבלה1[[SPPR_1986]:[SPPR_symbolic_full_import_as_DC]], MATCH('השוואת פקטורים'!$B57, 'PPRs all'!$A$2:$A$108, 0), MATCH('השוואת פקטורים'!S$6, טבלה1[[#Headers],[SPPR_1986]:[SPPR_symbolic_full_import_as_DC]], 0)) / INDEX(טבלה1[[SPPR_1986]:[SPPR_symbolic_full_import_as_DC]], MATCH('השוואת פקטורים'!$B57, 'PPRs all'!$A$2:$A$108, 0), MATCH('השוואת פקטורים'!R$6, טבלה1[[#Headers],[SPPR_1986]:[SPPR_symbolic_full_import_as_DC]], 0)),
INDEX(טבלה2[[SPPR_1986]:[SPPR_symbolic_full_import_as_DC]], MATCH('השוואת פקטורים'!$B57, 'PPRs inner'!$A$2:$A$108, 0), MATCH('השוואת פקטורים'!S$6, טבלה2[[#Headers],[SPPR_1986]:[SPPR_symbolic_full_import_as_DC]], 0)) / INDEX(טבלה2[[SPPR_1986]:[SPPR_symbolic_full_import_as_DC]], MATCH('השוואת פקטורים'!$B57, 'PPRs inner'!$A$2:$A$108, 0), MATCH('השוואת פקטורים'!R$6, טבלה2[[#Headers],[SPPR_1986]:[SPPR_symbolic_full_import_as_DC]], 0))
)</f>
        <v>1</v>
      </c>
      <c r="T57" s="9">
        <f>IF($B$4="סהכ",
INDEX(טבלה1[[SPPR_1986]:[SPPR_symbolic_full_import_as_DC]], MATCH('השוואת פקטורים'!$B57, 'PPRs all'!$A$2:$A$108, 0), MATCH('השוואת פקטורים'!T$6, טבלה1[[#Headers],[SPPR_1986]:[SPPR_symbolic_full_import_as_DC]], 0)) / INDEX(טבלה1[[SPPR_1986]:[SPPR_symbolic_full_import_as_DC]], MATCH('השוואת פקטורים'!$B57, 'PPRs all'!$A$2:$A$108, 0), MATCH('השוואת פקטורים'!S$6, טבלה1[[#Headers],[SPPR_1986]:[SPPR_symbolic_full_import_as_DC]], 0)),
INDEX(טבלה2[[SPPR_1986]:[SPPR_symbolic_full_import_as_DC]], MATCH('השוואת פקטורים'!$B57, 'PPRs inner'!$A$2:$A$108, 0), MATCH('השוואת פקטורים'!T$6, טבלה2[[#Headers],[SPPR_1986]:[SPPR_symbolic_full_import_as_DC]], 0)) / INDEX(טבלה2[[SPPR_1986]:[SPPR_symbolic_full_import_as_DC]], MATCH('השוואת פקטורים'!$B57, 'PPRs inner'!$A$2:$A$108, 0), MATCH('השוואת פקטורים'!S$6, טבלה2[[#Headers],[SPPR_1986]:[SPPR_symbolic_full_import_as_DC]], 0))
)</f>
        <v>1</v>
      </c>
      <c r="U57" s="9">
        <f>IF($B$4="סהכ",
INDEX(טבלה1[[SPPR_1986]:[SPPR_symbolic_full_import_as_DC]], MATCH('השוואת פקטורים'!$B57, 'PPRs all'!$A$2:$A$108, 0), MATCH('השוואת פקטורים'!U$6, טבלה1[[#Headers],[SPPR_1986]:[SPPR_symbolic_full_import_as_DC]], 0)) / INDEX(טבלה1[[SPPR_1986]:[SPPR_symbolic_full_import_as_DC]], MATCH('השוואת פקטורים'!$B57, 'PPRs all'!$A$2:$A$108, 0), MATCH('השוואת פקטורים'!T$6, טבלה1[[#Headers],[SPPR_1986]:[SPPR_symbolic_full_import_as_DC]], 0)),
INDEX(טבלה2[[SPPR_1986]:[SPPR_symbolic_full_import_as_DC]], MATCH('השוואת פקטורים'!$B57, 'PPRs inner'!$A$2:$A$108, 0), MATCH('השוואת פקטורים'!U$6, טבלה2[[#Headers],[SPPR_1986]:[SPPR_symbolic_full_import_as_DC]], 0)) / INDEX(טבלה2[[SPPR_1986]:[SPPR_symbolic_full_import_as_DC]], MATCH('השוואת פקטורים'!$B57, 'PPRs inner'!$A$2:$A$108, 0), MATCH('השוואת פקטורים'!T$6, טבלה2[[#Headers],[SPPR_1986]:[SPPR_symbolic_full_import_as_DC]], 0))
)</f>
        <v>1.0000000000000364</v>
      </c>
      <c r="V57" s="9"/>
      <c r="W57" s="9"/>
      <c r="X57" s="14"/>
      <c r="Y57" s="14"/>
      <c r="Z57" s="15">
        <f t="shared" si="2"/>
        <v>-51.497169538954914</v>
      </c>
    </row>
    <row r="58" spans="2:26" x14ac:dyDescent="0.3">
      <c r="B58" s="6" t="s">
        <v>72</v>
      </c>
      <c r="C58" s="12" t="b">
        <v>1</v>
      </c>
      <c r="D58" s="12" t="b">
        <v>1</v>
      </c>
      <c r="E58" s="12" t="b">
        <v>1</v>
      </c>
      <c r="F58" s="12" t="b">
        <f t="shared" si="1"/>
        <v>1</v>
      </c>
      <c r="G58" s="7" t="b">
        <f>ABS(INDEX(טבלה5[[SPPR_1986]:[SPPR_symbolic_full_import_as_DC]],MATCH('השוואת פקטורים'!$B58,טבלה5[עמודה1],0),MATCH($C$4,טבלה5[[#Headers],[SPPR_1986]:[SPPR_symbolic_full_import_as_DC]],0))) &lt; 5</f>
        <v>1</v>
      </c>
      <c r="H58" s="7" t="b">
        <f>INDEX(טבלה3[[SPPR_1986]:[SPPR_symbolic_full_import_as_DC]],MATCH('השוואת פקטורים'!$B58,טבלה3[עמודה1],0),MATCH($C$4,טבלה3[[#Headers],[SPPR_1986]:[SPPR_symbolic_full_import_as_DC]],0))</f>
        <v>1</v>
      </c>
      <c r="I58" s="7" t="b">
        <f t="shared" si="3"/>
        <v>1</v>
      </c>
      <c r="J58" s="13"/>
      <c r="K58" s="9">
        <f>IF($B$4="סהכ",
INDEX(טבלה1[[SPPR_1986]:[SPPR_symbolic_full_import_as_DC]], MATCH('השוואת פקטורים'!$B58, 'PPRs all'!$A$2:$A$108, 0), MATCH('השוואת פקטורים'!K$6, טבלה1[[#Headers],[SPPR_1986]:[SPPR_symbolic_full_import_as_DC]], 0)) / INDEX(טבלה1[[SPPR_1986]:[SPPR_symbolic_full_import_as_DC]], MATCH('השוואת פקטורים'!$B58, 'PPRs all'!$A$2:$A$108, 0), MATCH('השוואת פקטורים'!J$6, טבלה1[[#Headers],[SPPR_1986]:[SPPR_symbolic_full_import_as_DC]], 0)),
INDEX(טבלה2[[SPPR_1986]:[SPPR_symbolic_full_import_as_DC]], MATCH('השוואת פקטורים'!$B58, 'PPRs inner'!$A$2:$A$108, 0), MATCH('השוואת פקטורים'!K$6, טבלה2[[#Headers],[SPPR_1986]:[SPPR_symbolic_full_import_as_DC]], 0)) / INDEX(טבלה2[[SPPR_1986]:[SPPR_symbolic_full_import_as_DC]], MATCH('השוואת פקטורים'!$B58, 'PPRs inner'!$A$2:$A$108, 0), MATCH('השוואת פקטורים'!J$6, טבלה2[[#Headers],[SPPR_1986]:[SPPR_symbolic_full_import_as_DC]], 0))
)</f>
        <v>0.14345887001931243</v>
      </c>
      <c r="L58" s="9">
        <f>IF($B$4="סהכ",
INDEX(טבלה1[[SPPR_1986]:[SPPR_symbolic_full_import_as_DC]], MATCH('השוואת פקטורים'!$B58, 'PPRs all'!$A$2:$A$108, 0), MATCH('השוואת פקטורים'!L$6, טבלה1[[#Headers],[SPPR_1986]:[SPPR_symbolic_full_import_as_DC]], 0)) / INDEX(טבלה1[[SPPR_1986]:[SPPR_symbolic_full_import_as_DC]], MATCH('השוואת פקטורים'!$B58, 'PPRs all'!$A$2:$A$108, 0), MATCH('השוואת פקטורים'!K$6, טבלה1[[#Headers],[SPPR_1986]:[SPPR_symbolic_full_import_as_DC]], 0)),
INDEX(טבלה2[[SPPR_1986]:[SPPR_symbolic_full_import_as_DC]], MATCH('השוואת פקטורים'!$B58, 'PPRs inner'!$A$2:$A$108, 0), MATCH('השוואת פקטורים'!L$6, טבלה2[[#Headers],[SPPR_1986]:[SPPR_symbolic_full_import_as_DC]], 0)) / INDEX(טבלה2[[SPPR_1986]:[SPPR_symbolic_full_import_as_DC]], MATCH('השוואת פקטורים'!$B58, 'PPRs inner'!$A$2:$A$108, 0), MATCH('השוואת פקטורים'!K$6, טבלה2[[#Headers],[SPPR_1986]:[SPPR_symbolic_full_import_as_DC]], 0))
)</f>
        <v>1.8445004507544867</v>
      </c>
      <c r="M58" s="9">
        <f>IF($B$4="סהכ",
INDEX(טבלה1[[SPPR_1986]:[SPPR_symbolic_full_import_as_DC]], MATCH('השוואת פקטורים'!$B58, 'PPRs all'!$A$2:$A$108, 0), MATCH('השוואת פקטורים'!M$6, טבלה1[[#Headers],[SPPR_1986]:[SPPR_symbolic_full_import_as_DC]], 0)) / INDEX(טבלה1[[SPPR_1986]:[SPPR_symbolic_full_import_as_DC]], MATCH('השוואת פקטורים'!$B58, 'PPRs all'!$A$2:$A$108, 0), MATCH('השוואת פקטורים'!L$6, טבלה1[[#Headers],[SPPR_1986]:[SPPR_symbolic_full_import_as_DC]], 0)),
INDEX(טבלה2[[SPPR_1986]:[SPPR_symbolic_full_import_as_DC]], MATCH('השוואת פקטורים'!$B58, 'PPRs inner'!$A$2:$A$108, 0), MATCH('השוואת פקטורים'!M$6, טבלה2[[#Headers],[SPPR_1986]:[SPPR_symbolic_full_import_as_DC]], 0)) / INDEX(טבלה2[[SPPR_1986]:[SPPR_symbolic_full_import_as_DC]], MATCH('השוואת פקטורים'!$B58, 'PPRs inner'!$A$2:$A$108, 0), MATCH('השוואת פקטורים'!L$6, טבלה2[[#Headers],[SPPR_1986]:[SPPR_symbolic_full_import_as_DC]], 0))
)</f>
        <v>6.2028879541423523</v>
      </c>
      <c r="N58" s="9">
        <f>IF($B$4="סהכ",
INDEX(טבלה1[[SPPR_1986]:[SPPR_symbolic_full_import_as_DC]], MATCH('השוואת פקטורים'!$B58, 'PPRs all'!$A$2:$A$108, 0), MATCH('השוואת פקטורים'!N$6, טבלה1[[#Headers],[SPPR_1986]:[SPPR_symbolic_full_import_as_DC]], 0)) / INDEX(טבלה1[[SPPR_1986]:[SPPR_symbolic_full_import_as_DC]], MATCH('השוואת פקטורים'!$B58, 'PPRs all'!$A$2:$A$108, 0), MATCH('השוואת פקטורים'!M$6, טבלה1[[#Headers],[SPPR_1986]:[SPPR_symbolic_full_import_as_DC]], 0)),
INDEX(טבלה2[[SPPR_1986]:[SPPR_symbolic_full_import_as_DC]], MATCH('השוואת פקטורים'!$B58, 'PPRs inner'!$A$2:$A$108, 0), MATCH('השוואת פקטורים'!N$6, טבלה2[[#Headers],[SPPR_1986]:[SPPR_symbolic_full_import_as_DC]], 0)) / INDEX(טבלה2[[SPPR_1986]:[SPPR_symbolic_full_import_as_DC]], MATCH('השוואת פקטורים'!$B58, 'PPRs inner'!$A$2:$A$108, 0), MATCH('השוואת פקטורים'!M$6, טבלה2[[#Headers],[SPPR_1986]:[SPPR_symbolic_full_import_as_DC]], 0))
)</f>
        <v>4.030614432289231</v>
      </c>
      <c r="O58" s="9">
        <f>IF($B$4="סהכ",
INDEX(טבלה1[[SPPR_1986]:[SPPR_symbolic_full_import_as_DC]], MATCH('השוואת פקטורים'!$B58, 'PPRs all'!$A$2:$A$108, 0), MATCH('השוואת פקטורים'!O$6, טבלה1[[#Headers],[SPPR_1986]:[SPPR_symbolic_full_import_as_DC]], 0)) / INDEX(טבלה1[[SPPR_1986]:[SPPR_symbolic_full_import_as_DC]], MATCH('השוואת פקטורים'!$B58, 'PPRs all'!$A$2:$A$108, 0), MATCH('השוואת פקטורים'!N$6, טבלה1[[#Headers],[SPPR_1986]:[SPPR_symbolic_full_import_as_DC]], 0)),
INDEX(טבלה2[[SPPR_1986]:[SPPR_symbolic_full_import_as_DC]], MATCH('השוואת פקטורים'!$B58, 'PPRs inner'!$A$2:$A$108, 0), MATCH('השוואת פקטורים'!O$6, טבלה2[[#Headers],[SPPR_1986]:[SPPR_symbolic_full_import_as_DC]], 0)) / INDEX(טבלה2[[SPPR_1986]:[SPPR_symbolic_full_import_as_DC]], MATCH('השוואת פקטורים'!$B58, 'PPRs inner'!$A$2:$A$108, 0), MATCH('השוואת פקטורים'!N$6, טבלה2[[#Headers],[SPPR_1986]:[SPPR_symbolic_full_import_as_DC]], 0))
)</f>
        <v>1</v>
      </c>
      <c r="P58" s="9">
        <f>IF($B$4="סהכ",
INDEX(טבלה1[[SPPR_1986]:[SPPR_symbolic_full_import_as_DC]], MATCH('השוואת פקטורים'!$B58, 'PPRs all'!$A$2:$A$108, 0), MATCH('השוואת פקטורים'!P$6, טבלה1[[#Headers],[SPPR_1986]:[SPPR_symbolic_full_import_as_DC]], 0)) / INDEX(טבלה1[[SPPR_1986]:[SPPR_symbolic_full_import_as_DC]], MATCH('השוואת פקטורים'!$B58, 'PPRs all'!$A$2:$A$108, 0), MATCH('השוואת פקטורים'!O$6, טבלה1[[#Headers],[SPPR_1986]:[SPPR_symbolic_full_import_as_DC]], 0)),
INDEX(טבלה2[[SPPR_1986]:[SPPR_symbolic_full_import_as_DC]], MATCH('השוואת פקטורים'!$B58, 'PPRs inner'!$A$2:$A$108, 0), MATCH('השוואת פקטורים'!P$6, טבלה2[[#Headers],[SPPR_1986]:[SPPR_symbolic_full_import_as_DC]], 0)) / INDEX(טבלה2[[SPPR_1986]:[SPPR_symbolic_full_import_as_DC]], MATCH('השוואת פקטורים'!$B58, 'PPRs inner'!$A$2:$A$108, 0), MATCH('השוואת פקטורים'!O$6, טבלה2[[#Headers],[SPPR_1986]:[SPPR_symbolic_full_import_as_DC]], 0))
)</f>
        <v>0.22811120839424728</v>
      </c>
      <c r="Q58" s="9">
        <f>IF($B$4="סהכ",
INDEX(טבלה1[[SPPR_1986]:[SPPR_symbolic_full_import_as_DC]], MATCH('השוואת פקטורים'!$B58, 'PPRs all'!$A$2:$A$108, 0), MATCH('השוואת פקטורים'!Q$6, טבלה1[[#Headers],[SPPR_1986]:[SPPR_symbolic_full_import_as_DC]], 0)) / INDEX(טבלה1[[SPPR_1986]:[SPPR_symbolic_full_import_as_DC]], MATCH('השוואת פקטורים'!$B58, 'PPRs all'!$A$2:$A$108, 0), MATCH('השוואת פקטורים'!P$6, טבלה1[[#Headers],[SPPR_1986]:[SPPR_symbolic_full_import_as_DC]], 0)),
INDEX(טבלה2[[SPPR_1986]:[SPPR_symbolic_full_import_as_DC]], MATCH('השוואת פקטורים'!$B58, 'PPRs inner'!$A$2:$A$108, 0), MATCH('השוואת פקטורים'!Q$6, טבלה2[[#Headers],[SPPR_1986]:[SPPR_symbolic_full_import_as_DC]], 0)) / INDEX(טבלה2[[SPPR_1986]:[SPPR_symbolic_full_import_as_DC]], MATCH('השוואת פקטורים'!$B58, 'PPRs inner'!$A$2:$A$108, 0), MATCH('השוואת פקטורים'!P$6, טבלה2[[#Headers],[SPPR_1986]:[SPPR_symbolic_full_import_as_DC]], 0))
)</f>
        <v>1.0000000000000013</v>
      </c>
      <c r="R58" s="9">
        <f>IF($B$4="סהכ",
INDEX(טבלה1[[SPPR_1986]:[SPPR_symbolic_full_import_as_DC]], MATCH('השוואת פקטורים'!$B58, 'PPRs all'!$A$2:$A$108, 0), MATCH('השוואת פקטורים'!R$6, טבלה1[[#Headers],[SPPR_1986]:[SPPR_symbolic_full_import_as_DC]], 0)) / INDEX(טבלה1[[SPPR_1986]:[SPPR_symbolic_full_import_as_DC]], MATCH('השוואת פקטורים'!$B58, 'PPRs all'!$A$2:$A$108, 0), MATCH('השוואת פקטורים'!Q$6, טבלה1[[#Headers],[SPPR_1986]:[SPPR_symbolic_full_import_as_DC]], 0)),
INDEX(טבלה2[[SPPR_1986]:[SPPR_symbolic_full_import_as_DC]], MATCH('השוואת פקטורים'!$B58, 'PPRs inner'!$A$2:$A$108, 0), MATCH('השוואת פקטורים'!R$6, טבלה2[[#Headers],[SPPR_1986]:[SPPR_symbolic_full_import_as_DC]], 0)) / INDEX(טבלה2[[SPPR_1986]:[SPPR_symbolic_full_import_as_DC]], MATCH('השוואת פקטורים'!$B58, 'PPRs inner'!$A$2:$A$108, 0), MATCH('השוואת פקטורים'!Q$6, טבלה2[[#Headers],[SPPR_1986]:[SPPR_symbolic_full_import_as_DC]], 0))
)</f>
        <v>1</v>
      </c>
      <c r="S58" s="9">
        <f>IF($B$4="סהכ",
INDEX(טבלה1[[SPPR_1986]:[SPPR_symbolic_full_import_as_DC]], MATCH('השוואת פקטורים'!$B58, 'PPRs all'!$A$2:$A$108, 0), MATCH('השוואת פקטורים'!S$6, טבלה1[[#Headers],[SPPR_1986]:[SPPR_symbolic_full_import_as_DC]], 0)) / INDEX(טבלה1[[SPPR_1986]:[SPPR_symbolic_full_import_as_DC]], MATCH('השוואת פקטורים'!$B58, 'PPRs all'!$A$2:$A$108, 0), MATCH('השוואת פקטורים'!R$6, טבלה1[[#Headers],[SPPR_1986]:[SPPR_symbolic_full_import_as_DC]], 0)),
INDEX(טבלה2[[SPPR_1986]:[SPPR_symbolic_full_import_as_DC]], MATCH('השוואת פקטורים'!$B58, 'PPRs inner'!$A$2:$A$108, 0), MATCH('השוואת פקטורים'!S$6, טבלה2[[#Headers],[SPPR_1986]:[SPPR_symbolic_full_import_as_DC]], 0)) / INDEX(טבלה2[[SPPR_1986]:[SPPR_symbolic_full_import_as_DC]], MATCH('השוואת פקטורים'!$B58, 'PPRs inner'!$A$2:$A$108, 0), MATCH('השוואת פקטורים'!R$6, טבלה2[[#Headers],[SPPR_1986]:[SPPR_symbolic_full_import_as_DC]], 0))
)</f>
        <v>1</v>
      </c>
      <c r="T58" s="9">
        <f>IF($B$4="סהכ",
INDEX(טבלה1[[SPPR_1986]:[SPPR_symbolic_full_import_as_DC]], MATCH('השוואת פקטורים'!$B58, 'PPRs all'!$A$2:$A$108, 0), MATCH('השוואת פקטורים'!T$6, טבלה1[[#Headers],[SPPR_1986]:[SPPR_symbolic_full_import_as_DC]], 0)) / INDEX(טבלה1[[SPPR_1986]:[SPPR_symbolic_full_import_as_DC]], MATCH('השוואת פקטורים'!$B58, 'PPRs all'!$A$2:$A$108, 0), MATCH('השוואת פקטורים'!S$6, טבלה1[[#Headers],[SPPR_1986]:[SPPR_symbolic_full_import_as_DC]], 0)),
INDEX(טבלה2[[SPPR_1986]:[SPPR_symbolic_full_import_as_DC]], MATCH('השוואת פקטורים'!$B58, 'PPRs inner'!$A$2:$A$108, 0), MATCH('השוואת פקטורים'!T$6, טבלה2[[#Headers],[SPPR_1986]:[SPPR_symbolic_full_import_as_DC]], 0)) / INDEX(טבלה2[[SPPR_1986]:[SPPR_symbolic_full_import_as_DC]], MATCH('השוואת פקטורים'!$B58, 'PPRs inner'!$A$2:$A$108, 0), MATCH('השוואת פקטורים'!S$6, טבלה2[[#Headers],[SPPR_1986]:[SPPR_symbolic_full_import_as_DC]], 0))
)</f>
        <v>1</v>
      </c>
      <c r="U58" s="9">
        <f>IF($B$4="סהכ",
INDEX(טבלה1[[SPPR_1986]:[SPPR_symbolic_full_import_as_DC]], MATCH('השוואת פקטורים'!$B58, 'PPRs all'!$A$2:$A$108, 0), MATCH('השוואת פקטורים'!U$6, טבלה1[[#Headers],[SPPR_1986]:[SPPR_symbolic_full_import_as_DC]], 0)) / INDEX(טבלה1[[SPPR_1986]:[SPPR_symbolic_full_import_as_DC]], MATCH('השוואת פקטורים'!$B58, 'PPRs all'!$A$2:$A$108, 0), MATCH('השוואת פקטורים'!T$6, טבלה1[[#Headers],[SPPR_1986]:[SPPR_symbolic_full_import_as_DC]], 0)),
INDEX(טבלה2[[SPPR_1986]:[SPPR_symbolic_full_import_as_DC]], MATCH('השוואת פקטורים'!$B58, 'PPRs inner'!$A$2:$A$108, 0), MATCH('השוואת פקטורים'!U$6, טבלה2[[#Headers],[SPPR_1986]:[SPPR_symbolic_full_import_as_DC]], 0)) / INDEX(טבלה2[[SPPR_1986]:[SPPR_symbolic_full_import_as_DC]], MATCH('השוואת פקטורים'!$B58, 'PPRs inner'!$A$2:$A$108, 0), MATCH('השוואת פקטורים'!T$6, טבלה2[[#Headers],[SPPR_1986]:[SPPR_symbolic_full_import_as_DC]], 0))
)</f>
        <v>0.99999999999999867</v>
      </c>
      <c r="V58" s="9"/>
      <c r="W58" s="9"/>
      <c r="X58" s="14"/>
      <c r="Y58" s="14"/>
      <c r="Z58" s="15">
        <f t="shared" si="2"/>
        <v>1.5090998937639757</v>
      </c>
    </row>
    <row r="59" spans="2:26" x14ac:dyDescent="0.3">
      <c r="B59" s="6" t="s">
        <v>73</v>
      </c>
      <c r="C59" s="12" t="b">
        <v>1</v>
      </c>
      <c r="D59" s="12" t="b">
        <v>1</v>
      </c>
      <c r="E59" s="12" t="b">
        <v>1</v>
      </c>
      <c r="F59" s="12" t="b">
        <f t="shared" si="1"/>
        <v>1</v>
      </c>
      <c r="G59" s="7" t="b">
        <f>ABS(INDEX(טבלה5[[SPPR_1986]:[SPPR_symbolic_full_import_as_DC]],MATCH('השוואת פקטורים'!$B59,טבלה5[עמודה1],0),MATCH($C$4,טבלה5[[#Headers],[SPPR_1986]:[SPPR_symbolic_full_import_as_DC]],0))) &lt; 5</f>
        <v>1</v>
      </c>
      <c r="H59" s="7" t="b">
        <f>INDEX(טבלה3[[SPPR_1986]:[SPPR_symbolic_full_import_as_DC]],MATCH('השוואת פקטורים'!$B59,טבלה3[עמודה1],0),MATCH($C$4,טבלה3[[#Headers],[SPPR_1986]:[SPPR_symbolic_full_import_as_DC]],0))</f>
        <v>1</v>
      </c>
      <c r="I59" s="7" t="b">
        <f t="shared" si="3"/>
        <v>1</v>
      </c>
      <c r="J59" s="13"/>
      <c r="K59" s="9">
        <f>IF($B$4="סהכ",
INDEX(טבלה1[[SPPR_1986]:[SPPR_symbolic_full_import_as_DC]], MATCH('השוואת פקטורים'!$B59, 'PPRs all'!$A$2:$A$108, 0), MATCH('השוואת פקטורים'!K$6, טבלה1[[#Headers],[SPPR_1986]:[SPPR_symbolic_full_import_as_DC]], 0)) / INDEX(טבלה1[[SPPR_1986]:[SPPR_symbolic_full_import_as_DC]], MATCH('השוואת פקטורים'!$B59, 'PPRs all'!$A$2:$A$108, 0), MATCH('השוואת פקטורים'!J$6, טבלה1[[#Headers],[SPPR_1986]:[SPPR_symbolic_full_import_as_DC]], 0)),
INDEX(טבלה2[[SPPR_1986]:[SPPR_symbolic_full_import_as_DC]], MATCH('השוואת פקטורים'!$B59, 'PPRs inner'!$A$2:$A$108, 0), MATCH('השוואת פקטורים'!K$6, טבלה2[[#Headers],[SPPR_1986]:[SPPR_symbolic_full_import_as_DC]], 0)) / INDEX(טבלה2[[SPPR_1986]:[SPPR_symbolic_full_import_as_DC]], MATCH('השוואת פקטורים'!$B59, 'PPRs inner'!$A$2:$A$108, 0), MATCH('השוואת פקטורים'!J$6, טבלה2[[#Headers],[SPPR_1986]:[SPPR_symbolic_full_import_as_DC]], 0))
)</f>
        <v>1.243187668494929</v>
      </c>
      <c r="L59" s="9">
        <f>IF($B$4="סהכ",
INDEX(טבלה1[[SPPR_1986]:[SPPR_symbolic_full_import_as_DC]], MATCH('השוואת פקטורים'!$B59, 'PPRs all'!$A$2:$A$108, 0), MATCH('השוואת פקטורים'!L$6, טבלה1[[#Headers],[SPPR_1986]:[SPPR_symbolic_full_import_as_DC]], 0)) / INDEX(טבלה1[[SPPR_1986]:[SPPR_symbolic_full_import_as_DC]], MATCH('השוואת פקטורים'!$B59, 'PPRs all'!$A$2:$A$108, 0), MATCH('השוואת פקטורים'!K$6, טבלה1[[#Headers],[SPPR_1986]:[SPPR_symbolic_full_import_as_DC]], 0)),
INDEX(טבלה2[[SPPR_1986]:[SPPR_symbolic_full_import_as_DC]], MATCH('השוואת פקטורים'!$B59, 'PPRs inner'!$A$2:$A$108, 0), MATCH('השוואת פקטורים'!L$6, טבלה2[[#Headers],[SPPR_1986]:[SPPR_symbolic_full_import_as_DC]], 0)) / INDEX(טבלה2[[SPPR_1986]:[SPPR_symbolic_full_import_as_DC]], MATCH('השוואת פקטורים'!$B59, 'PPRs inner'!$A$2:$A$108, 0), MATCH('השוואת פקטורים'!K$6, טבלה2[[#Headers],[SPPR_1986]:[SPPR_symbolic_full_import_as_DC]], 0))
)</f>
        <v>2.7486691903201739</v>
      </c>
      <c r="M59" s="9">
        <f>IF($B$4="סהכ",
INDEX(טבלה1[[SPPR_1986]:[SPPR_symbolic_full_import_as_DC]], MATCH('השוואת פקטורים'!$B59, 'PPRs all'!$A$2:$A$108, 0), MATCH('השוואת פקטורים'!M$6, טבלה1[[#Headers],[SPPR_1986]:[SPPR_symbolic_full_import_as_DC]], 0)) / INDEX(טבלה1[[SPPR_1986]:[SPPR_symbolic_full_import_as_DC]], MATCH('השוואת פקטורים'!$B59, 'PPRs all'!$A$2:$A$108, 0), MATCH('השוואת פקטורים'!L$6, טבלה1[[#Headers],[SPPR_1986]:[SPPR_symbolic_full_import_as_DC]], 0)),
INDEX(טבלה2[[SPPR_1986]:[SPPR_symbolic_full_import_as_DC]], MATCH('השוואת פקטורים'!$B59, 'PPRs inner'!$A$2:$A$108, 0), MATCH('השוואת פקטורים'!M$6, טבלה2[[#Headers],[SPPR_1986]:[SPPR_symbolic_full_import_as_DC]], 0)) / INDEX(טבלה2[[SPPR_1986]:[SPPR_symbolic_full_import_as_DC]], MATCH('השוואת פקטורים'!$B59, 'PPRs inner'!$A$2:$A$108, 0), MATCH('השוואת פקטורים'!L$6, טבלה2[[#Headers],[SPPR_1986]:[SPPR_symbolic_full_import_as_DC]], 0))
)</f>
        <v>1.5610511705259031</v>
      </c>
      <c r="N59" s="9">
        <f>IF($B$4="סהכ",
INDEX(טבלה1[[SPPR_1986]:[SPPR_symbolic_full_import_as_DC]], MATCH('השוואת פקטורים'!$B59, 'PPRs all'!$A$2:$A$108, 0), MATCH('השוואת פקטורים'!N$6, טבלה1[[#Headers],[SPPR_1986]:[SPPR_symbolic_full_import_as_DC]], 0)) / INDEX(טבלה1[[SPPR_1986]:[SPPR_symbolic_full_import_as_DC]], MATCH('השוואת פקטורים'!$B59, 'PPRs all'!$A$2:$A$108, 0), MATCH('השוואת פקטורים'!M$6, טבלה1[[#Headers],[SPPR_1986]:[SPPR_symbolic_full_import_as_DC]], 0)),
INDEX(טבלה2[[SPPR_1986]:[SPPR_symbolic_full_import_as_DC]], MATCH('השוואת פקטורים'!$B59, 'PPRs inner'!$A$2:$A$108, 0), MATCH('השוואת פקטורים'!N$6, טבלה2[[#Headers],[SPPR_1986]:[SPPR_symbolic_full_import_as_DC]], 0)) / INDEX(טבלה2[[SPPR_1986]:[SPPR_symbolic_full_import_as_DC]], MATCH('השוואת פקטורים'!$B59, 'PPRs inner'!$A$2:$A$108, 0), MATCH('השוואת פקטורים'!M$6, טבלה2[[#Headers],[SPPR_1986]:[SPPR_symbolic_full_import_as_DC]], 0))
)</f>
        <v>1.0078290947728692</v>
      </c>
      <c r="O59" s="9">
        <f>IF($B$4="סהכ",
INDEX(טבלה1[[SPPR_1986]:[SPPR_symbolic_full_import_as_DC]], MATCH('השוואת פקטורים'!$B59, 'PPRs all'!$A$2:$A$108, 0), MATCH('השוואת פקטורים'!O$6, טבלה1[[#Headers],[SPPR_1986]:[SPPR_symbolic_full_import_as_DC]], 0)) / INDEX(טבלה1[[SPPR_1986]:[SPPR_symbolic_full_import_as_DC]], MATCH('השוואת פקטורים'!$B59, 'PPRs all'!$A$2:$A$108, 0), MATCH('השוואת פקטורים'!N$6, טבלה1[[#Headers],[SPPR_1986]:[SPPR_symbolic_full_import_as_DC]], 0)),
INDEX(טבלה2[[SPPR_1986]:[SPPR_symbolic_full_import_as_DC]], MATCH('השוואת פקטורים'!$B59, 'PPRs inner'!$A$2:$A$108, 0), MATCH('השוואת פקטורים'!O$6, טבלה2[[#Headers],[SPPR_1986]:[SPPR_symbolic_full_import_as_DC]], 0)) / INDEX(טבלה2[[SPPR_1986]:[SPPR_symbolic_full_import_as_DC]], MATCH('השוואת פקטורים'!$B59, 'PPRs inner'!$A$2:$A$108, 0), MATCH('השוואת פקטורים'!N$6, טבלה2[[#Headers],[SPPR_1986]:[SPPR_symbolic_full_import_as_DC]], 0))
)</f>
        <v>1</v>
      </c>
      <c r="P59" s="9">
        <f>IF($B$4="סהכ",
INDEX(טבלה1[[SPPR_1986]:[SPPR_symbolic_full_import_as_DC]], MATCH('השוואת פקטורים'!$B59, 'PPRs all'!$A$2:$A$108, 0), MATCH('השוואת פקטורים'!P$6, טבלה1[[#Headers],[SPPR_1986]:[SPPR_symbolic_full_import_as_DC]], 0)) / INDEX(טבלה1[[SPPR_1986]:[SPPR_symbolic_full_import_as_DC]], MATCH('השוואת פקטורים'!$B59, 'PPRs all'!$A$2:$A$108, 0), MATCH('השוואת פקטורים'!O$6, טבלה1[[#Headers],[SPPR_1986]:[SPPR_symbolic_full_import_as_DC]], 0)),
INDEX(טבלה2[[SPPR_1986]:[SPPR_symbolic_full_import_as_DC]], MATCH('השוואת פקטורים'!$B59, 'PPRs inner'!$A$2:$A$108, 0), MATCH('השוואת פקטורים'!P$6, טבלה2[[#Headers],[SPPR_1986]:[SPPR_symbolic_full_import_as_DC]], 0)) / INDEX(טבלה2[[SPPR_1986]:[SPPR_symbolic_full_import_as_DC]], MATCH('השוואת פקטורים'!$B59, 'PPRs inner'!$A$2:$A$108, 0), MATCH('השוואת פקטורים'!O$6, טבלה2[[#Headers],[SPPR_1986]:[SPPR_symbolic_full_import_as_DC]], 0))
)</f>
        <v>0.35818999247682076</v>
      </c>
      <c r="Q59" s="9">
        <f>IF($B$4="סהכ",
INDEX(טבלה1[[SPPR_1986]:[SPPR_symbolic_full_import_as_DC]], MATCH('השוואת פקטורים'!$B59, 'PPRs all'!$A$2:$A$108, 0), MATCH('השוואת פקטורים'!Q$6, טבלה1[[#Headers],[SPPR_1986]:[SPPR_symbolic_full_import_as_DC]], 0)) / INDEX(טבלה1[[SPPR_1986]:[SPPR_symbolic_full_import_as_DC]], MATCH('השוואת פקטורים'!$B59, 'PPRs all'!$A$2:$A$108, 0), MATCH('השוואת פקטורים'!P$6, טבלה1[[#Headers],[SPPR_1986]:[SPPR_symbolic_full_import_as_DC]], 0)),
INDEX(טבלה2[[SPPR_1986]:[SPPR_symbolic_full_import_as_DC]], MATCH('השוואת פקטורים'!$B59, 'PPRs inner'!$A$2:$A$108, 0), MATCH('השוואת פקטורים'!Q$6, טבלה2[[#Headers],[SPPR_1986]:[SPPR_symbolic_full_import_as_DC]], 0)) / INDEX(טבלה2[[SPPR_1986]:[SPPR_symbolic_full_import_as_DC]], MATCH('השוואת פקטורים'!$B59, 'PPRs inner'!$A$2:$A$108, 0), MATCH('השוואת פקטורים'!P$6, טבלה2[[#Headers],[SPPR_1986]:[SPPR_symbolic_full_import_as_DC]], 0))
)</f>
        <v>1.000000000000002</v>
      </c>
      <c r="R59" s="9">
        <f>IF($B$4="סהכ",
INDEX(טבלה1[[SPPR_1986]:[SPPR_symbolic_full_import_as_DC]], MATCH('השוואת פקטורים'!$B59, 'PPRs all'!$A$2:$A$108, 0), MATCH('השוואת פקטורים'!R$6, טבלה1[[#Headers],[SPPR_1986]:[SPPR_symbolic_full_import_as_DC]], 0)) / INDEX(טבלה1[[SPPR_1986]:[SPPR_symbolic_full_import_as_DC]], MATCH('השוואת פקטורים'!$B59, 'PPRs all'!$A$2:$A$108, 0), MATCH('השוואת פקטורים'!Q$6, טבלה1[[#Headers],[SPPR_1986]:[SPPR_symbolic_full_import_as_DC]], 0)),
INDEX(טבלה2[[SPPR_1986]:[SPPR_symbolic_full_import_as_DC]], MATCH('השוואת פקטורים'!$B59, 'PPRs inner'!$A$2:$A$108, 0), MATCH('השוואת פקטורים'!R$6, טבלה2[[#Headers],[SPPR_1986]:[SPPR_symbolic_full_import_as_DC]], 0)) / INDEX(טבלה2[[SPPR_1986]:[SPPR_symbolic_full_import_as_DC]], MATCH('השוואת פקטורים'!$B59, 'PPRs inner'!$A$2:$A$108, 0), MATCH('השוואת פקטורים'!Q$6, טבלה2[[#Headers],[SPPR_1986]:[SPPR_symbolic_full_import_as_DC]], 0))
)</f>
        <v>1</v>
      </c>
      <c r="S59" s="9">
        <f>IF($B$4="סהכ",
INDEX(טבלה1[[SPPR_1986]:[SPPR_symbolic_full_import_as_DC]], MATCH('השוואת פקטורים'!$B59, 'PPRs all'!$A$2:$A$108, 0), MATCH('השוואת פקטורים'!S$6, טבלה1[[#Headers],[SPPR_1986]:[SPPR_symbolic_full_import_as_DC]], 0)) / INDEX(טבלה1[[SPPR_1986]:[SPPR_symbolic_full_import_as_DC]], MATCH('השוואת פקטורים'!$B59, 'PPRs all'!$A$2:$A$108, 0), MATCH('השוואת פקטורים'!R$6, טבלה1[[#Headers],[SPPR_1986]:[SPPR_symbolic_full_import_as_DC]], 0)),
INDEX(טבלה2[[SPPR_1986]:[SPPR_symbolic_full_import_as_DC]], MATCH('השוואת פקטורים'!$B59, 'PPRs inner'!$A$2:$A$108, 0), MATCH('השוואת פקטורים'!S$6, טבלה2[[#Headers],[SPPR_1986]:[SPPR_symbolic_full_import_as_DC]], 0)) / INDEX(טבלה2[[SPPR_1986]:[SPPR_symbolic_full_import_as_DC]], MATCH('השוואת פקטורים'!$B59, 'PPRs inner'!$A$2:$A$108, 0), MATCH('השוואת פקטורים'!R$6, טבלה2[[#Headers],[SPPR_1986]:[SPPR_symbolic_full_import_as_DC]], 0))
)</f>
        <v>1</v>
      </c>
      <c r="T59" s="9">
        <f>IF($B$4="סהכ",
INDEX(טבלה1[[SPPR_1986]:[SPPR_symbolic_full_import_as_DC]], MATCH('השוואת פקטורים'!$B59, 'PPRs all'!$A$2:$A$108, 0), MATCH('השוואת פקטורים'!T$6, טבלה1[[#Headers],[SPPR_1986]:[SPPR_symbolic_full_import_as_DC]], 0)) / INDEX(טבלה1[[SPPR_1986]:[SPPR_symbolic_full_import_as_DC]], MATCH('השוואת פקטורים'!$B59, 'PPRs all'!$A$2:$A$108, 0), MATCH('השוואת פקטורים'!S$6, טבלה1[[#Headers],[SPPR_1986]:[SPPR_symbolic_full_import_as_DC]], 0)),
INDEX(טבלה2[[SPPR_1986]:[SPPR_symbolic_full_import_as_DC]], MATCH('השוואת פקטורים'!$B59, 'PPRs inner'!$A$2:$A$108, 0), MATCH('השוואת פקטורים'!T$6, טבלה2[[#Headers],[SPPR_1986]:[SPPR_symbolic_full_import_as_DC]], 0)) / INDEX(טבלה2[[SPPR_1986]:[SPPR_symbolic_full_import_as_DC]], MATCH('השוואת פקטורים'!$B59, 'PPRs inner'!$A$2:$A$108, 0), MATCH('השוואת פקטורים'!S$6, טבלה2[[#Headers],[SPPR_1986]:[SPPR_symbolic_full_import_as_DC]], 0))
)</f>
        <v>1</v>
      </c>
      <c r="U59" s="9">
        <f>IF($B$4="סהכ",
INDEX(טבלה1[[SPPR_1986]:[SPPR_symbolic_full_import_as_DC]], MATCH('השוואת פקטורים'!$B59, 'PPRs all'!$A$2:$A$108, 0), MATCH('השוואת פקטורים'!U$6, טבלה1[[#Headers],[SPPR_1986]:[SPPR_symbolic_full_import_as_DC]], 0)) / INDEX(טבלה1[[SPPR_1986]:[SPPR_symbolic_full_import_as_DC]], MATCH('השוואת פקטורים'!$B59, 'PPRs all'!$A$2:$A$108, 0), MATCH('השוואת פקטורים'!T$6, טבלה1[[#Headers],[SPPR_1986]:[SPPR_symbolic_full_import_as_DC]], 0)),
INDEX(טבלה2[[SPPR_1986]:[SPPR_symbolic_full_import_as_DC]], MATCH('השוואת פקטורים'!$B59, 'PPRs inner'!$A$2:$A$108, 0), MATCH('השוואת פקטורים'!U$6, טבלה2[[#Headers],[SPPR_1986]:[SPPR_symbolic_full_import_as_DC]], 0)) / INDEX(טבלה2[[SPPR_1986]:[SPPR_symbolic_full_import_as_DC]], MATCH('השוואת פקטורים'!$B59, 'PPRs inner'!$A$2:$A$108, 0), MATCH('השוואת פקטורים'!T$6, טבלה2[[#Headers],[SPPR_1986]:[SPPR_symbolic_full_import_as_DC]], 0))
)</f>
        <v>0.999999999999998</v>
      </c>
      <c r="V59" s="9"/>
      <c r="W59" s="9"/>
      <c r="X59" s="14"/>
      <c r="Y59" s="14"/>
      <c r="Z59" s="15">
        <f t="shared" si="2"/>
        <v>1.925646865074188</v>
      </c>
    </row>
    <row r="60" spans="2:26" x14ac:dyDescent="0.3">
      <c r="B60" s="6" t="s">
        <v>74</v>
      </c>
      <c r="C60" s="12" t="b">
        <v>1</v>
      </c>
      <c r="D60" s="12" t="b">
        <v>1</v>
      </c>
      <c r="E60" s="12" t="b">
        <v>1</v>
      </c>
      <c r="F60" s="12" t="b">
        <f t="shared" si="1"/>
        <v>1</v>
      </c>
      <c r="G60" s="7" t="b">
        <f>ABS(INDEX(טבלה5[[SPPR_1986]:[SPPR_symbolic_full_import_as_DC]],MATCH('השוואת פקטורים'!$B60,טבלה5[עמודה1],0),MATCH($C$4,טבלה5[[#Headers],[SPPR_1986]:[SPPR_symbolic_full_import_as_DC]],0))) &lt; 5</f>
        <v>1</v>
      </c>
      <c r="H60" s="7" t="b">
        <f>INDEX(טבלה3[[SPPR_1986]:[SPPR_symbolic_full_import_as_DC]],MATCH('השוואת פקטורים'!$B60,טבלה3[עמודה1],0),MATCH($C$4,טבלה3[[#Headers],[SPPR_1986]:[SPPR_symbolic_full_import_as_DC]],0))</f>
        <v>1</v>
      </c>
      <c r="I60" s="7" t="b">
        <f t="shared" si="3"/>
        <v>1</v>
      </c>
      <c r="J60" s="13"/>
      <c r="K60" s="9">
        <f>IF($B$4="סהכ",
INDEX(טבלה1[[SPPR_1986]:[SPPR_symbolic_full_import_as_DC]], MATCH('השוואת פקטורים'!$B60, 'PPRs all'!$A$2:$A$108, 0), MATCH('השוואת פקטורים'!K$6, טבלה1[[#Headers],[SPPR_1986]:[SPPR_symbolic_full_import_as_DC]], 0)) / INDEX(טבלה1[[SPPR_1986]:[SPPR_symbolic_full_import_as_DC]], MATCH('השוואת פקטורים'!$B60, 'PPRs all'!$A$2:$A$108, 0), MATCH('השוואת פקטורים'!J$6, טבלה1[[#Headers],[SPPR_1986]:[SPPR_symbolic_full_import_as_DC]], 0)),
INDEX(טבלה2[[SPPR_1986]:[SPPR_symbolic_full_import_as_DC]], MATCH('השוואת פקטורים'!$B60, 'PPRs inner'!$A$2:$A$108, 0), MATCH('השוואת פקטורים'!K$6, טבלה2[[#Headers],[SPPR_1986]:[SPPR_symbolic_full_import_as_DC]], 0)) / INDEX(טבלה2[[SPPR_1986]:[SPPR_symbolic_full_import_as_DC]], MATCH('השוואת פקטורים'!$B60, 'PPRs inner'!$A$2:$A$108, 0), MATCH('השוואת פקטורים'!J$6, טבלה2[[#Headers],[SPPR_1986]:[SPPR_symbolic_full_import_as_DC]], 0))
)</f>
        <v>0.75953547559866696</v>
      </c>
      <c r="L60" s="9">
        <f>IF($B$4="סהכ",
INDEX(טבלה1[[SPPR_1986]:[SPPR_symbolic_full_import_as_DC]], MATCH('השוואת פקטורים'!$B60, 'PPRs all'!$A$2:$A$108, 0), MATCH('השוואת פקטורים'!L$6, טבלה1[[#Headers],[SPPR_1986]:[SPPR_symbolic_full_import_as_DC]], 0)) / INDEX(טבלה1[[SPPR_1986]:[SPPR_symbolic_full_import_as_DC]], MATCH('השוואת פקטורים'!$B60, 'PPRs all'!$A$2:$A$108, 0), MATCH('השוואת פקטורים'!K$6, טבלה1[[#Headers],[SPPR_1986]:[SPPR_symbolic_full_import_as_DC]], 0)),
INDEX(טבלה2[[SPPR_1986]:[SPPR_symbolic_full_import_as_DC]], MATCH('השוואת פקטורים'!$B60, 'PPRs inner'!$A$2:$A$108, 0), MATCH('השוואת פקטורים'!L$6, טבלה2[[#Headers],[SPPR_1986]:[SPPR_symbolic_full_import_as_DC]], 0)) / INDEX(טבלה2[[SPPR_1986]:[SPPR_symbolic_full_import_as_DC]], MATCH('השוואת פקטורים'!$B60, 'PPRs inner'!$A$2:$A$108, 0), MATCH('השוואת פקטורים'!K$6, טבלה2[[#Headers],[SPPR_1986]:[SPPR_symbolic_full_import_as_DC]], 0))
)</f>
        <v>2.3747702161185837</v>
      </c>
      <c r="M60" s="9">
        <f>IF($B$4="סהכ",
INDEX(טבלה1[[SPPR_1986]:[SPPR_symbolic_full_import_as_DC]], MATCH('השוואת פקטורים'!$B60, 'PPRs all'!$A$2:$A$108, 0), MATCH('השוואת פקטורים'!M$6, טבלה1[[#Headers],[SPPR_1986]:[SPPR_symbolic_full_import_as_DC]], 0)) / INDEX(טבלה1[[SPPR_1986]:[SPPR_symbolic_full_import_as_DC]], MATCH('השוואת פקטורים'!$B60, 'PPRs all'!$A$2:$A$108, 0), MATCH('השוואת פקטורים'!L$6, טבלה1[[#Headers],[SPPR_1986]:[SPPR_symbolic_full_import_as_DC]], 0)),
INDEX(טבלה2[[SPPR_1986]:[SPPR_symbolic_full_import_as_DC]], MATCH('השוואת פקטורים'!$B60, 'PPRs inner'!$A$2:$A$108, 0), MATCH('השוואת פקטורים'!M$6, טבלה2[[#Headers],[SPPR_1986]:[SPPR_symbolic_full_import_as_DC]], 0)) / INDEX(טבלה2[[SPPR_1986]:[SPPR_symbolic_full_import_as_DC]], MATCH('השוואת פקטורים'!$B60, 'PPRs inner'!$A$2:$A$108, 0), MATCH('השוואת פקטורים'!L$6, טבלה2[[#Headers],[SPPR_1986]:[SPPR_symbolic_full_import_as_DC]], 0))
)</f>
        <v>11.050200099339602</v>
      </c>
      <c r="N60" s="9">
        <f>IF($B$4="סהכ",
INDEX(טבלה1[[SPPR_1986]:[SPPR_symbolic_full_import_as_DC]], MATCH('השוואת פקטורים'!$B60, 'PPRs all'!$A$2:$A$108, 0), MATCH('השוואת פקטורים'!N$6, טבלה1[[#Headers],[SPPR_1986]:[SPPR_symbolic_full_import_as_DC]], 0)) / INDEX(טבלה1[[SPPR_1986]:[SPPR_symbolic_full_import_as_DC]], MATCH('השוואת פקטורים'!$B60, 'PPRs all'!$A$2:$A$108, 0), MATCH('השוואת פקטורים'!M$6, טבלה1[[#Headers],[SPPR_1986]:[SPPR_symbolic_full_import_as_DC]], 0)),
INDEX(טבלה2[[SPPR_1986]:[SPPR_symbolic_full_import_as_DC]], MATCH('השוואת פקטורים'!$B60, 'PPRs inner'!$A$2:$A$108, 0), MATCH('השוואת פקטורים'!N$6, טבלה2[[#Headers],[SPPR_1986]:[SPPR_symbolic_full_import_as_DC]], 0)) / INDEX(טבלה2[[SPPR_1986]:[SPPR_symbolic_full_import_as_DC]], MATCH('השוואת פקטורים'!$B60, 'PPRs inner'!$A$2:$A$108, 0), MATCH('השוואת פקטורים'!M$6, טבלה2[[#Headers],[SPPR_1986]:[SPPR_symbolic_full_import_as_DC]], 0))
)</f>
        <v>0.86309143418130441</v>
      </c>
      <c r="O60" s="9">
        <f>IF($B$4="סהכ",
INDEX(טבלה1[[SPPR_1986]:[SPPR_symbolic_full_import_as_DC]], MATCH('השוואת פקטורים'!$B60, 'PPRs all'!$A$2:$A$108, 0), MATCH('השוואת פקטורים'!O$6, טבלה1[[#Headers],[SPPR_1986]:[SPPR_symbolic_full_import_as_DC]], 0)) / INDEX(טבלה1[[SPPR_1986]:[SPPR_symbolic_full_import_as_DC]], MATCH('השוואת פקטורים'!$B60, 'PPRs all'!$A$2:$A$108, 0), MATCH('השוואת פקטורים'!N$6, טבלה1[[#Headers],[SPPR_1986]:[SPPR_symbolic_full_import_as_DC]], 0)),
INDEX(טבלה2[[SPPR_1986]:[SPPR_symbolic_full_import_as_DC]], MATCH('השוואת פקטורים'!$B60, 'PPRs inner'!$A$2:$A$108, 0), MATCH('השוואת פקטורים'!O$6, טבלה2[[#Headers],[SPPR_1986]:[SPPR_symbolic_full_import_as_DC]], 0)) / INDEX(טבלה2[[SPPR_1986]:[SPPR_symbolic_full_import_as_DC]], MATCH('השוואת פקטורים'!$B60, 'PPRs inner'!$A$2:$A$108, 0), MATCH('השוואת פקטורים'!N$6, טבלה2[[#Headers],[SPPR_1986]:[SPPR_symbolic_full_import_as_DC]], 0))
)</f>
        <v>1.0000000000000004</v>
      </c>
      <c r="P60" s="9">
        <f>IF($B$4="סהכ",
INDEX(טבלה1[[SPPR_1986]:[SPPR_symbolic_full_import_as_DC]], MATCH('השוואת פקטורים'!$B60, 'PPRs all'!$A$2:$A$108, 0), MATCH('השוואת פקטורים'!P$6, טבלה1[[#Headers],[SPPR_1986]:[SPPR_symbolic_full_import_as_DC]], 0)) / INDEX(טבלה1[[SPPR_1986]:[SPPR_symbolic_full_import_as_DC]], MATCH('השוואת פקטורים'!$B60, 'PPRs all'!$A$2:$A$108, 0), MATCH('השוואת פקטורים'!O$6, טבלה1[[#Headers],[SPPR_1986]:[SPPR_symbolic_full_import_as_DC]], 0)),
INDEX(טבלה2[[SPPR_1986]:[SPPR_symbolic_full_import_as_DC]], MATCH('השוואת פקטורים'!$B60, 'PPRs inner'!$A$2:$A$108, 0), MATCH('השוואת פקטורים'!P$6, טבלה2[[#Headers],[SPPR_1986]:[SPPR_symbolic_full_import_as_DC]], 0)) / INDEX(טבלה2[[SPPR_1986]:[SPPR_symbolic_full_import_as_DC]], MATCH('השוואת פקטורים'!$B60, 'PPRs inner'!$A$2:$A$108, 0), MATCH('השוואת פקטורים'!O$6, טבלה2[[#Headers],[SPPR_1986]:[SPPR_symbolic_full_import_as_DC]], 0))
)</f>
        <v>0.26441317784438867</v>
      </c>
      <c r="Q60" s="9">
        <f>IF($B$4="סהכ",
INDEX(טבלה1[[SPPR_1986]:[SPPR_symbolic_full_import_as_DC]], MATCH('השוואת פקטורים'!$B60, 'PPRs all'!$A$2:$A$108, 0), MATCH('השוואת פקטורים'!Q$6, טבלה1[[#Headers],[SPPR_1986]:[SPPR_symbolic_full_import_as_DC]], 0)) / INDEX(טבלה1[[SPPR_1986]:[SPPR_symbolic_full_import_as_DC]], MATCH('השוואת פקטורים'!$B60, 'PPRs all'!$A$2:$A$108, 0), MATCH('השוואת פקטורים'!P$6, טבלה1[[#Headers],[SPPR_1986]:[SPPR_symbolic_full_import_as_DC]], 0)),
INDEX(טבלה2[[SPPR_1986]:[SPPR_symbolic_full_import_as_DC]], MATCH('השוואת פקטורים'!$B60, 'PPRs inner'!$A$2:$A$108, 0), MATCH('השוואת פקטורים'!Q$6, טבלה2[[#Headers],[SPPR_1986]:[SPPR_symbolic_full_import_as_DC]], 0)) / INDEX(טבלה2[[SPPR_1986]:[SPPR_symbolic_full_import_as_DC]], MATCH('השוואת פקטורים'!$B60, 'PPRs inner'!$A$2:$A$108, 0), MATCH('השוואת פקטורים'!P$6, טבלה2[[#Headers],[SPPR_1986]:[SPPR_symbolic_full_import_as_DC]], 0))
)</f>
        <v>1.0000000000000004</v>
      </c>
      <c r="R60" s="9">
        <f>IF($B$4="סהכ",
INDEX(טבלה1[[SPPR_1986]:[SPPR_symbolic_full_import_as_DC]], MATCH('השוואת פקטורים'!$B60, 'PPRs all'!$A$2:$A$108, 0), MATCH('השוואת פקטורים'!R$6, טבלה1[[#Headers],[SPPR_1986]:[SPPR_symbolic_full_import_as_DC]], 0)) / INDEX(טבלה1[[SPPR_1986]:[SPPR_symbolic_full_import_as_DC]], MATCH('השוואת פקטורים'!$B60, 'PPRs all'!$A$2:$A$108, 0), MATCH('השוואת פקטורים'!Q$6, טבלה1[[#Headers],[SPPR_1986]:[SPPR_symbolic_full_import_as_DC]], 0)),
INDEX(טבלה2[[SPPR_1986]:[SPPR_symbolic_full_import_as_DC]], MATCH('השוואת פקטורים'!$B60, 'PPRs inner'!$A$2:$A$108, 0), MATCH('השוואת פקטורים'!R$6, טבלה2[[#Headers],[SPPR_1986]:[SPPR_symbolic_full_import_as_DC]], 0)) / INDEX(טבלה2[[SPPR_1986]:[SPPR_symbolic_full_import_as_DC]], MATCH('השוואת פקטורים'!$B60, 'PPRs inner'!$A$2:$A$108, 0), MATCH('השוואת פקטורים'!Q$6, טבלה2[[#Headers],[SPPR_1986]:[SPPR_symbolic_full_import_as_DC]], 0))
)</f>
        <v>1.0025639093345942</v>
      </c>
      <c r="S60" s="9">
        <f>IF($B$4="סהכ",
INDEX(טבלה1[[SPPR_1986]:[SPPR_symbolic_full_import_as_DC]], MATCH('השוואת פקטורים'!$B60, 'PPRs all'!$A$2:$A$108, 0), MATCH('השוואת פקטורים'!S$6, טבלה1[[#Headers],[SPPR_1986]:[SPPR_symbolic_full_import_as_DC]], 0)) / INDEX(טבלה1[[SPPR_1986]:[SPPR_symbolic_full_import_as_DC]], MATCH('השוואת פקטורים'!$B60, 'PPRs all'!$A$2:$A$108, 0), MATCH('השוואת פקטורים'!R$6, טבלה1[[#Headers],[SPPR_1986]:[SPPR_symbolic_full_import_as_DC]], 0)),
INDEX(טבלה2[[SPPR_1986]:[SPPR_symbolic_full_import_as_DC]], MATCH('השוואת פקטורים'!$B60, 'PPRs inner'!$A$2:$A$108, 0), MATCH('השוואת פקטורים'!S$6, טבלה2[[#Headers],[SPPR_1986]:[SPPR_symbolic_full_import_as_DC]], 0)) / INDEX(טבלה2[[SPPR_1986]:[SPPR_symbolic_full_import_as_DC]], MATCH('השוואת פקטורים'!$B60, 'PPRs inner'!$A$2:$A$108, 0), MATCH('השוואת פקטורים'!R$6, טבלה2[[#Headers],[SPPR_1986]:[SPPR_symbolic_full_import_as_DC]], 0))
)</f>
        <v>0.9974426474853898</v>
      </c>
      <c r="T60" s="9">
        <f>IF($B$4="סהכ",
INDEX(טבלה1[[SPPR_1986]:[SPPR_symbolic_full_import_as_DC]], MATCH('השוואת פקטורים'!$B60, 'PPRs all'!$A$2:$A$108, 0), MATCH('השוואת פקטורים'!T$6, טבלה1[[#Headers],[SPPR_1986]:[SPPR_symbolic_full_import_as_DC]], 0)) / INDEX(טבלה1[[SPPR_1986]:[SPPR_symbolic_full_import_as_DC]], MATCH('השוואת פקטורים'!$B60, 'PPRs all'!$A$2:$A$108, 0), MATCH('השוואת פקטורים'!S$6, טבלה1[[#Headers],[SPPR_1986]:[SPPR_symbolic_full_import_as_DC]], 0)),
INDEX(טבלה2[[SPPR_1986]:[SPPR_symbolic_full_import_as_DC]], MATCH('השוואת פקטורים'!$B60, 'PPRs inner'!$A$2:$A$108, 0), MATCH('השוואת פקטורים'!T$6, טבלה2[[#Headers],[SPPR_1986]:[SPPR_symbolic_full_import_as_DC]], 0)) / INDEX(טבלה2[[SPPR_1986]:[SPPR_symbolic_full_import_as_DC]], MATCH('השוואת פקטורים'!$B60, 'PPRs inner'!$A$2:$A$108, 0), MATCH('השוואת פקטורים'!S$6, טבלה2[[#Headers],[SPPR_1986]:[SPPR_symbolic_full_import_as_DC]], 0))
)</f>
        <v>1.0025639093345942</v>
      </c>
      <c r="U60" s="9">
        <f>IF($B$4="סהכ",
INDEX(טבלה1[[SPPR_1986]:[SPPR_symbolic_full_import_as_DC]], MATCH('השוואת פקטורים'!$B60, 'PPRs all'!$A$2:$A$108, 0), MATCH('השוואת פקטורים'!U$6, טבלה1[[#Headers],[SPPR_1986]:[SPPR_symbolic_full_import_as_DC]], 0)) / INDEX(טבלה1[[SPPR_1986]:[SPPR_symbolic_full_import_as_DC]], MATCH('השוואת פקטורים'!$B60, 'PPRs all'!$A$2:$A$108, 0), MATCH('השוואת פקטורים'!T$6, טבלה1[[#Headers],[SPPR_1986]:[SPPR_symbolic_full_import_as_DC]], 0)),
INDEX(טבלה2[[SPPR_1986]:[SPPR_symbolic_full_import_as_DC]], MATCH('השוואת פקטורים'!$B60, 'PPRs inner'!$A$2:$A$108, 0), MATCH('השוואת פקטורים'!U$6, טבלה2[[#Headers],[SPPR_1986]:[SPPR_symbolic_full_import_as_DC]], 0)) / INDEX(טבלה2[[SPPR_1986]:[SPPR_symbolic_full_import_as_DC]], MATCH('השוואת פקטורים'!$B60, 'PPRs inner'!$A$2:$A$108, 0), MATCH('השוואת פקטורים'!T$6, טבלה2[[#Headers],[SPPR_1986]:[SPPR_symbolic_full_import_as_DC]], 0))
)</f>
        <v>0.99744264748538947</v>
      </c>
      <c r="V60" s="9"/>
      <c r="W60" s="9"/>
      <c r="X60" s="14"/>
      <c r="Y60" s="14"/>
      <c r="Z60" s="15">
        <f t="shared" si="2"/>
        <v>4.548620468144696</v>
      </c>
    </row>
    <row r="61" spans="2:26" x14ac:dyDescent="0.3">
      <c r="B61" s="6" t="s">
        <v>75</v>
      </c>
      <c r="C61" s="12" t="b">
        <v>1</v>
      </c>
      <c r="D61" s="12" t="b">
        <v>1</v>
      </c>
      <c r="E61" s="12" t="b">
        <v>1</v>
      </c>
      <c r="F61" s="12" t="b">
        <f t="shared" si="1"/>
        <v>1</v>
      </c>
      <c r="G61" s="7" t="b">
        <f>ABS(INDEX(טבלה5[[SPPR_1986]:[SPPR_symbolic_full_import_as_DC]],MATCH('השוואת פקטורים'!$B61,טבלה5[עמודה1],0),MATCH($C$4,טבלה5[[#Headers],[SPPR_1986]:[SPPR_symbolic_full_import_as_DC]],0))) &lt; 5</f>
        <v>1</v>
      </c>
      <c r="H61" s="7" t="b">
        <f>INDEX(טבלה3[[SPPR_1986]:[SPPR_symbolic_full_import_as_DC]],MATCH('השוואת פקטורים'!$B61,טבלה3[עמודה1],0),MATCH($C$4,טבלה3[[#Headers],[SPPR_1986]:[SPPR_symbolic_full_import_as_DC]],0))</f>
        <v>1</v>
      </c>
      <c r="I61" s="7" t="b">
        <f t="shared" si="3"/>
        <v>1</v>
      </c>
      <c r="J61" s="13"/>
      <c r="K61" s="9">
        <f>IF($B$4="סהכ",
INDEX(טבלה1[[SPPR_1986]:[SPPR_symbolic_full_import_as_DC]], MATCH('השוואת פקטורים'!$B61, 'PPRs all'!$A$2:$A$108, 0), MATCH('השוואת פקטורים'!K$6, טבלה1[[#Headers],[SPPR_1986]:[SPPR_symbolic_full_import_as_DC]], 0)) / INDEX(טבלה1[[SPPR_1986]:[SPPR_symbolic_full_import_as_DC]], MATCH('השוואת פקטורים'!$B61, 'PPRs all'!$A$2:$A$108, 0), MATCH('השוואת פקטורים'!J$6, טבלה1[[#Headers],[SPPR_1986]:[SPPR_symbolic_full_import_as_DC]], 0)),
INDEX(טבלה2[[SPPR_1986]:[SPPR_symbolic_full_import_as_DC]], MATCH('השוואת פקטורים'!$B61, 'PPRs inner'!$A$2:$A$108, 0), MATCH('השוואת פקטורים'!K$6, טבלה2[[#Headers],[SPPR_1986]:[SPPR_symbolic_full_import_as_DC]], 0)) / INDEX(טבלה2[[SPPR_1986]:[SPPR_symbolic_full_import_as_DC]], MATCH('השוואת פקטורים'!$B61, 'PPRs inner'!$A$2:$A$108, 0), MATCH('השוואת פקטורים'!J$6, טבלה2[[#Headers],[SPPR_1986]:[SPPR_symbolic_full_import_as_DC]], 0))
)</f>
        <v>0.16813049804799107</v>
      </c>
      <c r="L61" s="9">
        <f>IF($B$4="סהכ",
INDEX(טבלה1[[SPPR_1986]:[SPPR_symbolic_full_import_as_DC]], MATCH('השוואת פקטורים'!$B61, 'PPRs all'!$A$2:$A$108, 0), MATCH('השוואת פקטורים'!L$6, טבלה1[[#Headers],[SPPR_1986]:[SPPR_symbolic_full_import_as_DC]], 0)) / INDEX(טבלה1[[SPPR_1986]:[SPPR_symbolic_full_import_as_DC]], MATCH('השוואת פקטורים'!$B61, 'PPRs all'!$A$2:$A$108, 0), MATCH('השוואת פקטורים'!K$6, טבלה1[[#Headers],[SPPR_1986]:[SPPR_symbolic_full_import_as_DC]], 0)),
INDEX(טבלה2[[SPPR_1986]:[SPPR_symbolic_full_import_as_DC]], MATCH('השוואת פקטורים'!$B61, 'PPRs inner'!$A$2:$A$108, 0), MATCH('השוואת פקטורים'!L$6, טבלה2[[#Headers],[SPPR_1986]:[SPPR_symbolic_full_import_as_DC]], 0)) / INDEX(טבלה2[[SPPR_1986]:[SPPR_symbolic_full_import_as_DC]], MATCH('השוואת פקטורים'!$B61, 'PPRs inner'!$A$2:$A$108, 0), MATCH('השוואת פקטורים'!K$6, טבלה2[[#Headers],[SPPR_1986]:[SPPR_symbolic_full_import_as_DC]], 0))
)</f>
        <v>1.505710366815926</v>
      </c>
      <c r="M61" s="9">
        <f>IF($B$4="סהכ",
INDEX(טבלה1[[SPPR_1986]:[SPPR_symbolic_full_import_as_DC]], MATCH('השוואת פקטורים'!$B61, 'PPRs all'!$A$2:$A$108, 0), MATCH('השוואת פקטורים'!M$6, טבלה1[[#Headers],[SPPR_1986]:[SPPR_symbolic_full_import_as_DC]], 0)) / INDEX(טבלה1[[SPPR_1986]:[SPPR_symbolic_full_import_as_DC]], MATCH('השוואת פקטורים'!$B61, 'PPRs all'!$A$2:$A$108, 0), MATCH('השוואת פקטורים'!L$6, טבלה1[[#Headers],[SPPR_1986]:[SPPR_symbolic_full_import_as_DC]], 0)),
INDEX(טבלה2[[SPPR_1986]:[SPPR_symbolic_full_import_as_DC]], MATCH('השוואת פקטורים'!$B61, 'PPRs inner'!$A$2:$A$108, 0), MATCH('השוואת פקטורים'!M$6, טבלה2[[#Headers],[SPPR_1986]:[SPPR_symbolic_full_import_as_DC]], 0)) / INDEX(טבלה2[[SPPR_1986]:[SPPR_symbolic_full_import_as_DC]], MATCH('השוואת פקטורים'!$B61, 'PPRs inner'!$A$2:$A$108, 0), MATCH('השוואת פקטורים'!L$6, טבלה2[[#Headers],[SPPR_1986]:[SPPR_symbolic_full_import_as_DC]], 0))
)</f>
        <v>1.3299485887032576</v>
      </c>
      <c r="N61" s="9">
        <f>IF($B$4="סהכ",
INDEX(טבלה1[[SPPR_1986]:[SPPR_symbolic_full_import_as_DC]], MATCH('השוואת פקטורים'!$B61, 'PPRs all'!$A$2:$A$108, 0), MATCH('השוואת פקטורים'!N$6, טבלה1[[#Headers],[SPPR_1986]:[SPPR_symbolic_full_import_as_DC]], 0)) / INDEX(טבלה1[[SPPR_1986]:[SPPR_symbolic_full_import_as_DC]], MATCH('השוואת פקטורים'!$B61, 'PPRs all'!$A$2:$A$108, 0), MATCH('השוואת פקטורים'!M$6, טבלה1[[#Headers],[SPPR_1986]:[SPPR_symbolic_full_import_as_DC]], 0)),
INDEX(טבלה2[[SPPR_1986]:[SPPR_symbolic_full_import_as_DC]], MATCH('השוואת פקטורים'!$B61, 'PPRs inner'!$A$2:$A$108, 0), MATCH('השוואת פקטורים'!N$6, טבלה2[[#Headers],[SPPR_1986]:[SPPR_symbolic_full_import_as_DC]], 0)) / INDEX(טבלה2[[SPPR_1986]:[SPPR_symbolic_full_import_as_DC]], MATCH('השוואת פקטורים'!$B61, 'PPRs inner'!$A$2:$A$108, 0), MATCH('השוואת פקטורים'!M$6, טבלה2[[#Headers],[SPPR_1986]:[SPPR_symbolic_full_import_as_DC]], 0))
)</f>
        <v>2.2381046032624718</v>
      </c>
      <c r="O61" s="9">
        <f>IF($B$4="סהכ",
INDEX(טבלה1[[SPPR_1986]:[SPPR_symbolic_full_import_as_DC]], MATCH('השוואת פקטורים'!$B61, 'PPRs all'!$A$2:$A$108, 0), MATCH('השוואת פקטורים'!O$6, טבלה1[[#Headers],[SPPR_1986]:[SPPR_symbolic_full_import_as_DC]], 0)) / INDEX(טבלה1[[SPPR_1986]:[SPPR_symbolic_full_import_as_DC]], MATCH('השוואת פקטורים'!$B61, 'PPRs all'!$A$2:$A$108, 0), MATCH('השוואת פקטורים'!N$6, טבלה1[[#Headers],[SPPR_1986]:[SPPR_symbolic_full_import_as_DC]], 0)),
INDEX(טבלה2[[SPPR_1986]:[SPPR_symbolic_full_import_as_DC]], MATCH('השוואת פקטורים'!$B61, 'PPRs inner'!$A$2:$A$108, 0), MATCH('השוואת פקטורים'!O$6, טבלה2[[#Headers],[SPPR_1986]:[SPPR_symbolic_full_import_as_DC]], 0)) / INDEX(טבלה2[[SPPR_1986]:[SPPR_symbolic_full_import_as_DC]], MATCH('השוואת פקטורים'!$B61, 'PPRs inner'!$A$2:$A$108, 0), MATCH('השוואת פקטורים'!N$6, טבלה2[[#Headers],[SPPR_1986]:[SPPR_symbolic_full_import_as_DC]], 0))
)</f>
        <v>0.99999999999999922</v>
      </c>
      <c r="P61" s="9">
        <f>IF($B$4="סהכ",
INDEX(טבלה1[[SPPR_1986]:[SPPR_symbolic_full_import_as_DC]], MATCH('השוואת פקטורים'!$B61, 'PPRs all'!$A$2:$A$108, 0), MATCH('השוואת פקטורים'!P$6, טבלה1[[#Headers],[SPPR_1986]:[SPPR_symbolic_full_import_as_DC]], 0)) / INDEX(טבלה1[[SPPR_1986]:[SPPR_symbolic_full_import_as_DC]], MATCH('השוואת פקטורים'!$B61, 'PPRs all'!$A$2:$A$108, 0), MATCH('השוואת פקטורים'!O$6, טבלה1[[#Headers],[SPPR_1986]:[SPPR_symbolic_full_import_as_DC]], 0)),
INDEX(טבלה2[[SPPR_1986]:[SPPR_symbolic_full_import_as_DC]], MATCH('השוואת פקטורים'!$B61, 'PPRs inner'!$A$2:$A$108, 0), MATCH('השוואת פקטורים'!P$6, טבלה2[[#Headers],[SPPR_1986]:[SPPR_symbolic_full_import_as_DC]], 0)) / INDEX(טבלה2[[SPPR_1986]:[SPPR_symbolic_full_import_as_DC]], MATCH('השוואת פקטורים'!$B61, 'PPRs inner'!$A$2:$A$108, 0), MATCH('השוואת פקטורים'!O$6, טבלה2[[#Headers],[SPPR_1986]:[SPPR_symbolic_full_import_as_DC]], 0))
)</f>
        <v>0.49797114287545813</v>
      </c>
      <c r="Q61" s="9">
        <f>IF($B$4="סהכ",
INDEX(טבלה1[[SPPR_1986]:[SPPR_symbolic_full_import_as_DC]], MATCH('השוואת פקטורים'!$B61, 'PPRs all'!$A$2:$A$108, 0), MATCH('השוואת פקטורים'!Q$6, טבלה1[[#Headers],[SPPR_1986]:[SPPR_symbolic_full_import_as_DC]], 0)) / INDEX(טבלה1[[SPPR_1986]:[SPPR_symbolic_full_import_as_DC]], MATCH('השוואת פקטורים'!$B61, 'PPRs all'!$A$2:$A$108, 0), MATCH('השוואת פקטורים'!P$6, טבלה1[[#Headers],[SPPR_1986]:[SPPR_symbolic_full_import_as_DC]], 0)),
INDEX(טבלה2[[SPPR_1986]:[SPPR_symbolic_full_import_as_DC]], MATCH('השוואת פקטורים'!$B61, 'PPRs inner'!$A$2:$A$108, 0), MATCH('השוואת פקטורים'!Q$6, טבלה2[[#Headers],[SPPR_1986]:[SPPR_symbolic_full_import_as_DC]], 0)) / INDEX(טבלה2[[SPPR_1986]:[SPPR_symbolic_full_import_as_DC]], MATCH('השוואת פקטורים'!$B61, 'PPRs inner'!$A$2:$A$108, 0), MATCH('השוואת פקטורים'!P$6, טבלה2[[#Headers],[SPPR_1986]:[SPPR_symbolic_full_import_as_DC]], 0))
)</f>
        <v>0.99999999999999833</v>
      </c>
      <c r="R61" s="9">
        <f>IF($B$4="סהכ",
INDEX(טבלה1[[SPPR_1986]:[SPPR_symbolic_full_import_as_DC]], MATCH('השוואת פקטורים'!$B61, 'PPRs all'!$A$2:$A$108, 0), MATCH('השוואת פקטורים'!R$6, טבלה1[[#Headers],[SPPR_1986]:[SPPR_symbolic_full_import_as_DC]], 0)) / INDEX(טבלה1[[SPPR_1986]:[SPPR_symbolic_full_import_as_DC]], MATCH('השוואת פקטורים'!$B61, 'PPRs all'!$A$2:$A$108, 0), MATCH('השוואת פקטורים'!Q$6, טבלה1[[#Headers],[SPPR_1986]:[SPPR_symbolic_full_import_as_DC]], 0)),
INDEX(טבלה2[[SPPR_1986]:[SPPR_symbolic_full_import_as_DC]], MATCH('השוואת פקטורים'!$B61, 'PPRs inner'!$A$2:$A$108, 0), MATCH('השוואת פקטורים'!R$6, טבלה2[[#Headers],[SPPR_1986]:[SPPR_symbolic_full_import_as_DC]], 0)) / INDEX(טבלה2[[SPPR_1986]:[SPPR_symbolic_full_import_as_DC]], MATCH('השוואת פקטורים'!$B61, 'PPRs inner'!$A$2:$A$108, 0), MATCH('השוואת פקטורים'!Q$6, טבלה2[[#Headers],[SPPR_1986]:[SPPR_symbolic_full_import_as_DC]], 0))
)</f>
        <v>1.0000024671703491</v>
      </c>
      <c r="S61" s="9">
        <f>IF($B$4="סהכ",
INDEX(טבלה1[[SPPR_1986]:[SPPR_symbolic_full_import_as_DC]], MATCH('השוואת פקטורים'!$B61, 'PPRs all'!$A$2:$A$108, 0), MATCH('השוואת פקטורים'!S$6, טבלה1[[#Headers],[SPPR_1986]:[SPPR_symbolic_full_import_as_DC]], 0)) / INDEX(טבלה1[[SPPR_1986]:[SPPR_symbolic_full_import_as_DC]], MATCH('השוואת פקטורים'!$B61, 'PPRs all'!$A$2:$A$108, 0), MATCH('השוואת פקטורים'!R$6, טבלה1[[#Headers],[SPPR_1986]:[SPPR_symbolic_full_import_as_DC]], 0)),
INDEX(טבלה2[[SPPR_1986]:[SPPR_symbolic_full_import_as_DC]], MATCH('השוואת פקטורים'!$B61, 'PPRs inner'!$A$2:$A$108, 0), MATCH('השוואת פקטורים'!S$6, טבלה2[[#Headers],[SPPR_1986]:[SPPR_symbolic_full_import_as_DC]], 0)) / INDEX(טבלה2[[SPPR_1986]:[SPPR_symbolic_full_import_as_DC]], MATCH('השוואת פקטורים'!$B61, 'PPRs inner'!$A$2:$A$108, 0), MATCH('השוואת פקטורים'!R$6, טבלה2[[#Headers],[SPPR_1986]:[SPPR_symbolic_full_import_as_DC]], 0))
)</f>
        <v>0.99999753283573767</v>
      </c>
      <c r="T61" s="9">
        <f>IF($B$4="סהכ",
INDEX(טבלה1[[SPPR_1986]:[SPPR_symbolic_full_import_as_DC]], MATCH('השוואת פקטורים'!$B61, 'PPRs all'!$A$2:$A$108, 0), MATCH('השוואת פקטורים'!T$6, טבלה1[[#Headers],[SPPR_1986]:[SPPR_symbolic_full_import_as_DC]], 0)) / INDEX(טבלה1[[SPPR_1986]:[SPPR_symbolic_full_import_as_DC]], MATCH('השוואת פקטורים'!$B61, 'PPRs all'!$A$2:$A$108, 0), MATCH('השוואת פקטורים'!S$6, טבלה1[[#Headers],[SPPR_1986]:[SPPR_symbolic_full_import_as_DC]], 0)),
INDEX(טבלה2[[SPPR_1986]:[SPPR_symbolic_full_import_as_DC]], MATCH('השוואת פקטורים'!$B61, 'PPRs inner'!$A$2:$A$108, 0), MATCH('השוואת פקטורים'!T$6, טבלה2[[#Headers],[SPPR_1986]:[SPPR_symbolic_full_import_as_DC]], 0)) / INDEX(טבלה2[[SPPR_1986]:[SPPR_symbolic_full_import_as_DC]], MATCH('השוואת פקטורים'!$B61, 'PPRs inner'!$A$2:$A$108, 0), MATCH('השוואת פקטורים'!S$6, טבלה2[[#Headers],[SPPR_1986]:[SPPR_symbolic_full_import_as_DC]], 0))
)</f>
        <v>1.0000024671703491</v>
      </c>
      <c r="U61" s="9">
        <f>IF($B$4="סהכ",
INDEX(טבלה1[[SPPR_1986]:[SPPR_symbolic_full_import_as_DC]], MATCH('השוואת פקטורים'!$B61, 'PPRs all'!$A$2:$A$108, 0), MATCH('השוואת פקטורים'!U$6, טבלה1[[#Headers],[SPPR_1986]:[SPPR_symbolic_full_import_as_DC]], 0)) / INDEX(טבלה1[[SPPR_1986]:[SPPR_symbolic_full_import_as_DC]], MATCH('השוואת פקטורים'!$B61, 'PPRs all'!$A$2:$A$108, 0), MATCH('השוואת פקטורים'!T$6, טבלה1[[#Headers],[SPPR_1986]:[SPPR_symbolic_full_import_as_DC]], 0)),
INDEX(טבלה2[[SPPR_1986]:[SPPR_symbolic_full_import_as_DC]], MATCH('השוואת פקטורים'!$B61, 'PPRs inner'!$A$2:$A$108, 0), MATCH('השוואת פקטורים'!U$6, טבלה2[[#Headers],[SPPR_1986]:[SPPR_symbolic_full_import_as_DC]], 0)) / INDEX(טבלה2[[SPPR_1986]:[SPPR_symbolic_full_import_as_DC]], MATCH('השוואת פקטורים'!$B61, 'PPRs inner'!$A$2:$A$108, 0), MATCH('השוואת פקטורים'!T$6, טבלה2[[#Headers],[SPPR_1986]:[SPPR_symbolic_full_import_as_DC]], 0))
)</f>
        <v>0.99999753283573933</v>
      </c>
      <c r="V61" s="9"/>
      <c r="W61" s="9"/>
      <c r="X61" s="14"/>
      <c r="Y61" s="14"/>
      <c r="Z61" s="15">
        <f t="shared" si="2"/>
        <v>0.37523846422060769</v>
      </c>
    </row>
    <row r="62" spans="2:26" x14ac:dyDescent="0.3">
      <c r="B62" s="6" t="s">
        <v>76</v>
      </c>
      <c r="C62" s="12" t="b">
        <v>1</v>
      </c>
      <c r="D62" s="12" t="b">
        <v>0</v>
      </c>
      <c r="E62" s="12" t="b">
        <v>1</v>
      </c>
      <c r="F62" s="12" t="b">
        <f t="shared" si="1"/>
        <v>0</v>
      </c>
      <c r="G62" s="7" t="b">
        <f>ABS(INDEX(טבלה5[[SPPR_1986]:[SPPR_symbolic_full_import_as_DC]],MATCH('השוואת פקטורים'!$B62,טבלה5[עמודה1],0),MATCH($C$4,טבלה5[[#Headers],[SPPR_1986]:[SPPR_symbolic_full_import_as_DC]],0))) &lt; 5</f>
        <v>1</v>
      </c>
      <c r="H62" s="7" t="b">
        <f>INDEX(טבלה3[[SPPR_1986]:[SPPR_symbolic_full_import_as_DC]],MATCH('השוואת פקטורים'!$B62,טבלה3[עמודה1],0),MATCH($C$4,טבלה3[[#Headers],[SPPR_1986]:[SPPR_symbolic_full_import_as_DC]],0))</f>
        <v>1</v>
      </c>
      <c r="I62" s="7" t="b">
        <f t="shared" si="3"/>
        <v>0</v>
      </c>
      <c r="J62" s="13"/>
      <c r="K62" s="9">
        <f>IF($B$4="סהכ",
INDEX(טבלה1[[SPPR_1986]:[SPPR_symbolic_full_import_as_DC]], MATCH('השוואת פקטורים'!$B62, 'PPRs all'!$A$2:$A$108, 0), MATCH('השוואת פקטורים'!K$6, טבלה1[[#Headers],[SPPR_1986]:[SPPR_symbolic_full_import_as_DC]], 0)) / INDEX(טבלה1[[SPPR_1986]:[SPPR_symbolic_full_import_as_DC]], MATCH('השוואת פקטורים'!$B62, 'PPRs all'!$A$2:$A$108, 0), MATCH('השוואת פקטורים'!J$6, טבלה1[[#Headers],[SPPR_1986]:[SPPR_symbolic_full_import_as_DC]], 0)),
INDEX(טבלה2[[SPPR_1986]:[SPPR_symbolic_full_import_as_DC]], MATCH('השוואת פקטורים'!$B62, 'PPRs inner'!$A$2:$A$108, 0), MATCH('השוואת פקטורים'!K$6, טבלה2[[#Headers],[SPPR_1986]:[SPPR_symbolic_full_import_as_DC]], 0)) / INDEX(טבלה2[[SPPR_1986]:[SPPR_symbolic_full_import_as_DC]], MATCH('השוואת פקטורים'!$B62, 'PPRs inner'!$A$2:$A$108, 0), MATCH('השוואת פקטורים'!J$6, טבלה2[[#Headers],[SPPR_1986]:[SPPR_symbolic_full_import_as_DC]], 0))
)</f>
        <v>2.2476610271303676</v>
      </c>
      <c r="L62" s="9">
        <f>IF($B$4="סהכ",
INDEX(טבלה1[[SPPR_1986]:[SPPR_symbolic_full_import_as_DC]], MATCH('השוואת פקטורים'!$B62, 'PPRs all'!$A$2:$A$108, 0), MATCH('השוואת פקטורים'!L$6, טבלה1[[#Headers],[SPPR_1986]:[SPPR_symbolic_full_import_as_DC]], 0)) / INDEX(טבלה1[[SPPR_1986]:[SPPR_symbolic_full_import_as_DC]], MATCH('השוואת פקטורים'!$B62, 'PPRs all'!$A$2:$A$108, 0), MATCH('השוואת פקטורים'!K$6, טבלה1[[#Headers],[SPPR_1986]:[SPPR_symbolic_full_import_as_DC]], 0)),
INDEX(טבלה2[[SPPR_1986]:[SPPR_symbolic_full_import_as_DC]], MATCH('השוואת פקטורים'!$B62, 'PPRs inner'!$A$2:$A$108, 0), MATCH('השוואת פקטורים'!L$6, טבלה2[[#Headers],[SPPR_1986]:[SPPR_symbolic_full_import_as_DC]], 0)) / INDEX(טבלה2[[SPPR_1986]:[SPPR_symbolic_full_import_as_DC]], MATCH('השוואת פקטורים'!$B62, 'PPRs inner'!$A$2:$A$108, 0), MATCH('השוואת פקטורים'!K$6, טבלה2[[#Headers],[SPPR_1986]:[SPPR_symbolic_full_import_as_DC]], 0))
)</f>
        <v>6.3912340326998436</v>
      </c>
      <c r="M62" s="9">
        <f>IF($B$4="סהכ",
INDEX(טבלה1[[SPPR_1986]:[SPPR_symbolic_full_import_as_DC]], MATCH('השוואת פקטורים'!$B62, 'PPRs all'!$A$2:$A$108, 0), MATCH('השוואת פקטורים'!M$6, טבלה1[[#Headers],[SPPR_1986]:[SPPR_symbolic_full_import_as_DC]], 0)) / INDEX(טבלה1[[SPPR_1986]:[SPPR_symbolic_full_import_as_DC]], MATCH('השוואת פקטורים'!$B62, 'PPRs all'!$A$2:$A$108, 0), MATCH('השוואת פקטורים'!L$6, טבלה1[[#Headers],[SPPR_1986]:[SPPR_symbolic_full_import_as_DC]], 0)),
INDEX(טבלה2[[SPPR_1986]:[SPPR_symbolic_full_import_as_DC]], MATCH('השוואת פקטורים'!$B62, 'PPRs inner'!$A$2:$A$108, 0), MATCH('השוואת פקטורים'!M$6, טבלה2[[#Headers],[SPPR_1986]:[SPPR_symbolic_full_import_as_DC]], 0)) / INDEX(טבלה2[[SPPR_1986]:[SPPR_symbolic_full_import_as_DC]], MATCH('השוואת פקטורים'!$B62, 'PPRs inner'!$A$2:$A$108, 0), MATCH('השוואת פקטורים'!L$6, טבלה2[[#Headers],[SPPR_1986]:[SPPR_symbolic_full_import_as_DC]], 0))
)</f>
        <v>1.5482815191007484</v>
      </c>
      <c r="N62" s="9">
        <f>IF($B$4="סהכ",
INDEX(טבלה1[[SPPR_1986]:[SPPR_symbolic_full_import_as_DC]], MATCH('השוואת פקטורים'!$B62, 'PPRs all'!$A$2:$A$108, 0), MATCH('השוואת פקטורים'!N$6, טבלה1[[#Headers],[SPPR_1986]:[SPPR_symbolic_full_import_as_DC]], 0)) / INDEX(טבלה1[[SPPR_1986]:[SPPR_symbolic_full_import_as_DC]], MATCH('השוואת פקטורים'!$B62, 'PPRs all'!$A$2:$A$108, 0), MATCH('השוואת פקטורים'!M$6, טבלה1[[#Headers],[SPPR_1986]:[SPPR_symbolic_full_import_as_DC]], 0)),
INDEX(טבלה2[[SPPR_1986]:[SPPR_symbolic_full_import_as_DC]], MATCH('השוואת פקטורים'!$B62, 'PPRs inner'!$A$2:$A$108, 0), MATCH('השוואת פקטורים'!N$6, טבלה2[[#Headers],[SPPR_1986]:[SPPR_symbolic_full_import_as_DC]], 0)) / INDEX(טבלה2[[SPPR_1986]:[SPPR_symbolic_full_import_as_DC]], MATCH('השוואת פקטורים'!$B62, 'PPRs inner'!$A$2:$A$108, 0), MATCH('השוואת פקטורים'!M$6, טבלה2[[#Headers],[SPPR_1986]:[SPPR_symbolic_full_import_as_DC]], 0))
)</f>
        <v>1.5464554362448539</v>
      </c>
      <c r="O62" s="9">
        <f>IF($B$4="סהכ",
INDEX(טבלה1[[SPPR_1986]:[SPPR_symbolic_full_import_as_DC]], MATCH('השוואת פקטורים'!$B62, 'PPRs all'!$A$2:$A$108, 0), MATCH('השוואת פקטורים'!O$6, טבלה1[[#Headers],[SPPR_1986]:[SPPR_symbolic_full_import_as_DC]], 0)) / INDEX(טבלה1[[SPPR_1986]:[SPPR_symbolic_full_import_as_DC]], MATCH('השוואת פקטורים'!$B62, 'PPRs all'!$A$2:$A$108, 0), MATCH('השוואת פקטורים'!N$6, טבלה1[[#Headers],[SPPR_1986]:[SPPR_symbolic_full_import_as_DC]], 0)),
INDEX(טבלה2[[SPPR_1986]:[SPPR_symbolic_full_import_as_DC]], MATCH('השוואת פקטורים'!$B62, 'PPRs inner'!$A$2:$A$108, 0), MATCH('השוואת פקטורים'!O$6, טבלה2[[#Headers],[SPPR_1986]:[SPPR_symbolic_full_import_as_DC]], 0)) / INDEX(טבלה2[[SPPR_1986]:[SPPR_symbolic_full_import_as_DC]], MATCH('השוואת פקטורים'!$B62, 'PPRs inner'!$A$2:$A$108, 0), MATCH('השוואת פקטורים'!N$6, טבלה2[[#Headers],[SPPR_1986]:[SPPR_symbolic_full_import_as_DC]], 0))
)</f>
        <v>0.99999999999999167</v>
      </c>
      <c r="P62" s="9">
        <f>IF($B$4="סהכ",
INDEX(טבלה1[[SPPR_1986]:[SPPR_symbolic_full_import_as_DC]], MATCH('השוואת פקטורים'!$B62, 'PPRs all'!$A$2:$A$108, 0), MATCH('השוואת פקטורים'!P$6, טבלה1[[#Headers],[SPPR_1986]:[SPPR_symbolic_full_import_as_DC]], 0)) / INDEX(טבלה1[[SPPR_1986]:[SPPR_symbolic_full_import_as_DC]], MATCH('השוואת פקטורים'!$B62, 'PPRs all'!$A$2:$A$108, 0), MATCH('השוואת פקטורים'!O$6, טבלה1[[#Headers],[SPPR_1986]:[SPPR_symbolic_full_import_as_DC]], 0)),
INDEX(טבלה2[[SPPR_1986]:[SPPR_symbolic_full_import_as_DC]], MATCH('השוואת פקטורים'!$B62, 'PPRs inner'!$A$2:$A$108, 0), MATCH('השוואת פקטורים'!P$6, טבלה2[[#Headers],[SPPR_1986]:[SPPR_symbolic_full_import_as_DC]], 0)) / INDEX(טבלה2[[SPPR_1986]:[SPPR_symbolic_full_import_as_DC]], MATCH('השוואת פקטורים'!$B62, 'PPRs inner'!$A$2:$A$108, 0), MATCH('השוואת פקטורים'!O$6, טבלה2[[#Headers],[SPPR_1986]:[SPPR_symbolic_full_import_as_DC]], 0))
)</f>
        <v>1.6639348612444673E-2</v>
      </c>
      <c r="Q62" s="9">
        <f>IF($B$4="סהכ",
INDEX(טבלה1[[SPPR_1986]:[SPPR_symbolic_full_import_as_DC]], MATCH('השוואת פקטורים'!$B62, 'PPRs all'!$A$2:$A$108, 0), MATCH('השוואת פקטורים'!Q$6, טבלה1[[#Headers],[SPPR_1986]:[SPPR_symbolic_full_import_as_DC]], 0)) / INDEX(טבלה1[[SPPR_1986]:[SPPR_symbolic_full_import_as_DC]], MATCH('השוואת פקטורים'!$B62, 'PPRs all'!$A$2:$A$108, 0), MATCH('השוואת פקטורים'!P$6, טבלה1[[#Headers],[SPPR_1986]:[SPPR_symbolic_full_import_as_DC]], 0)),
INDEX(טבלה2[[SPPR_1986]:[SPPR_symbolic_full_import_as_DC]], MATCH('השוואת פקטורים'!$B62, 'PPRs inner'!$A$2:$A$108, 0), MATCH('השוואת פקטורים'!Q$6, טבלה2[[#Headers],[SPPR_1986]:[SPPR_symbolic_full_import_as_DC]], 0)) / INDEX(טבלה2[[SPPR_1986]:[SPPR_symbolic_full_import_as_DC]], MATCH('השוואת פקטורים'!$B62, 'PPRs inner'!$A$2:$A$108, 0), MATCH('השוואת פקטורים'!P$6, טבלה2[[#Headers],[SPPR_1986]:[SPPR_symbolic_full_import_as_DC]], 0))
)</f>
        <v>1.0000000000000002</v>
      </c>
      <c r="R62" s="9">
        <f>IF($B$4="סהכ",
INDEX(טבלה1[[SPPR_1986]:[SPPR_symbolic_full_import_as_DC]], MATCH('השוואת פקטורים'!$B62, 'PPRs all'!$A$2:$A$108, 0), MATCH('השוואת פקטורים'!R$6, טבלה1[[#Headers],[SPPR_1986]:[SPPR_symbolic_full_import_as_DC]], 0)) / INDEX(טבלה1[[SPPR_1986]:[SPPR_symbolic_full_import_as_DC]], MATCH('השוואת פקטורים'!$B62, 'PPRs all'!$A$2:$A$108, 0), MATCH('השוואת פקטורים'!Q$6, טבלה1[[#Headers],[SPPR_1986]:[SPPR_symbolic_full_import_as_DC]], 0)),
INDEX(טבלה2[[SPPR_1986]:[SPPR_symbolic_full_import_as_DC]], MATCH('השוואת פקטורים'!$B62, 'PPRs inner'!$A$2:$A$108, 0), MATCH('השוואת פקטורים'!R$6, טבלה2[[#Headers],[SPPR_1986]:[SPPR_symbolic_full_import_as_DC]], 0)) / INDEX(טבלה2[[SPPR_1986]:[SPPR_symbolic_full_import_as_DC]], MATCH('השוואת פקטורים'!$B62, 'PPRs inner'!$A$2:$A$108, 0), MATCH('השוואת פקטורים'!Q$6, טבלה2[[#Headers],[SPPR_1986]:[SPPR_symbolic_full_import_as_DC]], 0))
)</f>
        <v>1</v>
      </c>
      <c r="S62" s="9">
        <f>IF($B$4="סהכ",
INDEX(טבלה1[[SPPR_1986]:[SPPR_symbolic_full_import_as_DC]], MATCH('השוואת פקטורים'!$B62, 'PPRs all'!$A$2:$A$108, 0), MATCH('השוואת פקטורים'!S$6, טבלה1[[#Headers],[SPPR_1986]:[SPPR_symbolic_full_import_as_DC]], 0)) / INDEX(טבלה1[[SPPR_1986]:[SPPR_symbolic_full_import_as_DC]], MATCH('השוואת פקטורים'!$B62, 'PPRs all'!$A$2:$A$108, 0), MATCH('השוואת פקטורים'!R$6, טבלה1[[#Headers],[SPPR_1986]:[SPPR_symbolic_full_import_as_DC]], 0)),
INDEX(טבלה2[[SPPR_1986]:[SPPR_symbolic_full_import_as_DC]], MATCH('השוואת פקטורים'!$B62, 'PPRs inner'!$A$2:$A$108, 0), MATCH('השוואת פקטורים'!S$6, טבלה2[[#Headers],[SPPR_1986]:[SPPR_symbolic_full_import_as_DC]], 0)) / INDEX(טבלה2[[SPPR_1986]:[SPPR_symbolic_full_import_as_DC]], MATCH('השוואת פקטורים'!$B62, 'PPRs inner'!$A$2:$A$108, 0), MATCH('השוואת פקטורים'!R$6, טבלה2[[#Headers],[SPPR_1986]:[SPPR_symbolic_full_import_as_DC]], 0))
)</f>
        <v>1</v>
      </c>
      <c r="T62" s="9">
        <f>IF($B$4="סהכ",
INDEX(טבלה1[[SPPR_1986]:[SPPR_symbolic_full_import_as_DC]], MATCH('השוואת פקטורים'!$B62, 'PPRs all'!$A$2:$A$108, 0), MATCH('השוואת פקטורים'!T$6, טבלה1[[#Headers],[SPPR_1986]:[SPPR_symbolic_full_import_as_DC]], 0)) / INDEX(טבלה1[[SPPR_1986]:[SPPR_symbolic_full_import_as_DC]], MATCH('השוואת פקטורים'!$B62, 'PPRs all'!$A$2:$A$108, 0), MATCH('השוואת פקטורים'!S$6, טבלה1[[#Headers],[SPPR_1986]:[SPPR_symbolic_full_import_as_DC]], 0)),
INDEX(טבלה2[[SPPR_1986]:[SPPR_symbolic_full_import_as_DC]], MATCH('השוואת פקטורים'!$B62, 'PPRs inner'!$A$2:$A$108, 0), MATCH('השוואת פקטורים'!T$6, טבלה2[[#Headers],[SPPR_1986]:[SPPR_symbolic_full_import_as_DC]], 0)) / INDEX(טבלה2[[SPPR_1986]:[SPPR_symbolic_full_import_as_DC]], MATCH('השוואת פקטורים'!$B62, 'PPRs inner'!$A$2:$A$108, 0), MATCH('השוואת פקטורים'!S$6, טבלה2[[#Headers],[SPPR_1986]:[SPPR_symbolic_full_import_as_DC]], 0))
)</f>
        <v>1</v>
      </c>
      <c r="U62" s="9">
        <f>IF($B$4="סהכ",
INDEX(טבלה1[[SPPR_1986]:[SPPR_symbolic_full_import_as_DC]], MATCH('השוואת פקטורים'!$B62, 'PPRs all'!$A$2:$A$108, 0), MATCH('השוואת פקטורים'!U$6, טבלה1[[#Headers],[SPPR_1986]:[SPPR_symbolic_full_import_as_DC]], 0)) / INDEX(טבלה1[[SPPR_1986]:[SPPR_symbolic_full_import_as_DC]], MATCH('השוואת פקטורים'!$B62, 'PPRs all'!$A$2:$A$108, 0), MATCH('השוואת פקטורים'!T$6, טבלה1[[#Headers],[SPPR_1986]:[SPPR_symbolic_full_import_as_DC]], 0)),
INDEX(טבלה2[[SPPR_1986]:[SPPR_symbolic_full_import_as_DC]], MATCH('השוואת פקטורים'!$B62, 'PPRs inner'!$A$2:$A$108, 0), MATCH('השוואת פקטורים'!U$6, טבלה2[[#Headers],[SPPR_1986]:[SPPR_symbolic_full_import_as_DC]], 0)) / INDEX(טבלה2[[SPPR_1986]:[SPPR_symbolic_full_import_as_DC]], MATCH('השוואת פקטורים'!$B62, 'PPRs inner'!$A$2:$A$108, 0), MATCH('השוואת פקטורים'!T$6, טבלה2[[#Headers],[SPPR_1986]:[SPPR_symbolic_full_import_as_DC]], 0))
)</f>
        <v>0.99999999999999989</v>
      </c>
      <c r="V62" s="9"/>
      <c r="W62" s="9"/>
      <c r="X62" s="14"/>
      <c r="Y62" s="14"/>
      <c r="Z62" s="15">
        <f t="shared" si="2"/>
        <v>0.57232036040021084</v>
      </c>
    </row>
    <row r="63" spans="2:26" x14ac:dyDescent="0.3">
      <c r="B63" s="6" t="s">
        <v>77</v>
      </c>
      <c r="C63" s="12" t="b">
        <v>1</v>
      </c>
      <c r="D63" s="12" t="b">
        <v>0</v>
      </c>
      <c r="E63" s="12" t="b">
        <v>1</v>
      </c>
      <c r="F63" s="12" t="b">
        <f t="shared" si="1"/>
        <v>0</v>
      </c>
      <c r="G63" s="7" t="b">
        <f>ABS(INDEX(טבלה5[[SPPR_1986]:[SPPR_symbolic_full_import_as_DC]],MATCH('השוואת פקטורים'!$B63,טבלה5[עמודה1],0),MATCH($C$4,טבלה5[[#Headers],[SPPR_1986]:[SPPR_symbolic_full_import_as_DC]],0))) &lt; 5</f>
        <v>1</v>
      </c>
      <c r="H63" s="7" t="b">
        <f>INDEX(טבלה3[[SPPR_1986]:[SPPR_symbolic_full_import_as_DC]],MATCH('השוואת פקטורים'!$B63,טבלה3[עמודה1],0),MATCH($C$4,טבלה3[[#Headers],[SPPR_1986]:[SPPR_symbolic_full_import_as_DC]],0))</f>
        <v>1</v>
      </c>
      <c r="I63" s="7" t="b">
        <f t="shared" si="3"/>
        <v>0</v>
      </c>
      <c r="J63" s="13"/>
      <c r="K63" s="9">
        <f>IF($B$4="סהכ",
INDEX(טבלה1[[SPPR_1986]:[SPPR_symbolic_full_import_as_DC]], MATCH('השוואת פקטורים'!$B63, 'PPRs all'!$A$2:$A$108, 0), MATCH('השוואת פקטורים'!K$6, טבלה1[[#Headers],[SPPR_1986]:[SPPR_symbolic_full_import_as_DC]], 0)) / INDEX(טבלה1[[SPPR_1986]:[SPPR_symbolic_full_import_as_DC]], MATCH('השוואת פקטורים'!$B63, 'PPRs all'!$A$2:$A$108, 0), MATCH('השוואת פקטורים'!J$6, טבלה1[[#Headers],[SPPR_1986]:[SPPR_symbolic_full_import_as_DC]], 0)),
INDEX(טבלה2[[SPPR_1986]:[SPPR_symbolic_full_import_as_DC]], MATCH('השוואת פקטורים'!$B63, 'PPRs inner'!$A$2:$A$108, 0), MATCH('השוואת פקטורים'!K$6, טבלה2[[#Headers],[SPPR_1986]:[SPPR_symbolic_full_import_as_DC]], 0)) / INDEX(טבלה2[[SPPR_1986]:[SPPR_symbolic_full_import_as_DC]], MATCH('השוואת פקטורים'!$B63, 'PPRs inner'!$A$2:$A$108, 0), MATCH('השוואת פקטורים'!J$6, טבלה2[[#Headers],[SPPR_1986]:[SPPR_symbolic_full_import_as_DC]], 0))
)</f>
        <v>0.55591835295914305</v>
      </c>
      <c r="L63" s="9">
        <f>IF($B$4="סהכ",
INDEX(טבלה1[[SPPR_1986]:[SPPR_symbolic_full_import_as_DC]], MATCH('השוואת פקטורים'!$B63, 'PPRs all'!$A$2:$A$108, 0), MATCH('השוואת פקטורים'!L$6, טבלה1[[#Headers],[SPPR_1986]:[SPPR_symbolic_full_import_as_DC]], 0)) / INDEX(טבלה1[[SPPR_1986]:[SPPR_symbolic_full_import_as_DC]], MATCH('השוואת פקטורים'!$B63, 'PPRs all'!$A$2:$A$108, 0), MATCH('השוואת פקטורים'!K$6, טבלה1[[#Headers],[SPPR_1986]:[SPPR_symbolic_full_import_as_DC]], 0)),
INDEX(טבלה2[[SPPR_1986]:[SPPR_symbolic_full_import_as_DC]], MATCH('השוואת פקטורים'!$B63, 'PPRs inner'!$A$2:$A$108, 0), MATCH('השוואת פקטורים'!L$6, טבלה2[[#Headers],[SPPR_1986]:[SPPR_symbolic_full_import_as_DC]], 0)) / INDEX(טבלה2[[SPPR_1986]:[SPPR_symbolic_full_import_as_DC]], MATCH('השוואת פקטורים'!$B63, 'PPRs inner'!$A$2:$A$108, 0), MATCH('השוואת פקטורים'!K$6, טבלה2[[#Headers],[SPPR_1986]:[SPPR_symbolic_full_import_as_DC]], 0))
)</f>
        <v>5.5556656131247086</v>
      </c>
      <c r="M63" s="9">
        <f>IF($B$4="סהכ",
INDEX(טבלה1[[SPPR_1986]:[SPPR_symbolic_full_import_as_DC]], MATCH('השוואת פקטורים'!$B63, 'PPRs all'!$A$2:$A$108, 0), MATCH('השוואת פקטורים'!M$6, טבלה1[[#Headers],[SPPR_1986]:[SPPR_symbolic_full_import_as_DC]], 0)) / INDEX(טבלה1[[SPPR_1986]:[SPPR_symbolic_full_import_as_DC]], MATCH('השוואת פקטורים'!$B63, 'PPRs all'!$A$2:$A$108, 0), MATCH('השוואת פקטורים'!L$6, טבלה1[[#Headers],[SPPR_1986]:[SPPR_symbolic_full_import_as_DC]], 0)),
INDEX(טבלה2[[SPPR_1986]:[SPPR_symbolic_full_import_as_DC]], MATCH('השוואת פקטורים'!$B63, 'PPRs inner'!$A$2:$A$108, 0), MATCH('השוואת פקטורים'!M$6, טבלה2[[#Headers],[SPPR_1986]:[SPPR_symbolic_full_import_as_DC]], 0)) / INDEX(טבלה2[[SPPR_1986]:[SPPR_symbolic_full_import_as_DC]], MATCH('השוואת פקטורים'!$B63, 'PPRs inner'!$A$2:$A$108, 0), MATCH('השוואת פקטורים'!L$6, טבלה2[[#Headers],[SPPR_1986]:[SPPR_symbolic_full_import_as_DC]], 0))
)</f>
        <v>0.44761237587778602</v>
      </c>
      <c r="N63" s="9">
        <f>IF($B$4="סהכ",
INDEX(טבלה1[[SPPR_1986]:[SPPR_symbolic_full_import_as_DC]], MATCH('השוואת פקטורים'!$B63, 'PPRs all'!$A$2:$A$108, 0), MATCH('השוואת פקטורים'!N$6, טבלה1[[#Headers],[SPPR_1986]:[SPPR_symbolic_full_import_as_DC]], 0)) / INDEX(טבלה1[[SPPR_1986]:[SPPR_symbolic_full_import_as_DC]], MATCH('השוואת פקטורים'!$B63, 'PPRs all'!$A$2:$A$108, 0), MATCH('השוואת פקטורים'!M$6, טבלה1[[#Headers],[SPPR_1986]:[SPPR_symbolic_full_import_as_DC]], 0)),
INDEX(טבלה2[[SPPR_1986]:[SPPR_symbolic_full_import_as_DC]], MATCH('השוואת פקטורים'!$B63, 'PPRs inner'!$A$2:$A$108, 0), MATCH('השוואת פקטורים'!N$6, טבלה2[[#Headers],[SPPR_1986]:[SPPR_symbolic_full_import_as_DC]], 0)) / INDEX(טבלה2[[SPPR_1986]:[SPPR_symbolic_full_import_as_DC]], MATCH('השוואת פקטורים'!$B63, 'PPRs inner'!$A$2:$A$108, 0), MATCH('השוואת פקטורים'!M$6, טבלה2[[#Headers],[SPPR_1986]:[SPPR_symbolic_full_import_as_DC]], 0))
)</f>
        <v>1.666731459192909</v>
      </c>
      <c r="O63" s="9">
        <f>IF($B$4="סהכ",
INDEX(טבלה1[[SPPR_1986]:[SPPR_symbolic_full_import_as_DC]], MATCH('השוואת פקטורים'!$B63, 'PPRs all'!$A$2:$A$108, 0), MATCH('השוואת פקטורים'!O$6, טבלה1[[#Headers],[SPPR_1986]:[SPPR_symbolic_full_import_as_DC]], 0)) / INDEX(טבלה1[[SPPR_1986]:[SPPR_symbolic_full_import_as_DC]], MATCH('השוואת פקטורים'!$B63, 'PPRs all'!$A$2:$A$108, 0), MATCH('השוואת פקטורים'!N$6, טבלה1[[#Headers],[SPPR_1986]:[SPPR_symbolic_full_import_as_DC]], 0)),
INDEX(טבלה2[[SPPR_1986]:[SPPR_symbolic_full_import_as_DC]], MATCH('השוואת פקטורים'!$B63, 'PPRs inner'!$A$2:$A$108, 0), MATCH('השוואת פקטורים'!O$6, טבלה2[[#Headers],[SPPR_1986]:[SPPR_symbolic_full_import_as_DC]], 0)) / INDEX(טבלה2[[SPPR_1986]:[SPPR_symbolic_full_import_as_DC]], MATCH('השוואת פקטורים'!$B63, 'PPRs inner'!$A$2:$A$108, 0), MATCH('השוואת פקטורים'!N$6, טבלה2[[#Headers],[SPPR_1986]:[SPPR_symbolic_full_import_as_DC]], 0))
)</f>
        <v>1.0000000000003133</v>
      </c>
      <c r="P63" s="9">
        <f>IF($B$4="סהכ",
INDEX(טבלה1[[SPPR_1986]:[SPPR_symbolic_full_import_as_DC]], MATCH('השוואת פקטורים'!$B63, 'PPRs all'!$A$2:$A$108, 0), MATCH('השוואת פקטורים'!P$6, טבלה1[[#Headers],[SPPR_1986]:[SPPR_symbolic_full_import_as_DC]], 0)) / INDEX(טבלה1[[SPPR_1986]:[SPPR_symbolic_full_import_as_DC]], MATCH('השוואת פקטורים'!$B63, 'PPRs all'!$A$2:$A$108, 0), MATCH('השוואת פקטורים'!O$6, טבלה1[[#Headers],[SPPR_1986]:[SPPR_symbolic_full_import_as_DC]], 0)),
INDEX(טבלה2[[SPPR_1986]:[SPPR_symbolic_full_import_as_DC]], MATCH('השוואת פקטורים'!$B63, 'PPRs inner'!$A$2:$A$108, 0), MATCH('השוואת פקטורים'!P$6, טבלה2[[#Headers],[SPPR_1986]:[SPPR_symbolic_full_import_as_DC]], 0)) / INDEX(טבלה2[[SPPR_1986]:[SPPR_symbolic_full_import_as_DC]], MATCH('השוואת פקטורים'!$B63, 'PPRs inner'!$A$2:$A$108, 0), MATCH('השוואת פקטורים'!O$6, טבלה2[[#Headers],[SPPR_1986]:[SPPR_symbolic_full_import_as_DC]], 0))
)</f>
        <v>0.57625731294408944</v>
      </c>
      <c r="Q63" s="9">
        <f>IF($B$4="סהכ",
INDEX(טבלה1[[SPPR_1986]:[SPPR_symbolic_full_import_as_DC]], MATCH('השוואת פקטורים'!$B63, 'PPRs all'!$A$2:$A$108, 0), MATCH('השוואת פקטורים'!Q$6, טבלה1[[#Headers],[SPPR_1986]:[SPPR_symbolic_full_import_as_DC]], 0)) / INDEX(טבלה1[[SPPR_1986]:[SPPR_symbolic_full_import_as_DC]], MATCH('השוואת פקטורים'!$B63, 'PPRs all'!$A$2:$A$108, 0), MATCH('השוואת פקטורים'!P$6, טבלה1[[#Headers],[SPPR_1986]:[SPPR_symbolic_full_import_as_DC]], 0)),
INDEX(טבלה2[[SPPR_1986]:[SPPR_symbolic_full_import_as_DC]], MATCH('השוואת פקטורים'!$B63, 'PPRs inner'!$A$2:$A$108, 0), MATCH('השוואת פקטורים'!Q$6, טבלה2[[#Headers],[SPPR_1986]:[SPPR_symbolic_full_import_as_DC]], 0)) / INDEX(טבלה2[[SPPR_1986]:[SPPR_symbolic_full_import_as_DC]], MATCH('השוואת פקטורים'!$B63, 'PPRs inner'!$A$2:$A$108, 0), MATCH('השוואת פקטורים'!P$6, טבלה2[[#Headers],[SPPR_1986]:[SPPR_symbolic_full_import_as_DC]], 0))
)</f>
        <v>1</v>
      </c>
      <c r="R63" s="9">
        <f>IF($B$4="סהכ",
INDEX(טבלה1[[SPPR_1986]:[SPPR_symbolic_full_import_as_DC]], MATCH('השוואת פקטורים'!$B63, 'PPRs all'!$A$2:$A$108, 0), MATCH('השוואת פקטורים'!R$6, טבלה1[[#Headers],[SPPR_1986]:[SPPR_symbolic_full_import_as_DC]], 0)) / INDEX(טבלה1[[SPPR_1986]:[SPPR_symbolic_full_import_as_DC]], MATCH('השוואת פקטורים'!$B63, 'PPRs all'!$A$2:$A$108, 0), MATCH('השוואת פקטורים'!Q$6, טבלה1[[#Headers],[SPPR_1986]:[SPPR_symbolic_full_import_as_DC]], 0)),
INDEX(טבלה2[[SPPR_1986]:[SPPR_symbolic_full_import_as_DC]], MATCH('השוואת פקטורים'!$B63, 'PPRs inner'!$A$2:$A$108, 0), MATCH('השוואת פקטורים'!R$6, טבלה2[[#Headers],[SPPR_1986]:[SPPR_symbolic_full_import_as_DC]], 0)) / INDEX(טבלה2[[SPPR_1986]:[SPPR_symbolic_full_import_as_DC]], MATCH('השוואת פקטורים'!$B63, 'PPRs inner'!$A$2:$A$108, 0), MATCH('השוואת פקטורים'!Q$6, טבלה2[[#Headers],[SPPR_1986]:[SPPR_symbolic_full_import_as_DC]], 0))
)</f>
        <v>1.0140791149821635</v>
      </c>
      <c r="S63" s="9">
        <f>IF($B$4="סהכ",
INDEX(טבלה1[[SPPR_1986]:[SPPR_symbolic_full_import_as_DC]], MATCH('השוואת פקטורים'!$B63, 'PPRs all'!$A$2:$A$108, 0), MATCH('השוואת פקטורים'!S$6, טבלה1[[#Headers],[SPPR_1986]:[SPPR_symbolic_full_import_as_DC]], 0)) / INDEX(טבלה1[[SPPR_1986]:[SPPR_symbolic_full_import_as_DC]], MATCH('השוואת פקטורים'!$B63, 'PPRs all'!$A$2:$A$108, 0), MATCH('השוואת פקטורים'!R$6, טבלה1[[#Headers],[SPPR_1986]:[SPPR_symbolic_full_import_as_DC]], 0)),
INDEX(טבלה2[[SPPR_1986]:[SPPR_symbolic_full_import_as_DC]], MATCH('השוואת פקטורים'!$B63, 'PPRs inner'!$A$2:$A$108, 0), MATCH('השוואת פקטורים'!S$6, טבלה2[[#Headers],[SPPR_1986]:[SPPR_symbolic_full_import_as_DC]], 0)) / INDEX(טבלה2[[SPPR_1986]:[SPPR_symbolic_full_import_as_DC]], MATCH('השוואת פקטורים'!$B63, 'PPRs inner'!$A$2:$A$108, 0), MATCH('השוואת פקטורים'!R$6, טבלה2[[#Headers],[SPPR_1986]:[SPPR_symbolic_full_import_as_DC]], 0))
)</f>
        <v>0.98611635445976908</v>
      </c>
      <c r="T63" s="9">
        <f>IF($B$4="סהכ",
INDEX(טבלה1[[SPPR_1986]:[SPPR_symbolic_full_import_as_DC]], MATCH('השוואת פקטורים'!$B63, 'PPRs all'!$A$2:$A$108, 0), MATCH('השוואת פקטורים'!T$6, טבלה1[[#Headers],[SPPR_1986]:[SPPR_symbolic_full_import_as_DC]], 0)) / INDEX(טבלה1[[SPPR_1986]:[SPPR_symbolic_full_import_as_DC]], MATCH('השוואת פקטורים'!$B63, 'PPRs all'!$A$2:$A$108, 0), MATCH('השוואת פקטורים'!S$6, טבלה1[[#Headers],[SPPR_1986]:[SPPR_symbolic_full_import_as_DC]], 0)),
INDEX(טבלה2[[SPPR_1986]:[SPPR_symbolic_full_import_as_DC]], MATCH('השוואת פקטורים'!$B63, 'PPRs inner'!$A$2:$A$108, 0), MATCH('השוואת פקטורים'!T$6, טבלה2[[#Headers],[SPPR_1986]:[SPPR_symbolic_full_import_as_DC]], 0)) / INDEX(טבלה2[[SPPR_1986]:[SPPR_symbolic_full_import_as_DC]], MATCH('השוואת פקטורים'!$B63, 'PPRs inner'!$A$2:$A$108, 0), MATCH('השוואת פקטורים'!S$6, טבלה2[[#Headers],[SPPR_1986]:[SPPR_symbolic_full_import_as_DC]], 0))
)</f>
        <v>1.0140791149821635</v>
      </c>
      <c r="U63" s="9">
        <f>IF($B$4="סהכ",
INDEX(טבלה1[[SPPR_1986]:[SPPR_symbolic_full_import_as_DC]], MATCH('השוואת פקטורים'!$B63, 'PPRs all'!$A$2:$A$108, 0), MATCH('השוואת פקטורים'!U$6, טבלה1[[#Headers],[SPPR_1986]:[SPPR_symbolic_full_import_as_DC]], 0)) / INDEX(טבלה1[[SPPR_1986]:[SPPR_symbolic_full_import_as_DC]], MATCH('השוואת פקטורים'!$B63, 'PPRs all'!$A$2:$A$108, 0), MATCH('השוואת פקטורים'!T$6, טבלה1[[#Headers],[SPPR_1986]:[SPPR_symbolic_full_import_as_DC]], 0)),
INDEX(טבלה2[[SPPR_1986]:[SPPR_symbolic_full_import_as_DC]], MATCH('השוואת פקטורים'!$B63, 'PPRs inner'!$A$2:$A$108, 0), MATCH('השוואת פקטורים'!U$6, טבלה2[[#Headers],[SPPR_1986]:[SPPR_symbolic_full_import_as_DC]], 0)) / INDEX(טבלה2[[SPPR_1986]:[SPPR_symbolic_full_import_as_DC]], MATCH('השוואת פקטורים'!$B63, 'PPRs inner'!$A$2:$A$108, 0), MATCH('השוואת פקטורים'!T$6, טבלה2[[#Headers],[SPPR_1986]:[SPPR_symbolic_full_import_as_DC]], 0))
)</f>
        <v>0.98611635445976908</v>
      </c>
      <c r="V63" s="9"/>
      <c r="W63" s="9"/>
      <c r="X63" s="14"/>
      <c r="Y63" s="14"/>
      <c r="Z63" s="15">
        <f t="shared" si="2"/>
        <v>1.3277957631063657</v>
      </c>
    </row>
    <row r="64" spans="2:26" x14ac:dyDescent="0.3">
      <c r="B64" s="6" t="s">
        <v>78</v>
      </c>
      <c r="C64" s="12" t="b">
        <v>1</v>
      </c>
      <c r="D64" s="12" t="b">
        <v>0</v>
      </c>
      <c r="E64" s="12" t="b">
        <v>1</v>
      </c>
      <c r="F64" s="12" t="b">
        <f t="shared" si="1"/>
        <v>0</v>
      </c>
      <c r="G64" s="7" t="b">
        <f>ABS(INDEX(טבלה5[[SPPR_1986]:[SPPR_symbolic_full_import_as_DC]],MATCH('השוואת פקטורים'!$B64,טבלה5[עמודה1],0),MATCH($C$4,טבלה5[[#Headers],[SPPR_1986]:[SPPR_symbolic_full_import_as_DC]],0))) &lt; 5</f>
        <v>1</v>
      </c>
      <c r="H64" s="7" t="b">
        <f>INDEX(טבלה3[[SPPR_1986]:[SPPR_symbolic_full_import_as_DC]],MATCH('השוואת פקטורים'!$B64,טבלה3[עמודה1],0),MATCH($C$4,טבלה3[[#Headers],[SPPR_1986]:[SPPR_symbolic_full_import_as_DC]],0))</f>
        <v>1</v>
      </c>
      <c r="I64" s="7" t="b">
        <f t="shared" si="3"/>
        <v>0</v>
      </c>
      <c r="J64" s="13"/>
      <c r="K64" s="9">
        <f>IF($B$4="סהכ",
INDEX(טבלה1[[SPPR_1986]:[SPPR_symbolic_full_import_as_DC]], MATCH('השוואת פקטורים'!$B64, 'PPRs all'!$A$2:$A$108, 0), MATCH('השוואת פקטורים'!K$6, טבלה1[[#Headers],[SPPR_1986]:[SPPR_symbolic_full_import_as_DC]], 0)) / INDEX(טבלה1[[SPPR_1986]:[SPPR_symbolic_full_import_as_DC]], MATCH('השוואת פקטורים'!$B64, 'PPRs all'!$A$2:$A$108, 0), MATCH('השוואת פקטורים'!J$6, טבלה1[[#Headers],[SPPR_1986]:[SPPR_symbolic_full_import_as_DC]], 0)),
INDEX(טבלה2[[SPPR_1986]:[SPPR_symbolic_full_import_as_DC]], MATCH('השוואת פקטורים'!$B64, 'PPRs inner'!$A$2:$A$108, 0), MATCH('השוואת פקטורים'!K$6, טבלה2[[#Headers],[SPPR_1986]:[SPPR_symbolic_full_import_as_DC]], 0)) / INDEX(טבלה2[[SPPR_1986]:[SPPR_symbolic_full_import_as_DC]], MATCH('השוואת פקטורים'!$B64, 'PPRs inner'!$A$2:$A$108, 0), MATCH('השוואת פקטורים'!J$6, טבלה2[[#Headers],[SPPR_1986]:[SPPR_symbolic_full_import_as_DC]], 0))
)</f>
        <v>0.27654104373892063</v>
      </c>
      <c r="L64" s="9">
        <f>IF($B$4="סהכ",
INDEX(טבלה1[[SPPR_1986]:[SPPR_symbolic_full_import_as_DC]], MATCH('השוואת פקטורים'!$B64, 'PPRs all'!$A$2:$A$108, 0), MATCH('השוואת פקטורים'!L$6, טבלה1[[#Headers],[SPPR_1986]:[SPPR_symbolic_full_import_as_DC]], 0)) / INDEX(טבלה1[[SPPR_1986]:[SPPR_symbolic_full_import_as_DC]], MATCH('השוואת פקטורים'!$B64, 'PPRs all'!$A$2:$A$108, 0), MATCH('השוואת פקטורים'!K$6, טבלה1[[#Headers],[SPPR_1986]:[SPPR_symbolic_full_import_as_DC]], 0)),
INDEX(טבלה2[[SPPR_1986]:[SPPR_symbolic_full_import_as_DC]], MATCH('השוואת פקטורים'!$B64, 'PPRs inner'!$A$2:$A$108, 0), MATCH('השוואת פקטורים'!L$6, טבלה2[[#Headers],[SPPR_1986]:[SPPR_symbolic_full_import_as_DC]], 0)) / INDEX(טבלה2[[SPPR_1986]:[SPPR_symbolic_full_import_as_DC]], MATCH('השוואת פקטורים'!$B64, 'PPRs inner'!$A$2:$A$108, 0), MATCH('השוואת פקטורים'!K$6, טבלה2[[#Headers],[SPPR_1986]:[SPPR_symbolic_full_import_as_DC]], 0))
)</f>
        <v>2.1594315358674403</v>
      </c>
      <c r="M64" s="9">
        <f>IF($B$4="סהכ",
INDEX(טבלה1[[SPPR_1986]:[SPPR_symbolic_full_import_as_DC]], MATCH('השוואת פקטורים'!$B64, 'PPRs all'!$A$2:$A$108, 0), MATCH('השוואת פקטורים'!M$6, טבלה1[[#Headers],[SPPR_1986]:[SPPR_symbolic_full_import_as_DC]], 0)) / INDEX(טבלה1[[SPPR_1986]:[SPPR_symbolic_full_import_as_DC]], MATCH('השוואת פקטורים'!$B64, 'PPRs all'!$A$2:$A$108, 0), MATCH('השוואת פקטורים'!L$6, טבלה1[[#Headers],[SPPR_1986]:[SPPR_symbolic_full_import_as_DC]], 0)),
INDEX(טבלה2[[SPPR_1986]:[SPPR_symbolic_full_import_as_DC]], MATCH('השוואת פקטורים'!$B64, 'PPRs inner'!$A$2:$A$108, 0), MATCH('השוואת פקטורים'!M$6, טבלה2[[#Headers],[SPPR_1986]:[SPPR_symbolic_full_import_as_DC]], 0)) / INDEX(טבלה2[[SPPR_1986]:[SPPR_symbolic_full_import_as_DC]], MATCH('השוואת פקטורים'!$B64, 'PPRs inner'!$A$2:$A$108, 0), MATCH('השוואת פקטורים'!L$6, טבלה2[[#Headers],[SPPR_1986]:[SPPR_symbolic_full_import_as_DC]], 0))
)</f>
        <v>1.1707758902488612</v>
      </c>
      <c r="N64" s="9">
        <f>IF($B$4="סהכ",
INDEX(טבלה1[[SPPR_1986]:[SPPR_symbolic_full_import_as_DC]], MATCH('השוואת פקטורים'!$B64, 'PPRs all'!$A$2:$A$108, 0), MATCH('השוואת פקטורים'!N$6, טבלה1[[#Headers],[SPPR_1986]:[SPPR_symbolic_full_import_as_DC]], 0)) / INDEX(טבלה1[[SPPR_1986]:[SPPR_symbolic_full_import_as_DC]], MATCH('השוואת פקטורים'!$B64, 'PPRs all'!$A$2:$A$108, 0), MATCH('השוואת פקטורים'!M$6, טבלה1[[#Headers],[SPPR_1986]:[SPPR_symbolic_full_import_as_DC]], 0)),
INDEX(טבלה2[[SPPR_1986]:[SPPR_symbolic_full_import_as_DC]], MATCH('השוואת פקטורים'!$B64, 'PPRs inner'!$A$2:$A$108, 0), MATCH('השוואת פקטורים'!N$6, טבלה2[[#Headers],[SPPR_1986]:[SPPR_symbolic_full_import_as_DC]], 0)) / INDEX(טבלה2[[SPPR_1986]:[SPPR_symbolic_full_import_as_DC]], MATCH('השוואת פקטורים'!$B64, 'PPRs inner'!$A$2:$A$108, 0), MATCH('השוואת פקטורים'!M$6, טבלה2[[#Headers],[SPPR_1986]:[SPPR_symbolic_full_import_as_DC]], 0))
)</f>
        <v>28.564437531288188</v>
      </c>
      <c r="O64" s="9">
        <f>IF($B$4="סהכ",
INDEX(טבלה1[[SPPR_1986]:[SPPR_symbolic_full_import_as_DC]], MATCH('השוואת פקטורים'!$B64, 'PPRs all'!$A$2:$A$108, 0), MATCH('השוואת פקטורים'!O$6, טבלה1[[#Headers],[SPPR_1986]:[SPPR_symbolic_full_import_as_DC]], 0)) / INDEX(טבלה1[[SPPR_1986]:[SPPR_symbolic_full_import_as_DC]], MATCH('השוואת פקטורים'!$B64, 'PPRs all'!$A$2:$A$108, 0), MATCH('השוואת פקטורים'!N$6, טבלה1[[#Headers],[SPPR_1986]:[SPPR_symbolic_full_import_as_DC]], 0)),
INDEX(טבלה2[[SPPR_1986]:[SPPR_symbolic_full_import_as_DC]], MATCH('השוואת פקטורים'!$B64, 'PPRs inner'!$A$2:$A$108, 0), MATCH('השוואת פקטורים'!O$6, טבלה2[[#Headers],[SPPR_1986]:[SPPR_symbolic_full_import_as_DC]], 0)) / INDEX(טבלה2[[SPPR_1986]:[SPPR_symbolic_full_import_as_DC]], MATCH('השוואת פקטורים'!$B64, 'PPRs inner'!$A$2:$A$108, 0), MATCH('השוואת פקטורים'!N$6, טבלה2[[#Headers],[SPPR_1986]:[SPPR_symbolic_full_import_as_DC]], 0))
)</f>
        <v>1</v>
      </c>
      <c r="P64" s="9">
        <f>IF($B$4="סהכ",
INDEX(טבלה1[[SPPR_1986]:[SPPR_symbolic_full_import_as_DC]], MATCH('השוואת פקטורים'!$B64, 'PPRs all'!$A$2:$A$108, 0), MATCH('השוואת פקטורים'!P$6, טבלה1[[#Headers],[SPPR_1986]:[SPPR_symbolic_full_import_as_DC]], 0)) / INDEX(טבלה1[[SPPR_1986]:[SPPR_symbolic_full_import_as_DC]], MATCH('השוואת פקטורים'!$B64, 'PPRs all'!$A$2:$A$108, 0), MATCH('השוואת פקטורים'!O$6, טבלה1[[#Headers],[SPPR_1986]:[SPPR_symbolic_full_import_as_DC]], 0)),
INDEX(טבלה2[[SPPR_1986]:[SPPR_symbolic_full_import_as_DC]], MATCH('השוואת פקטורים'!$B64, 'PPRs inner'!$A$2:$A$108, 0), MATCH('השוואת פקטורים'!P$6, טבלה2[[#Headers],[SPPR_1986]:[SPPR_symbolic_full_import_as_DC]], 0)) / INDEX(טבלה2[[SPPR_1986]:[SPPR_symbolic_full_import_as_DC]], MATCH('השוואת פקטורים'!$B64, 'PPRs inner'!$A$2:$A$108, 0), MATCH('השוואת פקטורים'!O$6, טבלה2[[#Headers],[SPPR_1986]:[SPPR_symbolic_full_import_as_DC]], 0))
)</f>
        <v>3.4296151491660015E-2</v>
      </c>
      <c r="Q64" s="9">
        <f>IF($B$4="סהכ",
INDEX(טבלה1[[SPPR_1986]:[SPPR_symbolic_full_import_as_DC]], MATCH('השוואת פקטורים'!$B64, 'PPRs all'!$A$2:$A$108, 0), MATCH('השוואת פקטורים'!Q$6, טבלה1[[#Headers],[SPPR_1986]:[SPPR_symbolic_full_import_as_DC]], 0)) / INDEX(טבלה1[[SPPR_1986]:[SPPR_symbolic_full_import_as_DC]], MATCH('השוואת פקטורים'!$B64, 'PPRs all'!$A$2:$A$108, 0), MATCH('השוואת פקטורים'!P$6, טבלה1[[#Headers],[SPPR_1986]:[SPPR_symbolic_full_import_as_DC]], 0)),
INDEX(טבלה2[[SPPR_1986]:[SPPR_symbolic_full_import_as_DC]], MATCH('השוואת פקטורים'!$B64, 'PPRs inner'!$A$2:$A$108, 0), MATCH('השוואת פקטורים'!Q$6, טבלה2[[#Headers],[SPPR_1986]:[SPPR_symbolic_full_import_as_DC]], 0)) / INDEX(טבלה2[[SPPR_1986]:[SPPR_symbolic_full_import_as_DC]], MATCH('השוואת פקטורים'!$B64, 'PPRs inner'!$A$2:$A$108, 0), MATCH('השוואת פקטורים'!P$6, טבלה2[[#Headers],[SPPR_1986]:[SPPR_symbolic_full_import_as_DC]], 0))
)</f>
        <v>0.99999999999999978</v>
      </c>
      <c r="R64" s="9">
        <f>IF($B$4="סהכ",
INDEX(טבלה1[[SPPR_1986]:[SPPR_symbolic_full_import_as_DC]], MATCH('השוואת פקטורים'!$B64, 'PPRs all'!$A$2:$A$108, 0), MATCH('השוואת פקטורים'!R$6, טבלה1[[#Headers],[SPPR_1986]:[SPPR_symbolic_full_import_as_DC]], 0)) / INDEX(טבלה1[[SPPR_1986]:[SPPR_symbolic_full_import_as_DC]], MATCH('השוואת פקטורים'!$B64, 'PPRs all'!$A$2:$A$108, 0), MATCH('השוואת פקטורים'!Q$6, טבלה1[[#Headers],[SPPR_1986]:[SPPR_symbolic_full_import_as_DC]], 0)),
INDEX(טבלה2[[SPPR_1986]:[SPPR_symbolic_full_import_as_DC]], MATCH('השוואת פקטורים'!$B64, 'PPRs inner'!$A$2:$A$108, 0), MATCH('השוואת פקטורים'!R$6, טבלה2[[#Headers],[SPPR_1986]:[SPPR_symbolic_full_import_as_DC]], 0)) / INDEX(טבלה2[[SPPR_1986]:[SPPR_symbolic_full_import_as_DC]], MATCH('השוואת פקטורים'!$B64, 'PPRs inner'!$A$2:$A$108, 0), MATCH('השוואת פקטורים'!Q$6, טבלה2[[#Headers],[SPPR_1986]:[SPPR_symbolic_full_import_as_DC]], 0))
)</f>
        <v>1</v>
      </c>
      <c r="S64" s="9">
        <f>IF($B$4="סהכ",
INDEX(טבלה1[[SPPR_1986]:[SPPR_symbolic_full_import_as_DC]], MATCH('השוואת פקטורים'!$B64, 'PPRs all'!$A$2:$A$108, 0), MATCH('השוואת פקטורים'!S$6, טבלה1[[#Headers],[SPPR_1986]:[SPPR_symbolic_full_import_as_DC]], 0)) / INDEX(טבלה1[[SPPR_1986]:[SPPR_symbolic_full_import_as_DC]], MATCH('השוואת פקטורים'!$B64, 'PPRs all'!$A$2:$A$108, 0), MATCH('השוואת פקטורים'!R$6, טבלה1[[#Headers],[SPPR_1986]:[SPPR_symbolic_full_import_as_DC]], 0)),
INDEX(טבלה2[[SPPR_1986]:[SPPR_symbolic_full_import_as_DC]], MATCH('השוואת פקטורים'!$B64, 'PPRs inner'!$A$2:$A$108, 0), MATCH('השוואת פקטורים'!S$6, טבלה2[[#Headers],[SPPR_1986]:[SPPR_symbolic_full_import_as_DC]], 0)) / INDEX(טבלה2[[SPPR_1986]:[SPPR_symbolic_full_import_as_DC]], MATCH('השוואת פקטורים'!$B64, 'PPRs inner'!$A$2:$A$108, 0), MATCH('השוואת פקטורים'!R$6, טבלה2[[#Headers],[SPPR_1986]:[SPPR_symbolic_full_import_as_DC]], 0))
)</f>
        <v>1</v>
      </c>
      <c r="T64" s="9">
        <f>IF($B$4="סהכ",
INDEX(טבלה1[[SPPR_1986]:[SPPR_symbolic_full_import_as_DC]], MATCH('השוואת פקטורים'!$B64, 'PPRs all'!$A$2:$A$108, 0), MATCH('השוואת פקטורים'!T$6, טבלה1[[#Headers],[SPPR_1986]:[SPPR_symbolic_full_import_as_DC]], 0)) / INDEX(טבלה1[[SPPR_1986]:[SPPR_symbolic_full_import_as_DC]], MATCH('השוואת פקטורים'!$B64, 'PPRs all'!$A$2:$A$108, 0), MATCH('השוואת פקטורים'!S$6, טבלה1[[#Headers],[SPPR_1986]:[SPPR_symbolic_full_import_as_DC]], 0)),
INDEX(טבלה2[[SPPR_1986]:[SPPR_symbolic_full_import_as_DC]], MATCH('השוואת פקטורים'!$B64, 'PPRs inner'!$A$2:$A$108, 0), MATCH('השוואת פקטורים'!T$6, טבלה2[[#Headers],[SPPR_1986]:[SPPR_symbolic_full_import_as_DC]], 0)) / INDEX(טבלה2[[SPPR_1986]:[SPPR_symbolic_full_import_as_DC]], MATCH('השוואת פקטורים'!$B64, 'PPRs inner'!$A$2:$A$108, 0), MATCH('השוואת פקטורים'!S$6, טבלה2[[#Headers],[SPPR_1986]:[SPPR_symbolic_full_import_as_DC]], 0))
)</f>
        <v>1</v>
      </c>
      <c r="U64" s="9">
        <f>IF($B$4="סהכ",
INDEX(טבלה1[[SPPR_1986]:[SPPR_symbolic_full_import_as_DC]], MATCH('השוואת פקטורים'!$B64, 'PPRs all'!$A$2:$A$108, 0), MATCH('השוואת פקטורים'!U$6, טבלה1[[#Headers],[SPPR_1986]:[SPPR_symbolic_full_import_as_DC]], 0)) / INDEX(טבלה1[[SPPR_1986]:[SPPR_symbolic_full_import_as_DC]], MATCH('השוואת פקטורים'!$B64, 'PPRs all'!$A$2:$A$108, 0), MATCH('השוואת פקטורים'!T$6, טבלה1[[#Headers],[SPPR_1986]:[SPPR_symbolic_full_import_as_DC]], 0)),
INDEX(טבלה2[[SPPR_1986]:[SPPR_symbolic_full_import_as_DC]], MATCH('השוואת פקטורים'!$B64, 'PPRs inner'!$A$2:$A$108, 0), MATCH('השוואת פקטורים'!U$6, טבלה2[[#Headers],[SPPR_1986]:[SPPR_symbolic_full_import_as_DC]], 0)) / INDEX(טבלה2[[SPPR_1986]:[SPPR_symbolic_full_import_as_DC]], MATCH('השוואת פקטורים'!$B64, 'PPRs inner'!$A$2:$A$108, 0), MATCH('השוואת פקטורים'!T$6, טבלה2[[#Headers],[SPPR_1986]:[SPPR_symbolic_full_import_as_DC]], 0))
)</f>
        <v>1.0000000000000002</v>
      </c>
      <c r="V64" s="9"/>
      <c r="W64" s="9"/>
      <c r="X64" s="14"/>
      <c r="Y64" s="14"/>
      <c r="Z64" s="15">
        <f t="shared" si="2"/>
        <v>0.68492634789678153</v>
      </c>
    </row>
    <row r="65" spans="2:26" x14ac:dyDescent="0.3">
      <c r="B65" s="6" t="s">
        <v>79</v>
      </c>
      <c r="C65" s="12" t="b">
        <v>1</v>
      </c>
      <c r="D65" s="12" t="b">
        <v>1</v>
      </c>
      <c r="E65" s="12" t="b">
        <v>1</v>
      </c>
      <c r="F65" s="12" t="b">
        <f t="shared" si="1"/>
        <v>1</v>
      </c>
      <c r="G65" s="7" t="b">
        <f>ABS(INDEX(טבלה5[[SPPR_1986]:[SPPR_symbolic_full_import_as_DC]],MATCH('השוואת פקטורים'!$B65,טבלה5[עמודה1],0),MATCH($C$4,טבלה5[[#Headers],[SPPR_1986]:[SPPR_symbolic_full_import_as_DC]],0))) &lt; 5</f>
        <v>1</v>
      </c>
      <c r="H65" s="7" t="b">
        <f>INDEX(טבלה3[[SPPR_1986]:[SPPR_symbolic_full_import_as_DC]],MATCH('השוואת פקטורים'!$B65,טבלה3[עמודה1],0),MATCH($C$4,טבלה3[[#Headers],[SPPR_1986]:[SPPR_symbolic_full_import_as_DC]],0))</f>
        <v>1</v>
      </c>
      <c r="I65" s="7" t="b">
        <f t="shared" si="3"/>
        <v>1</v>
      </c>
      <c r="J65" s="13"/>
      <c r="K65" s="9">
        <f>IF($B$4="סהכ",
INDEX(טבלה1[[SPPR_1986]:[SPPR_symbolic_full_import_as_DC]], MATCH('השוואת פקטורים'!$B65, 'PPRs all'!$A$2:$A$108, 0), MATCH('השוואת פקטורים'!K$6, טבלה1[[#Headers],[SPPR_1986]:[SPPR_symbolic_full_import_as_DC]], 0)) / INDEX(טבלה1[[SPPR_1986]:[SPPR_symbolic_full_import_as_DC]], MATCH('השוואת פקטורים'!$B65, 'PPRs all'!$A$2:$A$108, 0), MATCH('השוואת פקטורים'!J$6, טבלה1[[#Headers],[SPPR_1986]:[SPPR_symbolic_full_import_as_DC]], 0)),
INDEX(טבלה2[[SPPR_1986]:[SPPR_symbolic_full_import_as_DC]], MATCH('השוואת פקטורים'!$B65, 'PPRs inner'!$A$2:$A$108, 0), MATCH('השוואת פקטורים'!K$6, טבלה2[[#Headers],[SPPR_1986]:[SPPR_symbolic_full_import_as_DC]], 0)) / INDEX(טבלה2[[SPPR_1986]:[SPPR_symbolic_full_import_as_DC]], MATCH('השוואת פקטורים'!$B65, 'PPRs inner'!$A$2:$A$108, 0), MATCH('השוואת פקטורים'!J$6, טבלה2[[#Headers],[SPPR_1986]:[SPPR_symbolic_full_import_as_DC]], 0))
)</f>
        <v>0.66953163629674672</v>
      </c>
      <c r="L65" s="9">
        <f>IF($B$4="סהכ",
INDEX(טבלה1[[SPPR_1986]:[SPPR_symbolic_full_import_as_DC]], MATCH('השוואת פקטורים'!$B65, 'PPRs all'!$A$2:$A$108, 0), MATCH('השוואת פקטורים'!L$6, טבלה1[[#Headers],[SPPR_1986]:[SPPR_symbolic_full_import_as_DC]], 0)) / INDEX(טבלה1[[SPPR_1986]:[SPPR_symbolic_full_import_as_DC]], MATCH('השוואת פקטורים'!$B65, 'PPRs all'!$A$2:$A$108, 0), MATCH('השוואת פקטורים'!K$6, טבלה1[[#Headers],[SPPR_1986]:[SPPR_symbolic_full_import_as_DC]], 0)),
INDEX(טבלה2[[SPPR_1986]:[SPPR_symbolic_full_import_as_DC]], MATCH('השוואת פקטורים'!$B65, 'PPRs inner'!$A$2:$A$108, 0), MATCH('השוואת פקטורים'!L$6, טבלה2[[#Headers],[SPPR_1986]:[SPPR_symbolic_full_import_as_DC]], 0)) / INDEX(טבלה2[[SPPR_1986]:[SPPR_symbolic_full_import_as_DC]], MATCH('השוואת פקטורים'!$B65, 'PPRs inner'!$A$2:$A$108, 0), MATCH('השוואת פקטורים'!K$6, טבלה2[[#Headers],[SPPR_1986]:[SPPR_symbolic_full_import_as_DC]], 0))
)</f>
        <v>11.378108705944738</v>
      </c>
      <c r="M65" s="9">
        <f>IF($B$4="סהכ",
INDEX(טבלה1[[SPPR_1986]:[SPPR_symbolic_full_import_as_DC]], MATCH('השוואת פקטורים'!$B65, 'PPRs all'!$A$2:$A$108, 0), MATCH('השוואת פקטורים'!M$6, טבלה1[[#Headers],[SPPR_1986]:[SPPR_symbolic_full_import_as_DC]], 0)) / INDEX(טבלה1[[SPPR_1986]:[SPPR_symbolic_full_import_as_DC]], MATCH('השוואת פקטורים'!$B65, 'PPRs all'!$A$2:$A$108, 0), MATCH('השוואת פקטורים'!L$6, טבלה1[[#Headers],[SPPR_1986]:[SPPR_symbolic_full_import_as_DC]], 0)),
INDEX(טבלה2[[SPPR_1986]:[SPPR_symbolic_full_import_as_DC]], MATCH('השוואת פקטורים'!$B65, 'PPRs inner'!$A$2:$A$108, 0), MATCH('השוואת פקטורים'!M$6, טבלה2[[#Headers],[SPPR_1986]:[SPPR_symbolic_full_import_as_DC]], 0)) / INDEX(טבלה2[[SPPR_1986]:[SPPR_symbolic_full_import_as_DC]], MATCH('השוואת פקטורים'!$B65, 'PPRs inner'!$A$2:$A$108, 0), MATCH('השוואת פקטורים'!L$6, טבלה2[[#Headers],[SPPR_1986]:[SPPR_symbolic_full_import_as_DC]], 0))
)</f>
        <v>3.2352029362933918</v>
      </c>
      <c r="N65" s="9">
        <f>IF($B$4="סהכ",
INDEX(טבלה1[[SPPR_1986]:[SPPR_symbolic_full_import_as_DC]], MATCH('השוואת פקטורים'!$B65, 'PPRs all'!$A$2:$A$108, 0), MATCH('השוואת פקטורים'!N$6, טבלה1[[#Headers],[SPPR_1986]:[SPPR_symbolic_full_import_as_DC]], 0)) / INDEX(טבלה1[[SPPR_1986]:[SPPR_symbolic_full_import_as_DC]], MATCH('השוואת פקטורים'!$B65, 'PPRs all'!$A$2:$A$108, 0), MATCH('השוואת פקטורים'!M$6, טבלה1[[#Headers],[SPPR_1986]:[SPPR_symbolic_full_import_as_DC]], 0)),
INDEX(טבלה2[[SPPR_1986]:[SPPR_symbolic_full_import_as_DC]], MATCH('השוואת פקטורים'!$B65, 'PPRs inner'!$A$2:$A$108, 0), MATCH('השוואת פקטורים'!N$6, טבלה2[[#Headers],[SPPR_1986]:[SPPR_symbolic_full_import_as_DC]], 0)) / INDEX(טבלה2[[SPPR_1986]:[SPPR_symbolic_full_import_as_DC]], MATCH('השוואת פקטורים'!$B65, 'PPRs inner'!$A$2:$A$108, 0), MATCH('השוואת פקטורים'!M$6, טבלה2[[#Headers],[SPPR_1986]:[SPPR_symbolic_full_import_as_DC]], 0))
)</f>
        <v>1.9188410445256157</v>
      </c>
      <c r="O65" s="9">
        <f>IF($B$4="סהכ",
INDEX(טבלה1[[SPPR_1986]:[SPPR_symbolic_full_import_as_DC]], MATCH('השוואת פקטורים'!$B65, 'PPRs all'!$A$2:$A$108, 0), MATCH('השוואת פקטורים'!O$6, טבלה1[[#Headers],[SPPR_1986]:[SPPR_symbolic_full_import_as_DC]], 0)) / INDEX(טבלה1[[SPPR_1986]:[SPPR_symbolic_full_import_as_DC]], MATCH('השוואת פקטורים'!$B65, 'PPRs all'!$A$2:$A$108, 0), MATCH('השוואת פקטורים'!N$6, טבלה1[[#Headers],[SPPR_1986]:[SPPR_symbolic_full_import_as_DC]], 0)),
INDEX(טבלה2[[SPPR_1986]:[SPPR_symbolic_full_import_as_DC]], MATCH('השוואת פקטורים'!$B65, 'PPRs inner'!$A$2:$A$108, 0), MATCH('השוואת פקטורים'!O$6, טבלה2[[#Headers],[SPPR_1986]:[SPPR_symbolic_full_import_as_DC]], 0)) / INDEX(טבלה2[[SPPR_1986]:[SPPR_symbolic_full_import_as_DC]], MATCH('השוואת פקטורים'!$B65, 'PPRs inner'!$A$2:$A$108, 0), MATCH('השוואת פקטורים'!N$6, טבלה2[[#Headers],[SPPR_1986]:[SPPR_symbolic_full_import_as_DC]], 0))
)</f>
        <v>0.99999999999999911</v>
      </c>
      <c r="P65" s="9">
        <f>IF($B$4="סהכ",
INDEX(טבלה1[[SPPR_1986]:[SPPR_symbolic_full_import_as_DC]], MATCH('השוואת פקטורים'!$B65, 'PPRs all'!$A$2:$A$108, 0), MATCH('השוואת פקטורים'!P$6, טבלה1[[#Headers],[SPPR_1986]:[SPPR_symbolic_full_import_as_DC]], 0)) / INDEX(טבלה1[[SPPR_1986]:[SPPR_symbolic_full_import_as_DC]], MATCH('השוואת פקטורים'!$B65, 'PPRs all'!$A$2:$A$108, 0), MATCH('השוואת פקטורים'!O$6, טבלה1[[#Headers],[SPPR_1986]:[SPPR_symbolic_full_import_as_DC]], 0)),
INDEX(טבלה2[[SPPR_1986]:[SPPR_symbolic_full_import_as_DC]], MATCH('השוואת פקטורים'!$B65, 'PPRs inner'!$A$2:$A$108, 0), MATCH('השוואת פקטורים'!P$6, טבלה2[[#Headers],[SPPR_1986]:[SPPR_symbolic_full_import_as_DC]], 0)) / INDEX(טבלה2[[SPPR_1986]:[SPPR_symbolic_full_import_as_DC]], MATCH('השוואת פקטורים'!$B65, 'PPRs inner'!$A$2:$A$108, 0), MATCH('השוואת פקטורים'!O$6, טבלה2[[#Headers],[SPPR_1986]:[SPPR_symbolic_full_import_as_DC]], 0))
)</f>
        <v>6.5875769351106353E-2</v>
      </c>
      <c r="Q65" s="9">
        <f>IF($B$4="סהכ",
INDEX(טבלה1[[SPPR_1986]:[SPPR_symbolic_full_import_as_DC]], MATCH('השוואת פקטורים'!$B65, 'PPRs all'!$A$2:$A$108, 0), MATCH('השוואת פקטורים'!Q$6, טבלה1[[#Headers],[SPPR_1986]:[SPPR_symbolic_full_import_as_DC]], 0)) / INDEX(טבלה1[[SPPR_1986]:[SPPR_symbolic_full_import_as_DC]], MATCH('השוואת פקטורים'!$B65, 'PPRs all'!$A$2:$A$108, 0), MATCH('השוואת פקטורים'!P$6, טבלה1[[#Headers],[SPPR_1986]:[SPPR_symbolic_full_import_as_DC]], 0)),
INDEX(טבלה2[[SPPR_1986]:[SPPR_symbolic_full_import_as_DC]], MATCH('השוואת פקטורים'!$B65, 'PPRs inner'!$A$2:$A$108, 0), MATCH('השוואת פקטורים'!Q$6, טבלה2[[#Headers],[SPPR_1986]:[SPPR_symbolic_full_import_as_DC]], 0)) / INDEX(טבלה2[[SPPR_1986]:[SPPR_symbolic_full_import_as_DC]], MATCH('השוואת פקטורים'!$B65, 'PPRs inner'!$A$2:$A$108, 0), MATCH('השוואת פקטורים'!P$6, טבלה2[[#Headers],[SPPR_1986]:[SPPR_symbolic_full_import_as_DC]], 0))
)</f>
        <v>0.99999999999999933</v>
      </c>
      <c r="R65" s="9">
        <f>IF($B$4="סהכ",
INDEX(טבלה1[[SPPR_1986]:[SPPR_symbolic_full_import_as_DC]], MATCH('השוואת פקטורים'!$B65, 'PPRs all'!$A$2:$A$108, 0), MATCH('השוואת פקטורים'!R$6, טבלה1[[#Headers],[SPPR_1986]:[SPPR_symbolic_full_import_as_DC]], 0)) / INDEX(טבלה1[[SPPR_1986]:[SPPR_symbolic_full_import_as_DC]], MATCH('השוואת פקטורים'!$B65, 'PPRs all'!$A$2:$A$108, 0), MATCH('השוואת פקטורים'!Q$6, טבלה1[[#Headers],[SPPR_1986]:[SPPR_symbolic_full_import_as_DC]], 0)),
INDEX(טבלה2[[SPPR_1986]:[SPPR_symbolic_full_import_as_DC]], MATCH('השוואת פקטורים'!$B65, 'PPRs inner'!$A$2:$A$108, 0), MATCH('השוואת פקטורים'!R$6, טבלה2[[#Headers],[SPPR_1986]:[SPPR_symbolic_full_import_as_DC]], 0)) / INDEX(טבלה2[[SPPR_1986]:[SPPR_symbolic_full_import_as_DC]], MATCH('השוואת פקטורים'!$B65, 'PPRs inner'!$A$2:$A$108, 0), MATCH('השוואת פקטורים'!Q$6, טבלה2[[#Headers],[SPPR_1986]:[SPPR_symbolic_full_import_as_DC]], 0))
)</f>
        <v>2.0585205209475106</v>
      </c>
      <c r="S65" s="9">
        <f>IF($B$4="סהכ",
INDEX(טבלה1[[SPPR_1986]:[SPPR_symbolic_full_import_as_DC]], MATCH('השוואת פקטורים'!$B65, 'PPRs all'!$A$2:$A$108, 0), MATCH('השוואת פקטורים'!S$6, טבלה1[[#Headers],[SPPR_1986]:[SPPR_symbolic_full_import_as_DC]], 0)) / INDEX(טבלה1[[SPPR_1986]:[SPPR_symbolic_full_import_as_DC]], MATCH('השוואת פקטורים'!$B65, 'PPRs all'!$A$2:$A$108, 0), MATCH('השוואת פקטורים'!R$6, טבלה1[[#Headers],[SPPR_1986]:[SPPR_symbolic_full_import_as_DC]], 0)),
INDEX(טבלה2[[SPPR_1986]:[SPPR_symbolic_full_import_as_DC]], MATCH('השוואת פקטורים'!$B65, 'PPRs inner'!$A$2:$A$108, 0), MATCH('השוואת פקטורים'!S$6, טבלה2[[#Headers],[SPPR_1986]:[SPPR_symbolic_full_import_as_DC]], 0)) / INDEX(טבלה2[[SPPR_1986]:[SPPR_symbolic_full_import_as_DC]], MATCH('השוואת פקטורים'!$B65, 'PPRs inner'!$A$2:$A$108, 0), MATCH('השוואת פקטורים'!R$6, טבלה2[[#Headers],[SPPR_1986]:[SPPR_symbolic_full_import_as_DC]], 0))
)</f>
        <v>0.48578578149889551</v>
      </c>
      <c r="T65" s="9">
        <f>IF($B$4="סהכ",
INDEX(טבלה1[[SPPR_1986]:[SPPR_symbolic_full_import_as_DC]], MATCH('השוואת פקטורים'!$B65, 'PPRs all'!$A$2:$A$108, 0), MATCH('השוואת פקטורים'!T$6, טבלה1[[#Headers],[SPPR_1986]:[SPPR_symbolic_full_import_as_DC]], 0)) / INDEX(טבלה1[[SPPR_1986]:[SPPR_symbolic_full_import_as_DC]], MATCH('השוואת פקטורים'!$B65, 'PPRs all'!$A$2:$A$108, 0), MATCH('השוואת פקטורים'!S$6, טבלה1[[#Headers],[SPPR_1986]:[SPPR_symbolic_full_import_as_DC]], 0)),
INDEX(טבלה2[[SPPR_1986]:[SPPR_symbolic_full_import_as_DC]], MATCH('השוואת פקטורים'!$B65, 'PPRs inner'!$A$2:$A$108, 0), MATCH('השוואת פקטורים'!T$6, טבלה2[[#Headers],[SPPR_1986]:[SPPR_symbolic_full_import_as_DC]], 0)) / INDEX(טבלה2[[SPPR_1986]:[SPPR_symbolic_full_import_as_DC]], MATCH('השוואת פקטורים'!$B65, 'PPRs inner'!$A$2:$A$108, 0), MATCH('השוואת פקטורים'!S$6, טבלה2[[#Headers],[SPPR_1986]:[SPPR_symbolic_full_import_as_DC]], 0))
)</f>
        <v>2.0585205209475106</v>
      </c>
      <c r="U65" s="9">
        <f>IF($B$4="סהכ",
INDEX(טבלה1[[SPPR_1986]:[SPPR_symbolic_full_import_as_DC]], MATCH('השוואת פקטורים'!$B65, 'PPRs all'!$A$2:$A$108, 0), MATCH('השוואת פקטורים'!U$6, טבלה1[[#Headers],[SPPR_1986]:[SPPR_symbolic_full_import_as_DC]], 0)) / INDEX(טבלה1[[SPPR_1986]:[SPPR_symbolic_full_import_as_DC]], MATCH('השוואת פקטורים'!$B65, 'PPRs all'!$A$2:$A$108, 0), MATCH('השוואת פקטורים'!T$6, טבלה1[[#Headers],[SPPR_1986]:[SPPR_symbolic_full_import_as_DC]], 0)),
INDEX(טבלה2[[SPPR_1986]:[SPPR_symbolic_full_import_as_DC]], MATCH('השוואת פקטורים'!$B65, 'PPRs inner'!$A$2:$A$108, 0), MATCH('השוואת פקטורים'!U$6, טבלה2[[#Headers],[SPPR_1986]:[SPPR_symbolic_full_import_as_DC]], 0)) / INDEX(טבלה2[[SPPR_1986]:[SPPR_symbolic_full_import_as_DC]], MATCH('השוואת פקטורים'!$B65, 'PPRs inner'!$A$2:$A$108, 0), MATCH('השוואת פקטורים'!T$6, טבלה2[[#Headers],[SPPR_1986]:[SPPR_symbolic_full_import_as_DC]], 0))
)</f>
        <v>0.48578578149889584</v>
      </c>
      <c r="V65" s="9"/>
      <c r="W65" s="9"/>
      <c r="X65" s="14"/>
      <c r="Y65" s="14"/>
      <c r="Z65" s="15">
        <f t="shared" si="2"/>
        <v>3.1153540464114124</v>
      </c>
    </row>
    <row r="66" spans="2:26" x14ac:dyDescent="0.3">
      <c r="B66" s="6" t="s">
        <v>80</v>
      </c>
      <c r="C66" s="12" t="b">
        <v>1</v>
      </c>
      <c r="D66" s="12" t="b">
        <v>1</v>
      </c>
      <c r="E66" s="12" t="b">
        <v>1</v>
      </c>
      <c r="F66" s="12" t="b">
        <f t="shared" si="1"/>
        <v>1</v>
      </c>
      <c r="G66" s="7" t="b">
        <f>ABS(INDEX(טבלה5[[SPPR_1986]:[SPPR_symbolic_full_import_as_DC]],MATCH('השוואת פקטורים'!$B66,טבלה5[עמודה1],0),MATCH($C$4,טבלה5[[#Headers],[SPPR_1986]:[SPPR_symbolic_full_import_as_DC]],0))) &lt; 5</f>
        <v>1</v>
      </c>
      <c r="H66" s="7" t="b">
        <f>INDEX(טבלה3[[SPPR_1986]:[SPPR_symbolic_full_import_as_DC]],MATCH('השוואת פקטורים'!$B66,טבלה3[עמודה1],0),MATCH($C$4,טבלה3[[#Headers],[SPPR_1986]:[SPPR_symbolic_full_import_as_DC]],0))</f>
        <v>1</v>
      </c>
      <c r="I66" s="7" t="b">
        <f t="shared" si="3"/>
        <v>1</v>
      </c>
      <c r="J66" s="13"/>
      <c r="K66" s="9">
        <f>IF($B$4="סהכ",
INDEX(טבלה1[[SPPR_1986]:[SPPR_symbolic_full_import_as_DC]], MATCH('השוואת פקטורים'!$B66, 'PPRs all'!$A$2:$A$108, 0), MATCH('השוואת פקטורים'!K$6, טבלה1[[#Headers],[SPPR_1986]:[SPPR_symbolic_full_import_as_DC]], 0)) / INDEX(טבלה1[[SPPR_1986]:[SPPR_symbolic_full_import_as_DC]], MATCH('השוואת פקטורים'!$B66, 'PPRs all'!$A$2:$A$108, 0), MATCH('השוואת פקטורים'!J$6, טבלה1[[#Headers],[SPPR_1986]:[SPPR_symbolic_full_import_as_DC]], 0)),
INDEX(טבלה2[[SPPR_1986]:[SPPR_symbolic_full_import_as_DC]], MATCH('השוואת פקטורים'!$B66, 'PPRs inner'!$A$2:$A$108, 0), MATCH('השוואת פקטורים'!K$6, טבלה2[[#Headers],[SPPR_1986]:[SPPR_symbolic_full_import_as_DC]], 0)) / INDEX(טבלה2[[SPPR_1986]:[SPPR_symbolic_full_import_as_DC]], MATCH('השוואת פקטורים'!$B66, 'PPRs inner'!$A$2:$A$108, 0), MATCH('השוואת פקטורים'!J$6, טבלה2[[#Headers],[SPPR_1986]:[SPPR_symbolic_full_import_as_DC]], 0))
)</f>
        <v>0.1127306417267404</v>
      </c>
      <c r="L66" s="9">
        <f>IF($B$4="סהכ",
INDEX(טבלה1[[SPPR_1986]:[SPPR_symbolic_full_import_as_DC]], MATCH('השוואת פקטורים'!$B66, 'PPRs all'!$A$2:$A$108, 0), MATCH('השוואת פקטורים'!L$6, טבלה1[[#Headers],[SPPR_1986]:[SPPR_symbolic_full_import_as_DC]], 0)) / INDEX(טבלה1[[SPPR_1986]:[SPPR_symbolic_full_import_as_DC]], MATCH('השוואת פקטורים'!$B66, 'PPRs all'!$A$2:$A$108, 0), MATCH('השוואת פקטורים'!K$6, טבלה1[[#Headers],[SPPR_1986]:[SPPR_symbolic_full_import_as_DC]], 0)),
INDEX(טבלה2[[SPPR_1986]:[SPPR_symbolic_full_import_as_DC]], MATCH('השוואת פקטורים'!$B66, 'PPRs inner'!$A$2:$A$108, 0), MATCH('השוואת פקטורים'!L$6, טבלה2[[#Headers],[SPPR_1986]:[SPPR_symbolic_full_import_as_DC]], 0)) / INDEX(טבלה2[[SPPR_1986]:[SPPR_symbolic_full_import_as_DC]], MATCH('השוואת פקטורים'!$B66, 'PPRs inner'!$A$2:$A$108, 0), MATCH('השוואת פקטורים'!K$6, טבלה2[[#Headers],[SPPR_1986]:[SPPR_symbolic_full_import_as_DC]], 0))
)</f>
        <v>1.8015974597849276</v>
      </c>
      <c r="M66" s="9">
        <f>IF($B$4="סהכ",
INDEX(טבלה1[[SPPR_1986]:[SPPR_symbolic_full_import_as_DC]], MATCH('השוואת פקטורים'!$B66, 'PPRs all'!$A$2:$A$108, 0), MATCH('השוואת פקטורים'!M$6, טבלה1[[#Headers],[SPPR_1986]:[SPPR_symbolic_full_import_as_DC]], 0)) / INDEX(טבלה1[[SPPR_1986]:[SPPR_symbolic_full_import_as_DC]], MATCH('השוואת פקטורים'!$B66, 'PPRs all'!$A$2:$A$108, 0), MATCH('השוואת פקטורים'!L$6, טבלה1[[#Headers],[SPPR_1986]:[SPPR_symbolic_full_import_as_DC]], 0)),
INDEX(טבלה2[[SPPR_1986]:[SPPR_symbolic_full_import_as_DC]], MATCH('השוואת פקטורים'!$B66, 'PPRs inner'!$A$2:$A$108, 0), MATCH('השוואת פקטורים'!M$6, טבלה2[[#Headers],[SPPR_1986]:[SPPR_symbolic_full_import_as_DC]], 0)) / INDEX(טבלה2[[SPPR_1986]:[SPPR_symbolic_full_import_as_DC]], MATCH('השוואת פקטורים'!$B66, 'PPRs inner'!$A$2:$A$108, 0), MATCH('השוואת פקטורים'!L$6, טבלה2[[#Headers],[SPPR_1986]:[SPPR_symbolic_full_import_as_DC]], 0))
)</f>
        <v>1.8107068151348962</v>
      </c>
      <c r="N66" s="9">
        <f>IF($B$4="סהכ",
INDEX(טבלה1[[SPPR_1986]:[SPPR_symbolic_full_import_as_DC]], MATCH('השוואת פקטורים'!$B66, 'PPRs all'!$A$2:$A$108, 0), MATCH('השוואת פקטורים'!N$6, טבלה1[[#Headers],[SPPR_1986]:[SPPR_symbolic_full_import_as_DC]], 0)) / INDEX(טבלה1[[SPPR_1986]:[SPPR_symbolic_full_import_as_DC]], MATCH('השוואת פקטורים'!$B66, 'PPRs all'!$A$2:$A$108, 0), MATCH('השוואת פקטורים'!M$6, טבלה1[[#Headers],[SPPR_1986]:[SPPR_symbolic_full_import_as_DC]], 0)),
INDEX(טבלה2[[SPPR_1986]:[SPPR_symbolic_full_import_as_DC]], MATCH('השוואת פקטורים'!$B66, 'PPRs inner'!$A$2:$A$108, 0), MATCH('השוואת פקטורים'!N$6, טבלה2[[#Headers],[SPPR_1986]:[SPPR_symbolic_full_import_as_DC]], 0)) / INDEX(טבלה2[[SPPR_1986]:[SPPR_symbolic_full_import_as_DC]], MATCH('השוואת פקטורים'!$B66, 'PPRs inner'!$A$2:$A$108, 0), MATCH('השוואת פקטורים'!M$6, טבלה2[[#Headers],[SPPR_1986]:[SPPR_symbolic_full_import_as_DC]], 0))
)</f>
        <v>7.3288995545032698</v>
      </c>
      <c r="O66" s="9">
        <f>IF($B$4="סהכ",
INDEX(טבלה1[[SPPR_1986]:[SPPR_symbolic_full_import_as_DC]], MATCH('השוואת פקטורים'!$B66, 'PPRs all'!$A$2:$A$108, 0), MATCH('השוואת פקטורים'!O$6, טבלה1[[#Headers],[SPPR_1986]:[SPPR_symbolic_full_import_as_DC]], 0)) / INDEX(טבלה1[[SPPR_1986]:[SPPR_symbolic_full_import_as_DC]], MATCH('השוואת פקטורים'!$B66, 'PPRs all'!$A$2:$A$108, 0), MATCH('השוואת פקטורים'!N$6, טבלה1[[#Headers],[SPPR_1986]:[SPPR_symbolic_full_import_as_DC]], 0)),
INDEX(טבלה2[[SPPR_1986]:[SPPR_symbolic_full_import_as_DC]], MATCH('השוואת פקטורים'!$B66, 'PPRs inner'!$A$2:$A$108, 0), MATCH('השוואת פקטורים'!O$6, טבלה2[[#Headers],[SPPR_1986]:[SPPR_symbolic_full_import_as_DC]], 0)) / INDEX(טבלה2[[SPPR_1986]:[SPPR_symbolic_full_import_as_DC]], MATCH('השוואת פקטורים'!$B66, 'PPRs inner'!$A$2:$A$108, 0), MATCH('השוואת פקטורים'!N$6, טבלה2[[#Headers],[SPPR_1986]:[SPPR_symbolic_full_import_as_DC]], 0))
)</f>
        <v>1</v>
      </c>
      <c r="P66" s="9">
        <f>IF($B$4="סהכ",
INDEX(טבלה1[[SPPR_1986]:[SPPR_symbolic_full_import_as_DC]], MATCH('השוואת פקטורים'!$B66, 'PPRs all'!$A$2:$A$108, 0), MATCH('השוואת פקטורים'!P$6, טבלה1[[#Headers],[SPPR_1986]:[SPPR_symbolic_full_import_as_DC]], 0)) / INDEX(טבלה1[[SPPR_1986]:[SPPR_symbolic_full_import_as_DC]], MATCH('השוואת פקטורים'!$B66, 'PPRs all'!$A$2:$A$108, 0), MATCH('השוואת פקטורים'!O$6, טבלה1[[#Headers],[SPPR_1986]:[SPPR_symbolic_full_import_as_DC]], 0)),
INDEX(טבלה2[[SPPR_1986]:[SPPR_symbolic_full_import_as_DC]], MATCH('השוואת פקטורים'!$B66, 'PPRs inner'!$A$2:$A$108, 0), MATCH('השוואת פקטורים'!P$6, טבלה2[[#Headers],[SPPR_1986]:[SPPR_symbolic_full_import_as_DC]], 0)) / INDEX(טבלה2[[SPPR_1986]:[SPPR_symbolic_full_import_as_DC]], MATCH('השוואת פקטורים'!$B66, 'PPRs inner'!$A$2:$A$108, 0), MATCH('השוואת פקטורים'!O$6, טבלה2[[#Headers],[SPPR_1986]:[SPPR_symbolic_full_import_as_DC]], 0))
)</f>
        <v>0.26106492566357481</v>
      </c>
      <c r="Q66" s="9">
        <f>IF($B$4="סהכ",
INDEX(טבלה1[[SPPR_1986]:[SPPR_symbolic_full_import_as_DC]], MATCH('השוואת פקטורים'!$B66, 'PPRs all'!$A$2:$A$108, 0), MATCH('השוואת פקטורים'!Q$6, טבלה1[[#Headers],[SPPR_1986]:[SPPR_symbolic_full_import_as_DC]], 0)) / INDEX(טבלה1[[SPPR_1986]:[SPPR_symbolic_full_import_as_DC]], MATCH('השוואת פקטורים'!$B66, 'PPRs all'!$A$2:$A$108, 0), MATCH('השוואת פקטורים'!P$6, טבלה1[[#Headers],[SPPR_1986]:[SPPR_symbolic_full_import_as_DC]], 0)),
INDEX(טבלה2[[SPPR_1986]:[SPPR_symbolic_full_import_as_DC]], MATCH('השוואת פקטורים'!$B66, 'PPRs inner'!$A$2:$A$108, 0), MATCH('השוואת פקטורים'!Q$6, טבלה2[[#Headers],[SPPR_1986]:[SPPR_symbolic_full_import_as_DC]], 0)) / INDEX(טבלה2[[SPPR_1986]:[SPPR_symbolic_full_import_as_DC]], MATCH('השוואת פקטורים'!$B66, 'PPRs inner'!$A$2:$A$108, 0), MATCH('השוואת פקטורים'!P$6, טבלה2[[#Headers],[SPPR_1986]:[SPPR_symbolic_full_import_as_DC]], 0))
)</f>
        <v>1.0000000000000013</v>
      </c>
      <c r="R66" s="9">
        <f>IF($B$4="סהכ",
INDEX(טבלה1[[SPPR_1986]:[SPPR_symbolic_full_import_as_DC]], MATCH('השוואת פקטורים'!$B66, 'PPRs all'!$A$2:$A$108, 0), MATCH('השוואת פקטורים'!R$6, טבלה1[[#Headers],[SPPR_1986]:[SPPR_symbolic_full_import_as_DC]], 0)) / INDEX(טבלה1[[SPPR_1986]:[SPPR_symbolic_full_import_as_DC]], MATCH('השוואת פקטורים'!$B66, 'PPRs all'!$A$2:$A$108, 0), MATCH('השוואת פקטורים'!Q$6, טבלה1[[#Headers],[SPPR_1986]:[SPPR_symbolic_full_import_as_DC]], 0)),
INDEX(טבלה2[[SPPR_1986]:[SPPR_symbolic_full_import_as_DC]], MATCH('השוואת פקטורים'!$B66, 'PPRs inner'!$A$2:$A$108, 0), MATCH('השוואת פקטורים'!R$6, טבלה2[[#Headers],[SPPR_1986]:[SPPR_symbolic_full_import_as_DC]], 0)) / INDEX(טבלה2[[SPPR_1986]:[SPPR_symbolic_full_import_as_DC]], MATCH('השוואת פקטורים'!$B66, 'PPRs inner'!$A$2:$A$108, 0), MATCH('השוואת פקטורים'!Q$6, טבלה2[[#Headers],[SPPR_1986]:[SPPR_symbolic_full_import_as_DC]], 0))
)</f>
        <v>1</v>
      </c>
      <c r="S66" s="9">
        <f>IF($B$4="סהכ",
INDEX(טבלה1[[SPPR_1986]:[SPPR_symbolic_full_import_as_DC]], MATCH('השוואת פקטורים'!$B66, 'PPRs all'!$A$2:$A$108, 0), MATCH('השוואת פקטורים'!S$6, טבלה1[[#Headers],[SPPR_1986]:[SPPR_symbolic_full_import_as_DC]], 0)) / INDEX(טבלה1[[SPPR_1986]:[SPPR_symbolic_full_import_as_DC]], MATCH('השוואת פקטורים'!$B66, 'PPRs all'!$A$2:$A$108, 0), MATCH('השוואת פקטורים'!R$6, טבלה1[[#Headers],[SPPR_1986]:[SPPR_symbolic_full_import_as_DC]], 0)),
INDEX(טבלה2[[SPPR_1986]:[SPPR_symbolic_full_import_as_DC]], MATCH('השוואת פקטורים'!$B66, 'PPRs inner'!$A$2:$A$108, 0), MATCH('השוואת פקטורים'!S$6, טבלה2[[#Headers],[SPPR_1986]:[SPPR_symbolic_full_import_as_DC]], 0)) / INDEX(טבלה2[[SPPR_1986]:[SPPR_symbolic_full_import_as_DC]], MATCH('השוואת פקטורים'!$B66, 'PPRs inner'!$A$2:$A$108, 0), MATCH('השוואת פקטורים'!R$6, טבלה2[[#Headers],[SPPR_1986]:[SPPR_symbolic_full_import_as_DC]], 0))
)</f>
        <v>1</v>
      </c>
      <c r="T66" s="9">
        <f>IF($B$4="סהכ",
INDEX(טבלה1[[SPPR_1986]:[SPPR_symbolic_full_import_as_DC]], MATCH('השוואת פקטורים'!$B66, 'PPRs all'!$A$2:$A$108, 0), MATCH('השוואת פקטורים'!T$6, טבלה1[[#Headers],[SPPR_1986]:[SPPR_symbolic_full_import_as_DC]], 0)) / INDEX(טבלה1[[SPPR_1986]:[SPPR_symbolic_full_import_as_DC]], MATCH('השוואת פקטורים'!$B66, 'PPRs all'!$A$2:$A$108, 0), MATCH('השוואת פקטורים'!S$6, טבלה1[[#Headers],[SPPR_1986]:[SPPR_symbolic_full_import_as_DC]], 0)),
INDEX(טבלה2[[SPPR_1986]:[SPPR_symbolic_full_import_as_DC]], MATCH('השוואת פקטורים'!$B66, 'PPRs inner'!$A$2:$A$108, 0), MATCH('השוואת פקטורים'!T$6, טבלה2[[#Headers],[SPPR_1986]:[SPPR_symbolic_full_import_as_DC]], 0)) / INDEX(טבלה2[[SPPR_1986]:[SPPR_symbolic_full_import_as_DC]], MATCH('השוואת פקטורים'!$B66, 'PPRs inner'!$A$2:$A$108, 0), MATCH('השוואת פקטורים'!S$6, טבלה2[[#Headers],[SPPR_1986]:[SPPR_symbolic_full_import_as_DC]], 0))
)</f>
        <v>1</v>
      </c>
      <c r="U66" s="9">
        <f>IF($B$4="סהכ",
INDEX(טבלה1[[SPPR_1986]:[SPPR_symbolic_full_import_as_DC]], MATCH('השוואת פקטורים'!$B66, 'PPRs all'!$A$2:$A$108, 0), MATCH('השוואת פקטורים'!U$6, טבלה1[[#Headers],[SPPR_1986]:[SPPR_symbolic_full_import_as_DC]], 0)) / INDEX(טבלה1[[SPPR_1986]:[SPPR_symbolic_full_import_as_DC]], MATCH('השוואת פקטורים'!$B66, 'PPRs all'!$A$2:$A$108, 0), MATCH('השוואת פקטורים'!T$6, טבלה1[[#Headers],[SPPR_1986]:[SPPR_symbolic_full_import_as_DC]], 0)),
INDEX(טבלה2[[SPPR_1986]:[SPPR_symbolic_full_import_as_DC]], MATCH('השוואת פקטורים'!$B66, 'PPRs inner'!$A$2:$A$108, 0), MATCH('השוואת פקטורים'!U$6, טבלה2[[#Headers],[SPPR_1986]:[SPPR_symbolic_full_import_as_DC]], 0)) / INDEX(טבלה2[[SPPR_1986]:[SPPR_symbolic_full_import_as_DC]], MATCH('השוואת פקטורים'!$B66, 'PPRs inner'!$A$2:$A$108, 0), MATCH('השוואת פקטורים'!T$6, טבלה2[[#Headers],[SPPR_1986]:[SPPR_symbolic_full_import_as_DC]], 0))
)</f>
        <v>0.99999999999999878</v>
      </c>
      <c r="V66" s="9"/>
      <c r="W66" s="9"/>
      <c r="X66" s="14"/>
      <c r="Y66" s="14"/>
      <c r="Z66" s="15">
        <f t="shared" si="2"/>
        <v>0.70361513655925101</v>
      </c>
    </row>
    <row r="67" spans="2:26" x14ac:dyDescent="0.3">
      <c r="B67" s="6" t="s">
        <v>81</v>
      </c>
      <c r="C67" s="12" t="b">
        <v>1</v>
      </c>
      <c r="D67" s="12" t="b">
        <v>1</v>
      </c>
      <c r="E67" s="12" t="b">
        <v>1</v>
      </c>
      <c r="F67" s="12" t="b">
        <f t="shared" si="1"/>
        <v>1</v>
      </c>
      <c r="G67" s="7" t="b">
        <f>ABS(INDEX(טבלה5[[SPPR_1986]:[SPPR_symbolic_full_import_as_DC]],MATCH('השוואת פקטורים'!$B67,טבלה5[עמודה1],0),MATCH($C$4,טבלה5[[#Headers],[SPPR_1986]:[SPPR_symbolic_full_import_as_DC]],0))) &lt; 5</f>
        <v>1</v>
      </c>
      <c r="H67" s="7" t="b">
        <f>INDEX(טבלה3[[SPPR_1986]:[SPPR_symbolic_full_import_as_DC]],MATCH('השוואת פקטורים'!$B67,טבלה3[עמודה1],0),MATCH($C$4,טבלה3[[#Headers],[SPPR_1986]:[SPPR_symbolic_full_import_as_DC]],0))</f>
        <v>1</v>
      </c>
      <c r="I67" s="7" t="b">
        <f t="shared" si="3"/>
        <v>1</v>
      </c>
      <c r="J67" s="13"/>
      <c r="K67" s="9">
        <f>IF($B$4="סהכ",
INDEX(טבלה1[[SPPR_1986]:[SPPR_symbolic_full_import_as_DC]], MATCH('השוואת פקטורים'!$B67, 'PPRs all'!$A$2:$A$108, 0), MATCH('השוואת פקטורים'!K$6, טבלה1[[#Headers],[SPPR_1986]:[SPPR_symbolic_full_import_as_DC]], 0)) / INDEX(טבלה1[[SPPR_1986]:[SPPR_symbolic_full_import_as_DC]], MATCH('השוואת פקטורים'!$B67, 'PPRs all'!$A$2:$A$108, 0), MATCH('השוואת פקטורים'!J$6, טבלה1[[#Headers],[SPPR_1986]:[SPPR_symbolic_full_import_as_DC]], 0)),
INDEX(טבלה2[[SPPR_1986]:[SPPR_symbolic_full_import_as_DC]], MATCH('השוואת פקטורים'!$B67, 'PPRs inner'!$A$2:$A$108, 0), MATCH('השוואת פקטורים'!K$6, טבלה2[[#Headers],[SPPR_1986]:[SPPR_symbolic_full_import_as_DC]], 0)) / INDEX(טבלה2[[SPPR_1986]:[SPPR_symbolic_full_import_as_DC]], MATCH('השוואת פקטורים'!$B67, 'PPRs inner'!$A$2:$A$108, 0), MATCH('השוואת פקטורים'!J$6, טבלה2[[#Headers],[SPPR_1986]:[SPPR_symbolic_full_import_as_DC]], 0))
)</f>
        <v>0.25269459516715609</v>
      </c>
      <c r="L67" s="9">
        <f>IF($B$4="סהכ",
INDEX(טבלה1[[SPPR_1986]:[SPPR_symbolic_full_import_as_DC]], MATCH('השוואת פקטורים'!$B67, 'PPRs all'!$A$2:$A$108, 0), MATCH('השוואת פקטורים'!L$6, טבלה1[[#Headers],[SPPR_1986]:[SPPR_symbolic_full_import_as_DC]], 0)) / INDEX(טבלה1[[SPPR_1986]:[SPPR_symbolic_full_import_as_DC]], MATCH('השוואת פקטורים'!$B67, 'PPRs all'!$A$2:$A$108, 0), MATCH('השוואת פקטורים'!K$6, טבלה1[[#Headers],[SPPR_1986]:[SPPR_symbolic_full_import_as_DC]], 0)),
INDEX(טבלה2[[SPPR_1986]:[SPPR_symbolic_full_import_as_DC]], MATCH('השוואת פקטורים'!$B67, 'PPRs inner'!$A$2:$A$108, 0), MATCH('השוואת פקטורים'!L$6, טבלה2[[#Headers],[SPPR_1986]:[SPPR_symbolic_full_import_as_DC]], 0)) / INDEX(טבלה2[[SPPR_1986]:[SPPR_symbolic_full_import_as_DC]], MATCH('השוואת פקטורים'!$B67, 'PPRs inner'!$A$2:$A$108, 0), MATCH('השוואת פקטורים'!K$6, טבלה2[[#Headers],[SPPR_1986]:[SPPR_symbolic_full_import_as_DC]], 0))
)</f>
        <v>1.6695946974684499</v>
      </c>
      <c r="M67" s="9">
        <f>IF($B$4="סהכ",
INDEX(טבלה1[[SPPR_1986]:[SPPR_symbolic_full_import_as_DC]], MATCH('השוואת פקטורים'!$B67, 'PPRs all'!$A$2:$A$108, 0), MATCH('השוואת פקטורים'!M$6, טבלה1[[#Headers],[SPPR_1986]:[SPPR_symbolic_full_import_as_DC]], 0)) / INDEX(טבלה1[[SPPR_1986]:[SPPR_symbolic_full_import_as_DC]], MATCH('השוואת פקטורים'!$B67, 'PPRs all'!$A$2:$A$108, 0), MATCH('השוואת פקטורים'!L$6, טבלה1[[#Headers],[SPPR_1986]:[SPPR_symbolic_full_import_as_DC]], 0)),
INDEX(טבלה2[[SPPR_1986]:[SPPR_symbolic_full_import_as_DC]], MATCH('השוואת פקטורים'!$B67, 'PPRs inner'!$A$2:$A$108, 0), MATCH('השוואת פקטורים'!M$6, טבלה2[[#Headers],[SPPR_1986]:[SPPR_symbolic_full_import_as_DC]], 0)) / INDEX(טבלה2[[SPPR_1986]:[SPPR_symbolic_full_import_as_DC]], MATCH('השוואת פקטורים'!$B67, 'PPRs inner'!$A$2:$A$108, 0), MATCH('השוואת פקטורים'!L$6, טבלה2[[#Headers],[SPPR_1986]:[SPPR_symbolic_full_import_as_DC]], 0))
)</f>
        <v>18.628364746437331</v>
      </c>
      <c r="N67" s="9">
        <f>IF($B$4="סהכ",
INDEX(טבלה1[[SPPR_1986]:[SPPR_symbolic_full_import_as_DC]], MATCH('השוואת פקטורים'!$B67, 'PPRs all'!$A$2:$A$108, 0), MATCH('השוואת פקטורים'!N$6, טבלה1[[#Headers],[SPPR_1986]:[SPPR_symbolic_full_import_as_DC]], 0)) / INDEX(טבלה1[[SPPR_1986]:[SPPR_symbolic_full_import_as_DC]], MATCH('השוואת פקטורים'!$B67, 'PPRs all'!$A$2:$A$108, 0), MATCH('השוואת פקטורים'!M$6, טבלה1[[#Headers],[SPPR_1986]:[SPPR_symbolic_full_import_as_DC]], 0)),
INDEX(טבלה2[[SPPR_1986]:[SPPR_symbolic_full_import_as_DC]], MATCH('השוואת פקטורים'!$B67, 'PPRs inner'!$A$2:$A$108, 0), MATCH('השוואת פקטורים'!N$6, טבלה2[[#Headers],[SPPR_1986]:[SPPR_symbolic_full_import_as_DC]], 0)) / INDEX(טבלה2[[SPPR_1986]:[SPPR_symbolic_full_import_as_DC]], MATCH('השוואת פקטורים'!$B67, 'PPRs inner'!$A$2:$A$108, 0), MATCH('השוואת פקטורים'!M$6, טבלה2[[#Headers],[SPPR_1986]:[SPPR_symbolic_full_import_as_DC]], 0))
)</f>
        <v>1.6808693434872868</v>
      </c>
      <c r="O67" s="9">
        <f>IF($B$4="סהכ",
INDEX(טבלה1[[SPPR_1986]:[SPPR_symbolic_full_import_as_DC]], MATCH('השוואת פקטורים'!$B67, 'PPRs all'!$A$2:$A$108, 0), MATCH('השוואת פקטורים'!O$6, טבלה1[[#Headers],[SPPR_1986]:[SPPR_symbolic_full_import_as_DC]], 0)) / INDEX(טבלה1[[SPPR_1986]:[SPPR_symbolic_full_import_as_DC]], MATCH('השוואת פקטורים'!$B67, 'PPRs all'!$A$2:$A$108, 0), MATCH('השוואת פקטורים'!N$6, טבלה1[[#Headers],[SPPR_1986]:[SPPR_symbolic_full_import_as_DC]], 0)),
INDEX(טבלה2[[SPPR_1986]:[SPPR_symbolic_full_import_as_DC]], MATCH('השוואת פקטורים'!$B67, 'PPRs inner'!$A$2:$A$108, 0), MATCH('השוואת פקטורים'!O$6, טבלה2[[#Headers],[SPPR_1986]:[SPPR_symbolic_full_import_as_DC]], 0)) / INDEX(טבלה2[[SPPR_1986]:[SPPR_symbolic_full_import_as_DC]], MATCH('השוואת פקטורים'!$B67, 'PPRs inner'!$A$2:$A$108, 0), MATCH('השוואת פקטורים'!N$6, טבלה2[[#Headers],[SPPR_1986]:[SPPR_symbolic_full_import_as_DC]], 0))
)</f>
        <v>1.0000000000000009</v>
      </c>
      <c r="P67" s="9">
        <f>IF($B$4="סהכ",
INDEX(טבלה1[[SPPR_1986]:[SPPR_symbolic_full_import_as_DC]], MATCH('השוואת פקטורים'!$B67, 'PPRs all'!$A$2:$A$108, 0), MATCH('השוואת פקטורים'!P$6, טבלה1[[#Headers],[SPPR_1986]:[SPPR_symbolic_full_import_as_DC]], 0)) / INDEX(טבלה1[[SPPR_1986]:[SPPR_symbolic_full_import_as_DC]], MATCH('השוואת פקטורים'!$B67, 'PPRs all'!$A$2:$A$108, 0), MATCH('השוואת פקטורים'!O$6, טבלה1[[#Headers],[SPPR_1986]:[SPPR_symbolic_full_import_as_DC]], 0)),
INDEX(טבלה2[[SPPR_1986]:[SPPR_symbolic_full_import_as_DC]], MATCH('השוואת פקטורים'!$B67, 'PPRs inner'!$A$2:$A$108, 0), MATCH('השוואת פקטורים'!P$6, טבלה2[[#Headers],[SPPR_1986]:[SPPR_symbolic_full_import_as_DC]], 0)) / INDEX(טבלה2[[SPPR_1986]:[SPPR_symbolic_full_import_as_DC]], MATCH('השוואת פקטורים'!$B67, 'PPRs inner'!$A$2:$A$108, 0), MATCH('השוואת פקטורים'!O$6, טבלה2[[#Headers],[SPPR_1986]:[SPPR_symbolic_full_import_as_DC]], 0))
)</f>
        <v>0.11837764238590222</v>
      </c>
      <c r="Q67" s="9">
        <f>IF($B$4="סהכ",
INDEX(טבלה1[[SPPR_1986]:[SPPR_symbolic_full_import_as_DC]], MATCH('השוואת פקטורים'!$B67, 'PPRs all'!$A$2:$A$108, 0), MATCH('השוואת פקטורים'!Q$6, טבלה1[[#Headers],[SPPR_1986]:[SPPR_symbolic_full_import_as_DC]], 0)) / INDEX(טבלה1[[SPPR_1986]:[SPPR_symbolic_full_import_as_DC]], MATCH('השוואת פקטורים'!$B67, 'PPRs all'!$A$2:$A$108, 0), MATCH('השוואת פקטורים'!P$6, טבלה1[[#Headers],[SPPR_1986]:[SPPR_symbolic_full_import_as_DC]], 0)),
INDEX(טבלה2[[SPPR_1986]:[SPPR_symbolic_full_import_as_DC]], MATCH('השוואת פקטורים'!$B67, 'PPRs inner'!$A$2:$A$108, 0), MATCH('השוואת פקטורים'!Q$6, טבלה2[[#Headers],[SPPR_1986]:[SPPR_symbolic_full_import_as_DC]], 0)) / INDEX(טבלה2[[SPPR_1986]:[SPPR_symbolic_full_import_as_DC]], MATCH('השוואת פקטורים'!$B67, 'PPRs inner'!$A$2:$A$108, 0), MATCH('השוואת פקטורים'!P$6, טבלה2[[#Headers],[SPPR_1986]:[SPPR_symbolic_full_import_as_DC]], 0))
)</f>
        <v>0.99999999999999911</v>
      </c>
      <c r="R67" s="9">
        <f>IF($B$4="סהכ",
INDEX(טבלה1[[SPPR_1986]:[SPPR_symbolic_full_import_as_DC]], MATCH('השוואת פקטורים'!$B67, 'PPRs all'!$A$2:$A$108, 0), MATCH('השוואת פקטורים'!R$6, טבלה1[[#Headers],[SPPR_1986]:[SPPR_symbolic_full_import_as_DC]], 0)) / INDEX(טבלה1[[SPPR_1986]:[SPPR_symbolic_full_import_as_DC]], MATCH('השוואת פקטורים'!$B67, 'PPRs all'!$A$2:$A$108, 0), MATCH('השוואת פקטורים'!Q$6, טבלה1[[#Headers],[SPPR_1986]:[SPPR_symbolic_full_import_as_DC]], 0)),
INDEX(טבלה2[[SPPR_1986]:[SPPR_symbolic_full_import_as_DC]], MATCH('השוואת פקטורים'!$B67, 'PPRs inner'!$A$2:$A$108, 0), MATCH('השוואת פקטורים'!R$6, טבלה2[[#Headers],[SPPR_1986]:[SPPR_symbolic_full_import_as_DC]], 0)) / INDEX(טבלה2[[SPPR_1986]:[SPPR_symbolic_full_import_as_DC]], MATCH('השוואת פקטורים'!$B67, 'PPRs inner'!$A$2:$A$108, 0), MATCH('השוואת פקטורים'!Q$6, טבלה2[[#Headers],[SPPR_1986]:[SPPR_symbolic_full_import_as_DC]], 0))
)</f>
        <v>1</v>
      </c>
      <c r="S67" s="9">
        <f>IF($B$4="סהכ",
INDEX(טבלה1[[SPPR_1986]:[SPPR_symbolic_full_import_as_DC]], MATCH('השוואת פקטורים'!$B67, 'PPRs all'!$A$2:$A$108, 0), MATCH('השוואת פקטורים'!S$6, טבלה1[[#Headers],[SPPR_1986]:[SPPR_symbolic_full_import_as_DC]], 0)) / INDEX(טבלה1[[SPPR_1986]:[SPPR_symbolic_full_import_as_DC]], MATCH('השוואת פקטורים'!$B67, 'PPRs all'!$A$2:$A$108, 0), MATCH('השוואת פקטורים'!R$6, טבלה1[[#Headers],[SPPR_1986]:[SPPR_symbolic_full_import_as_DC]], 0)),
INDEX(טבלה2[[SPPR_1986]:[SPPR_symbolic_full_import_as_DC]], MATCH('השוואת פקטורים'!$B67, 'PPRs inner'!$A$2:$A$108, 0), MATCH('השוואת פקטורים'!S$6, טבלה2[[#Headers],[SPPR_1986]:[SPPR_symbolic_full_import_as_DC]], 0)) / INDEX(טבלה2[[SPPR_1986]:[SPPR_symbolic_full_import_as_DC]], MATCH('השוואת פקטורים'!$B67, 'PPRs inner'!$A$2:$A$108, 0), MATCH('השוואת פקטורים'!R$6, טבלה2[[#Headers],[SPPR_1986]:[SPPR_symbolic_full_import_as_DC]], 0))
)</f>
        <v>1</v>
      </c>
      <c r="T67" s="9">
        <f>IF($B$4="סהכ",
INDEX(טבלה1[[SPPR_1986]:[SPPR_symbolic_full_import_as_DC]], MATCH('השוואת פקטורים'!$B67, 'PPRs all'!$A$2:$A$108, 0), MATCH('השוואת פקטורים'!T$6, טבלה1[[#Headers],[SPPR_1986]:[SPPR_symbolic_full_import_as_DC]], 0)) / INDEX(טבלה1[[SPPR_1986]:[SPPR_symbolic_full_import_as_DC]], MATCH('השוואת פקטורים'!$B67, 'PPRs all'!$A$2:$A$108, 0), MATCH('השוואת פקטורים'!S$6, טבלה1[[#Headers],[SPPR_1986]:[SPPR_symbolic_full_import_as_DC]], 0)),
INDEX(טבלה2[[SPPR_1986]:[SPPR_symbolic_full_import_as_DC]], MATCH('השוואת פקטורים'!$B67, 'PPRs inner'!$A$2:$A$108, 0), MATCH('השוואת פקטורים'!T$6, טבלה2[[#Headers],[SPPR_1986]:[SPPR_symbolic_full_import_as_DC]], 0)) / INDEX(טבלה2[[SPPR_1986]:[SPPR_symbolic_full_import_as_DC]], MATCH('השוואת פקטורים'!$B67, 'PPRs inner'!$A$2:$A$108, 0), MATCH('השוואת פקטורים'!S$6, טבלה2[[#Headers],[SPPR_1986]:[SPPR_symbolic_full_import_as_DC]], 0))
)</f>
        <v>1</v>
      </c>
      <c r="U67" s="9">
        <f>IF($B$4="סהכ",
INDEX(טבלה1[[SPPR_1986]:[SPPR_symbolic_full_import_as_DC]], MATCH('השוואת פקטורים'!$B67, 'PPRs all'!$A$2:$A$108, 0), MATCH('השוואת פקטורים'!U$6, טבלה1[[#Headers],[SPPR_1986]:[SPPR_symbolic_full_import_as_DC]], 0)) / INDEX(טבלה1[[SPPR_1986]:[SPPR_symbolic_full_import_as_DC]], MATCH('השוואת פקטורים'!$B67, 'PPRs all'!$A$2:$A$108, 0), MATCH('השוואת פקטורים'!T$6, טבלה1[[#Headers],[SPPR_1986]:[SPPR_symbolic_full_import_as_DC]], 0)),
INDEX(טבלה2[[SPPR_1986]:[SPPR_symbolic_full_import_as_DC]], MATCH('השוואת פקטורים'!$B67, 'PPRs inner'!$A$2:$A$108, 0), MATCH('השוואת פקטורים'!U$6, טבלה2[[#Headers],[SPPR_1986]:[SPPR_symbolic_full_import_as_DC]], 0)) / INDEX(טבלה2[[SPPR_1986]:[SPPR_symbolic_full_import_as_DC]], MATCH('השוואת פקטורים'!$B67, 'PPRs inner'!$A$2:$A$108, 0), MATCH('השוואת פקטורים'!T$6, טבלה2[[#Headers],[SPPR_1986]:[SPPR_symbolic_full_import_as_DC]], 0))
)</f>
        <v>1.0000000000000009</v>
      </c>
      <c r="V67" s="9"/>
      <c r="W67" s="9"/>
      <c r="X67" s="14"/>
      <c r="Y67" s="14"/>
      <c r="Z67" s="15">
        <f t="shared" si="2"/>
        <v>1.5638150388771688</v>
      </c>
    </row>
    <row r="68" spans="2:26" x14ac:dyDescent="0.3">
      <c r="B68" s="6" t="s">
        <v>82</v>
      </c>
      <c r="C68" s="12" t="b">
        <v>1</v>
      </c>
      <c r="D68" s="12" t="b">
        <v>1</v>
      </c>
      <c r="E68" s="12" t="b">
        <v>1</v>
      </c>
      <c r="F68" s="12" t="b">
        <f t="shared" si="1"/>
        <v>1</v>
      </c>
      <c r="G68" s="7" t="b">
        <f>ABS(INDEX(טבלה5[[SPPR_1986]:[SPPR_symbolic_full_import_as_DC]],MATCH('השוואת פקטורים'!$B68,טבלה5[עמודה1],0),MATCH($C$4,טבלה5[[#Headers],[SPPR_1986]:[SPPR_symbolic_full_import_as_DC]],0))) &lt; 5</f>
        <v>1</v>
      </c>
      <c r="H68" s="7" t="b">
        <f>INDEX(טבלה3[[SPPR_1986]:[SPPR_symbolic_full_import_as_DC]],MATCH('השוואת פקטורים'!$B68,טבלה3[עמודה1],0),MATCH($C$4,טבלה3[[#Headers],[SPPR_1986]:[SPPR_symbolic_full_import_as_DC]],0))</f>
        <v>1</v>
      </c>
      <c r="I68" s="7" t="b">
        <f t="shared" si="3"/>
        <v>1</v>
      </c>
      <c r="J68" s="13"/>
      <c r="K68" s="9">
        <f>IF($B$4="סהכ",
INDEX(טבלה1[[SPPR_1986]:[SPPR_symbolic_full_import_as_DC]], MATCH('השוואת פקטורים'!$B68, 'PPRs all'!$A$2:$A$108, 0), MATCH('השוואת פקטורים'!K$6, טבלה1[[#Headers],[SPPR_1986]:[SPPR_symbolic_full_import_as_DC]], 0)) / INDEX(טבלה1[[SPPR_1986]:[SPPR_symbolic_full_import_as_DC]], MATCH('השוואת פקטורים'!$B68, 'PPRs all'!$A$2:$A$108, 0), MATCH('השוואת פקטורים'!J$6, טבלה1[[#Headers],[SPPR_1986]:[SPPR_symbolic_full_import_as_DC]], 0)),
INDEX(טבלה2[[SPPR_1986]:[SPPR_symbolic_full_import_as_DC]], MATCH('השוואת פקטורים'!$B68, 'PPRs inner'!$A$2:$A$108, 0), MATCH('השוואת פקטורים'!K$6, טבלה2[[#Headers],[SPPR_1986]:[SPPR_symbolic_full_import_as_DC]], 0)) / INDEX(טבלה2[[SPPR_1986]:[SPPR_symbolic_full_import_as_DC]], MATCH('השוואת פקטורים'!$B68, 'PPRs inner'!$A$2:$A$108, 0), MATCH('השוואת פקטורים'!J$6, טבלה2[[#Headers],[SPPR_1986]:[SPPR_symbolic_full_import_as_DC]], 0))
)</f>
        <v>1.1202477273134424</v>
      </c>
      <c r="L68" s="9">
        <f>IF($B$4="סהכ",
INDEX(טבלה1[[SPPR_1986]:[SPPR_symbolic_full_import_as_DC]], MATCH('השוואת פקטורים'!$B68, 'PPRs all'!$A$2:$A$108, 0), MATCH('השוואת פקטורים'!L$6, טבלה1[[#Headers],[SPPR_1986]:[SPPR_symbolic_full_import_as_DC]], 0)) / INDEX(טבלה1[[SPPR_1986]:[SPPR_symbolic_full_import_as_DC]], MATCH('השוואת פקטורים'!$B68, 'PPRs all'!$A$2:$A$108, 0), MATCH('השוואת פקטורים'!K$6, טבלה1[[#Headers],[SPPR_1986]:[SPPR_symbolic_full_import_as_DC]], 0)),
INDEX(טבלה2[[SPPR_1986]:[SPPR_symbolic_full_import_as_DC]], MATCH('השוואת פקטורים'!$B68, 'PPRs inner'!$A$2:$A$108, 0), MATCH('השוואת פקטורים'!L$6, טבלה2[[#Headers],[SPPR_1986]:[SPPR_symbolic_full_import_as_DC]], 0)) / INDEX(טבלה2[[SPPR_1986]:[SPPR_symbolic_full_import_as_DC]], MATCH('השוואת פקטורים'!$B68, 'PPRs inner'!$A$2:$A$108, 0), MATCH('השוואת פקטורים'!K$6, טבלה2[[#Headers],[SPPR_1986]:[SPPR_symbolic_full_import_as_DC]], 0))
)</f>
        <v>1.3120461959859415</v>
      </c>
      <c r="M68" s="9">
        <f>IF($B$4="סהכ",
INDEX(טבלה1[[SPPR_1986]:[SPPR_symbolic_full_import_as_DC]], MATCH('השוואת פקטורים'!$B68, 'PPRs all'!$A$2:$A$108, 0), MATCH('השוואת פקטורים'!M$6, טבלה1[[#Headers],[SPPR_1986]:[SPPR_symbolic_full_import_as_DC]], 0)) / INDEX(טבלה1[[SPPR_1986]:[SPPR_symbolic_full_import_as_DC]], MATCH('השוואת פקטורים'!$B68, 'PPRs all'!$A$2:$A$108, 0), MATCH('השוואת פקטורים'!L$6, טבלה1[[#Headers],[SPPR_1986]:[SPPR_symbolic_full_import_as_DC]], 0)),
INDEX(טבלה2[[SPPR_1986]:[SPPR_symbolic_full_import_as_DC]], MATCH('השוואת פקטורים'!$B68, 'PPRs inner'!$A$2:$A$108, 0), MATCH('השוואת פקטורים'!M$6, טבלה2[[#Headers],[SPPR_1986]:[SPPR_symbolic_full_import_as_DC]], 0)) / INDEX(טבלה2[[SPPR_1986]:[SPPR_symbolic_full_import_as_DC]], MATCH('השוואת פקטורים'!$B68, 'PPRs inner'!$A$2:$A$108, 0), MATCH('השוואת פקטורים'!L$6, טבלה2[[#Headers],[SPPR_1986]:[SPPR_symbolic_full_import_as_DC]], 0))
)</f>
        <v>2.0588063455142791</v>
      </c>
      <c r="N68" s="9">
        <f>IF($B$4="סהכ",
INDEX(טבלה1[[SPPR_1986]:[SPPR_symbolic_full_import_as_DC]], MATCH('השוואת פקטורים'!$B68, 'PPRs all'!$A$2:$A$108, 0), MATCH('השוואת פקטורים'!N$6, טבלה1[[#Headers],[SPPR_1986]:[SPPR_symbolic_full_import_as_DC]], 0)) / INDEX(טבלה1[[SPPR_1986]:[SPPR_symbolic_full_import_as_DC]], MATCH('השוואת פקטורים'!$B68, 'PPRs all'!$A$2:$A$108, 0), MATCH('השוואת פקטורים'!M$6, טבלה1[[#Headers],[SPPR_1986]:[SPPR_symbolic_full_import_as_DC]], 0)),
INDEX(טבלה2[[SPPR_1986]:[SPPR_symbolic_full_import_as_DC]], MATCH('השוואת פקטורים'!$B68, 'PPRs inner'!$A$2:$A$108, 0), MATCH('השוואת פקטורים'!N$6, טבלה2[[#Headers],[SPPR_1986]:[SPPR_symbolic_full_import_as_DC]], 0)) / INDEX(טבלה2[[SPPR_1986]:[SPPR_symbolic_full_import_as_DC]], MATCH('השוואת פקטורים'!$B68, 'PPRs inner'!$A$2:$A$108, 0), MATCH('השוואת פקטורים'!M$6, טבלה2[[#Headers],[SPPR_1986]:[SPPR_symbolic_full_import_as_DC]], 0))
)</f>
        <v>0.61099346874840288</v>
      </c>
      <c r="O68" s="9">
        <f>IF($B$4="סהכ",
INDEX(טבלה1[[SPPR_1986]:[SPPR_symbolic_full_import_as_DC]], MATCH('השוואת פקטורים'!$B68, 'PPRs all'!$A$2:$A$108, 0), MATCH('השוואת פקטורים'!O$6, טבלה1[[#Headers],[SPPR_1986]:[SPPR_symbolic_full_import_as_DC]], 0)) / INDEX(טבלה1[[SPPR_1986]:[SPPR_symbolic_full_import_as_DC]], MATCH('השוואת פקטורים'!$B68, 'PPRs all'!$A$2:$A$108, 0), MATCH('השוואת פקטורים'!N$6, טבלה1[[#Headers],[SPPR_1986]:[SPPR_symbolic_full_import_as_DC]], 0)),
INDEX(טבלה2[[SPPR_1986]:[SPPR_symbolic_full_import_as_DC]], MATCH('השוואת פקטורים'!$B68, 'PPRs inner'!$A$2:$A$108, 0), MATCH('השוואת פקטורים'!O$6, טבלה2[[#Headers],[SPPR_1986]:[SPPR_symbolic_full_import_as_DC]], 0)) / INDEX(טבלה2[[SPPR_1986]:[SPPR_symbolic_full_import_as_DC]], MATCH('השוואת פקטורים'!$B68, 'PPRs inner'!$A$2:$A$108, 0), MATCH('השוואת פקטורים'!N$6, טבלה2[[#Headers],[SPPR_1986]:[SPPR_symbolic_full_import_as_DC]], 0))
)</f>
        <v>0.99999999999999989</v>
      </c>
      <c r="P68" s="9">
        <f>IF($B$4="סהכ",
INDEX(טבלה1[[SPPR_1986]:[SPPR_symbolic_full_import_as_DC]], MATCH('השוואת פקטורים'!$B68, 'PPRs all'!$A$2:$A$108, 0), MATCH('השוואת פקטורים'!P$6, טבלה1[[#Headers],[SPPR_1986]:[SPPR_symbolic_full_import_as_DC]], 0)) / INDEX(טבלה1[[SPPR_1986]:[SPPR_symbolic_full_import_as_DC]], MATCH('השוואת פקטורים'!$B68, 'PPRs all'!$A$2:$A$108, 0), MATCH('השוואת פקטורים'!O$6, טבלה1[[#Headers],[SPPR_1986]:[SPPR_symbolic_full_import_as_DC]], 0)),
INDEX(טבלה2[[SPPR_1986]:[SPPR_symbolic_full_import_as_DC]], MATCH('השוואת פקטורים'!$B68, 'PPRs inner'!$A$2:$A$108, 0), MATCH('השוואת פקטורים'!P$6, טבלה2[[#Headers],[SPPR_1986]:[SPPR_symbolic_full_import_as_DC]], 0)) / INDEX(טבלה2[[SPPR_1986]:[SPPR_symbolic_full_import_as_DC]], MATCH('השוואת פקטורים'!$B68, 'PPRs inner'!$A$2:$A$108, 0), MATCH('השוואת פקטורים'!O$6, טבלה2[[#Headers],[SPPR_1986]:[SPPR_symbolic_full_import_as_DC]], 0))
)</f>
        <v>0.4705981415583006</v>
      </c>
      <c r="Q68" s="9">
        <f>IF($B$4="סהכ",
INDEX(טבלה1[[SPPR_1986]:[SPPR_symbolic_full_import_as_DC]], MATCH('השוואת פקטורים'!$B68, 'PPRs all'!$A$2:$A$108, 0), MATCH('השוואת פקטורים'!Q$6, טבלה1[[#Headers],[SPPR_1986]:[SPPR_symbolic_full_import_as_DC]], 0)) / INDEX(טבלה1[[SPPR_1986]:[SPPR_symbolic_full_import_as_DC]], MATCH('השוואת פקטורים'!$B68, 'PPRs all'!$A$2:$A$108, 0), MATCH('השוואת פקטורים'!P$6, טבלה1[[#Headers],[SPPR_1986]:[SPPR_symbolic_full_import_as_DC]], 0)),
INDEX(טבלה2[[SPPR_1986]:[SPPR_symbolic_full_import_as_DC]], MATCH('השוואת פקטורים'!$B68, 'PPRs inner'!$A$2:$A$108, 0), MATCH('השוואת פקטורים'!Q$6, טבלה2[[#Headers],[SPPR_1986]:[SPPR_symbolic_full_import_as_DC]], 0)) / INDEX(טבלה2[[SPPR_1986]:[SPPR_symbolic_full_import_as_DC]], MATCH('השוואת פקטורים'!$B68, 'PPRs inner'!$A$2:$A$108, 0), MATCH('השוואת פקטורים'!P$6, טבלה2[[#Headers],[SPPR_1986]:[SPPR_symbolic_full_import_as_DC]], 0))
)</f>
        <v>1.0000000000000009</v>
      </c>
      <c r="R68" s="9">
        <f>IF($B$4="סהכ",
INDEX(טבלה1[[SPPR_1986]:[SPPR_symbolic_full_import_as_DC]], MATCH('השוואת פקטורים'!$B68, 'PPRs all'!$A$2:$A$108, 0), MATCH('השוואת פקטורים'!R$6, טבלה1[[#Headers],[SPPR_1986]:[SPPR_symbolic_full_import_as_DC]], 0)) / INDEX(טבלה1[[SPPR_1986]:[SPPR_symbolic_full_import_as_DC]], MATCH('השוואת פקטורים'!$B68, 'PPRs all'!$A$2:$A$108, 0), MATCH('השוואת פקטורים'!Q$6, טבלה1[[#Headers],[SPPR_1986]:[SPPR_symbolic_full_import_as_DC]], 0)),
INDEX(טבלה2[[SPPR_1986]:[SPPR_symbolic_full_import_as_DC]], MATCH('השוואת פקטורים'!$B68, 'PPRs inner'!$A$2:$A$108, 0), MATCH('השוואת פקטורים'!R$6, טבלה2[[#Headers],[SPPR_1986]:[SPPR_symbolic_full_import_as_DC]], 0)) / INDEX(טבלה2[[SPPR_1986]:[SPPR_symbolic_full_import_as_DC]], MATCH('השוואת פקטורים'!$B68, 'PPRs inner'!$A$2:$A$108, 0), MATCH('השוואת פקטורים'!Q$6, טבלה2[[#Headers],[SPPR_1986]:[SPPR_symbolic_full_import_as_DC]], 0))
)</f>
        <v>1</v>
      </c>
      <c r="S68" s="9">
        <f>IF($B$4="סהכ",
INDEX(טבלה1[[SPPR_1986]:[SPPR_symbolic_full_import_as_DC]], MATCH('השוואת פקטורים'!$B68, 'PPRs all'!$A$2:$A$108, 0), MATCH('השוואת פקטורים'!S$6, טבלה1[[#Headers],[SPPR_1986]:[SPPR_symbolic_full_import_as_DC]], 0)) / INDEX(טבלה1[[SPPR_1986]:[SPPR_symbolic_full_import_as_DC]], MATCH('השוואת פקטורים'!$B68, 'PPRs all'!$A$2:$A$108, 0), MATCH('השוואת פקטורים'!R$6, טבלה1[[#Headers],[SPPR_1986]:[SPPR_symbolic_full_import_as_DC]], 0)),
INDEX(טבלה2[[SPPR_1986]:[SPPR_symbolic_full_import_as_DC]], MATCH('השוואת פקטורים'!$B68, 'PPRs inner'!$A$2:$A$108, 0), MATCH('השוואת פקטורים'!S$6, טבלה2[[#Headers],[SPPR_1986]:[SPPR_symbolic_full_import_as_DC]], 0)) / INDEX(טבלה2[[SPPR_1986]:[SPPR_symbolic_full_import_as_DC]], MATCH('השוואת פקטורים'!$B68, 'PPRs inner'!$A$2:$A$108, 0), MATCH('השוואת פקטורים'!R$6, טבלה2[[#Headers],[SPPR_1986]:[SPPR_symbolic_full_import_as_DC]], 0))
)</f>
        <v>1</v>
      </c>
      <c r="T68" s="9">
        <f>IF($B$4="סהכ",
INDEX(טבלה1[[SPPR_1986]:[SPPR_symbolic_full_import_as_DC]], MATCH('השוואת פקטורים'!$B68, 'PPRs all'!$A$2:$A$108, 0), MATCH('השוואת פקטורים'!T$6, טבלה1[[#Headers],[SPPR_1986]:[SPPR_symbolic_full_import_as_DC]], 0)) / INDEX(טבלה1[[SPPR_1986]:[SPPR_symbolic_full_import_as_DC]], MATCH('השוואת פקטורים'!$B68, 'PPRs all'!$A$2:$A$108, 0), MATCH('השוואת פקטורים'!S$6, טבלה1[[#Headers],[SPPR_1986]:[SPPR_symbolic_full_import_as_DC]], 0)),
INDEX(טבלה2[[SPPR_1986]:[SPPR_symbolic_full_import_as_DC]], MATCH('השוואת פקטורים'!$B68, 'PPRs inner'!$A$2:$A$108, 0), MATCH('השוואת פקטורים'!T$6, טבלה2[[#Headers],[SPPR_1986]:[SPPR_symbolic_full_import_as_DC]], 0)) / INDEX(טבלה2[[SPPR_1986]:[SPPR_symbolic_full_import_as_DC]], MATCH('השוואת פקטורים'!$B68, 'PPRs inner'!$A$2:$A$108, 0), MATCH('השוואת פקטורים'!S$6, טבלה2[[#Headers],[SPPR_1986]:[SPPR_symbolic_full_import_as_DC]], 0))
)</f>
        <v>1</v>
      </c>
      <c r="U68" s="9">
        <f>IF($B$4="סהכ",
INDEX(טבלה1[[SPPR_1986]:[SPPR_symbolic_full_import_as_DC]], MATCH('השוואת פקטורים'!$B68, 'PPRs all'!$A$2:$A$108, 0), MATCH('השוואת פקטורים'!U$6, טבלה1[[#Headers],[SPPR_1986]:[SPPR_symbolic_full_import_as_DC]], 0)) / INDEX(טבלה1[[SPPR_1986]:[SPPR_symbolic_full_import_as_DC]], MATCH('השוואת פקטורים'!$B68, 'PPRs all'!$A$2:$A$108, 0), MATCH('השוואת פקטורים'!T$6, טבלה1[[#Headers],[SPPR_1986]:[SPPR_symbolic_full_import_as_DC]], 0)),
INDEX(טבלה2[[SPPR_1986]:[SPPR_symbolic_full_import_as_DC]], MATCH('השוואת פקטורים'!$B68, 'PPRs inner'!$A$2:$A$108, 0), MATCH('השוואת פקטורים'!U$6, טבלה2[[#Headers],[SPPR_1986]:[SPPR_symbolic_full_import_as_DC]], 0)) / INDEX(טבלה2[[SPPR_1986]:[SPPR_symbolic_full_import_as_DC]], MATCH('השוואת פקטורים'!$B68, 'PPRs inner'!$A$2:$A$108, 0), MATCH('השוואת פקטורים'!T$6, טבלה2[[#Headers],[SPPR_1986]:[SPPR_symbolic_full_import_as_DC]], 0))
)</f>
        <v>0.99999999999999922</v>
      </c>
      <c r="V68" s="9"/>
      <c r="W68" s="9"/>
      <c r="X68" s="14"/>
      <c r="Y68" s="14"/>
      <c r="Z68" s="15">
        <f t="shared" si="2"/>
        <v>0.87009259326289223</v>
      </c>
    </row>
    <row r="69" spans="2:26" x14ac:dyDescent="0.3">
      <c r="B69" s="6" t="s">
        <v>83</v>
      </c>
      <c r="C69" s="12" t="b">
        <v>1</v>
      </c>
      <c r="D69" s="12" t="b">
        <v>1</v>
      </c>
      <c r="E69" s="12" t="b">
        <v>1</v>
      </c>
      <c r="F69" s="12" t="b">
        <f t="shared" si="1"/>
        <v>1</v>
      </c>
      <c r="G69" s="7" t="b">
        <f>ABS(INDEX(טבלה5[[SPPR_1986]:[SPPR_symbolic_full_import_as_DC]],MATCH('השוואת פקטורים'!$B69,טבלה5[עמודה1],0),MATCH($C$4,טבלה5[[#Headers],[SPPR_1986]:[SPPR_symbolic_full_import_as_DC]],0))) &lt; 5</f>
        <v>1</v>
      </c>
      <c r="H69" s="7" t="b">
        <f>INDEX(טבלה3[[SPPR_1986]:[SPPR_symbolic_full_import_as_DC]],MATCH('השוואת פקטורים'!$B69,טבלה3[עמודה1],0),MATCH($C$4,טבלה3[[#Headers],[SPPR_1986]:[SPPR_symbolic_full_import_as_DC]],0))</f>
        <v>1</v>
      </c>
      <c r="I69" s="7" t="b">
        <f t="shared" si="3"/>
        <v>1</v>
      </c>
      <c r="J69" s="13"/>
      <c r="K69" s="9">
        <f>IF($B$4="סהכ",
INDEX(טבלה1[[SPPR_1986]:[SPPR_symbolic_full_import_as_DC]], MATCH('השוואת פקטורים'!$B69, 'PPRs all'!$A$2:$A$108, 0), MATCH('השוואת פקטורים'!K$6, טבלה1[[#Headers],[SPPR_1986]:[SPPR_symbolic_full_import_as_DC]], 0)) / INDEX(טבלה1[[SPPR_1986]:[SPPR_symbolic_full_import_as_DC]], MATCH('השוואת פקטורים'!$B69, 'PPRs all'!$A$2:$A$108, 0), MATCH('השוואת פקטורים'!J$6, טבלה1[[#Headers],[SPPR_1986]:[SPPR_symbolic_full_import_as_DC]], 0)),
INDEX(טבלה2[[SPPR_1986]:[SPPR_symbolic_full_import_as_DC]], MATCH('השוואת פקטורים'!$B69, 'PPRs inner'!$A$2:$A$108, 0), MATCH('השוואת פקטורים'!K$6, טבלה2[[#Headers],[SPPR_1986]:[SPPR_symbolic_full_import_as_DC]], 0)) / INDEX(טבלה2[[SPPR_1986]:[SPPR_symbolic_full_import_as_DC]], MATCH('השוואת פקטורים'!$B69, 'PPRs inner'!$A$2:$A$108, 0), MATCH('השוואת פקטורים'!J$6, טבלה2[[#Headers],[SPPR_1986]:[SPPR_symbolic_full_import_as_DC]], 0))
)</f>
        <v>0.11059682657682339</v>
      </c>
      <c r="L69" s="9">
        <f>IF($B$4="סהכ",
INDEX(טבלה1[[SPPR_1986]:[SPPR_symbolic_full_import_as_DC]], MATCH('השוואת פקטורים'!$B69, 'PPRs all'!$A$2:$A$108, 0), MATCH('השוואת פקטורים'!L$6, טבלה1[[#Headers],[SPPR_1986]:[SPPR_symbolic_full_import_as_DC]], 0)) / INDEX(טבלה1[[SPPR_1986]:[SPPR_symbolic_full_import_as_DC]], MATCH('השוואת פקטורים'!$B69, 'PPRs all'!$A$2:$A$108, 0), MATCH('השוואת פקטורים'!K$6, טבלה1[[#Headers],[SPPR_1986]:[SPPR_symbolic_full_import_as_DC]], 0)),
INDEX(טבלה2[[SPPR_1986]:[SPPR_symbolic_full_import_as_DC]], MATCH('השוואת פקטורים'!$B69, 'PPRs inner'!$A$2:$A$108, 0), MATCH('השוואת פקטורים'!L$6, טבלה2[[#Headers],[SPPR_1986]:[SPPR_symbolic_full_import_as_DC]], 0)) / INDEX(טבלה2[[SPPR_1986]:[SPPR_symbolic_full_import_as_DC]], MATCH('השוואת פקטורים'!$B69, 'PPRs inner'!$A$2:$A$108, 0), MATCH('השוואת פקטורים'!K$6, טבלה2[[#Headers],[SPPR_1986]:[SPPR_symbolic_full_import_as_DC]], 0))
)</f>
        <v>2.0431943819917051</v>
      </c>
      <c r="M69" s="9">
        <f>IF($B$4="סהכ",
INDEX(טבלה1[[SPPR_1986]:[SPPR_symbolic_full_import_as_DC]], MATCH('השוואת פקטורים'!$B69, 'PPRs all'!$A$2:$A$108, 0), MATCH('השוואת פקטורים'!M$6, טבלה1[[#Headers],[SPPR_1986]:[SPPR_symbolic_full_import_as_DC]], 0)) / INDEX(טבלה1[[SPPR_1986]:[SPPR_symbolic_full_import_as_DC]], MATCH('השוואת פקטורים'!$B69, 'PPRs all'!$A$2:$A$108, 0), MATCH('השוואת פקטורים'!L$6, טבלה1[[#Headers],[SPPR_1986]:[SPPR_symbolic_full_import_as_DC]], 0)),
INDEX(טבלה2[[SPPR_1986]:[SPPR_symbolic_full_import_as_DC]], MATCH('השוואת פקטורים'!$B69, 'PPRs inner'!$A$2:$A$108, 0), MATCH('השוואת פקטורים'!M$6, טבלה2[[#Headers],[SPPR_1986]:[SPPR_symbolic_full_import_as_DC]], 0)) / INDEX(טבלה2[[SPPR_1986]:[SPPR_symbolic_full_import_as_DC]], MATCH('השוואת פקטורים'!$B69, 'PPRs inner'!$A$2:$A$108, 0), MATCH('השוואת פקטורים'!L$6, טבלה2[[#Headers],[SPPR_1986]:[SPPR_symbolic_full_import_as_DC]], 0))
)</f>
        <v>73.975937224702605</v>
      </c>
      <c r="N69" s="9">
        <f>IF($B$4="סהכ",
INDEX(טבלה1[[SPPR_1986]:[SPPR_symbolic_full_import_as_DC]], MATCH('השוואת פקטורים'!$B69, 'PPRs all'!$A$2:$A$108, 0), MATCH('השוואת פקטורים'!N$6, טבלה1[[#Headers],[SPPR_1986]:[SPPR_symbolic_full_import_as_DC]], 0)) / INDEX(טבלה1[[SPPR_1986]:[SPPR_symbolic_full_import_as_DC]], MATCH('השוואת פקטורים'!$B69, 'PPRs all'!$A$2:$A$108, 0), MATCH('השוואת פקטורים'!M$6, טבלה1[[#Headers],[SPPR_1986]:[SPPR_symbolic_full_import_as_DC]], 0)),
INDEX(טבלה2[[SPPR_1986]:[SPPR_symbolic_full_import_as_DC]], MATCH('השוואת פקטורים'!$B69, 'PPRs inner'!$A$2:$A$108, 0), MATCH('השוואת פקטורים'!N$6, טבלה2[[#Headers],[SPPR_1986]:[SPPR_symbolic_full_import_as_DC]], 0)) / INDEX(טבלה2[[SPPR_1986]:[SPPR_symbolic_full_import_as_DC]], MATCH('השוואת פקטורים'!$B69, 'PPRs inner'!$A$2:$A$108, 0), MATCH('השוואת פקטורים'!M$6, טבלה2[[#Headers],[SPPR_1986]:[SPPR_symbolic_full_import_as_DC]], 0))
)</f>
        <v>0.97943889232108705</v>
      </c>
      <c r="O69" s="9">
        <f>IF($B$4="סהכ",
INDEX(טבלה1[[SPPR_1986]:[SPPR_symbolic_full_import_as_DC]], MATCH('השוואת פקטורים'!$B69, 'PPRs all'!$A$2:$A$108, 0), MATCH('השוואת פקטורים'!O$6, טבלה1[[#Headers],[SPPR_1986]:[SPPR_symbolic_full_import_as_DC]], 0)) / INDEX(טבלה1[[SPPR_1986]:[SPPR_symbolic_full_import_as_DC]], MATCH('השוואת פקטורים'!$B69, 'PPRs all'!$A$2:$A$108, 0), MATCH('השוואת פקטורים'!N$6, טבלה1[[#Headers],[SPPR_1986]:[SPPR_symbolic_full_import_as_DC]], 0)),
INDEX(טבלה2[[SPPR_1986]:[SPPR_symbolic_full_import_as_DC]], MATCH('השוואת פקטורים'!$B69, 'PPRs inner'!$A$2:$A$108, 0), MATCH('השוואת פקטורים'!O$6, טבלה2[[#Headers],[SPPR_1986]:[SPPR_symbolic_full_import_as_DC]], 0)) / INDEX(טבלה2[[SPPR_1986]:[SPPR_symbolic_full_import_as_DC]], MATCH('השוואת פקטורים'!$B69, 'PPRs inner'!$A$2:$A$108, 0), MATCH('השוואת פקטורים'!N$6, טבלה2[[#Headers],[SPPR_1986]:[SPPR_symbolic_full_import_as_DC]], 0))
)</f>
        <v>0.999999999999999</v>
      </c>
      <c r="P69" s="9">
        <f>IF($B$4="סהכ",
INDEX(טבלה1[[SPPR_1986]:[SPPR_symbolic_full_import_as_DC]], MATCH('השוואת פקטורים'!$B69, 'PPRs all'!$A$2:$A$108, 0), MATCH('השוואת פקטורים'!P$6, טבלה1[[#Headers],[SPPR_1986]:[SPPR_symbolic_full_import_as_DC]], 0)) / INDEX(טבלה1[[SPPR_1986]:[SPPR_symbolic_full_import_as_DC]], MATCH('השוואת פקטורים'!$B69, 'PPRs all'!$A$2:$A$108, 0), MATCH('השוואת פקטורים'!O$6, טבלה1[[#Headers],[SPPR_1986]:[SPPR_symbolic_full_import_as_DC]], 0)),
INDEX(טבלה2[[SPPR_1986]:[SPPR_symbolic_full_import_as_DC]], MATCH('השוואת פקטורים'!$B69, 'PPRs inner'!$A$2:$A$108, 0), MATCH('השוואת פקטורים'!P$6, טבלה2[[#Headers],[SPPR_1986]:[SPPR_symbolic_full_import_as_DC]], 0)) / INDEX(טבלה2[[SPPR_1986]:[SPPR_symbolic_full_import_as_DC]], MATCH('השוואת פקטורים'!$B69, 'PPRs inner'!$A$2:$A$108, 0), MATCH('השוואת פקטורים'!O$6, טבלה2[[#Headers],[SPPR_1986]:[SPPR_symbolic_full_import_as_DC]], 0))
)</f>
        <v>1.1882573486579985E-2</v>
      </c>
      <c r="Q69" s="9">
        <f>IF($B$4="סהכ",
INDEX(טבלה1[[SPPR_1986]:[SPPR_symbolic_full_import_as_DC]], MATCH('השוואת פקטורים'!$B69, 'PPRs all'!$A$2:$A$108, 0), MATCH('השוואת פקטורים'!Q$6, טבלה1[[#Headers],[SPPR_1986]:[SPPR_symbolic_full_import_as_DC]], 0)) / INDEX(טבלה1[[SPPR_1986]:[SPPR_symbolic_full_import_as_DC]], MATCH('השוואת פקטורים'!$B69, 'PPRs all'!$A$2:$A$108, 0), MATCH('השוואת פקטורים'!P$6, טבלה1[[#Headers],[SPPR_1986]:[SPPR_symbolic_full_import_as_DC]], 0)),
INDEX(טבלה2[[SPPR_1986]:[SPPR_symbolic_full_import_as_DC]], MATCH('השוואת פקטורים'!$B69, 'PPRs inner'!$A$2:$A$108, 0), MATCH('השוואת פקטורים'!Q$6, טבלה2[[#Headers],[SPPR_1986]:[SPPR_symbolic_full_import_as_DC]], 0)) / INDEX(טבלה2[[SPPR_1986]:[SPPR_symbolic_full_import_as_DC]], MATCH('השוואת פקטורים'!$B69, 'PPRs inner'!$A$2:$A$108, 0), MATCH('השוואת פקטורים'!P$6, טבלה2[[#Headers],[SPPR_1986]:[SPPR_symbolic_full_import_as_DC]], 0))
)</f>
        <v>1.0000000000000004</v>
      </c>
      <c r="R69" s="9">
        <f>IF($B$4="סהכ",
INDEX(טבלה1[[SPPR_1986]:[SPPR_symbolic_full_import_as_DC]], MATCH('השוואת פקטורים'!$B69, 'PPRs all'!$A$2:$A$108, 0), MATCH('השוואת פקטורים'!R$6, טבלה1[[#Headers],[SPPR_1986]:[SPPR_symbolic_full_import_as_DC]], 0)) / INDEX(טבלה1[[SPPR_1986]:[SPPR_symbolic_full_import_as_DC]], MATCH('השוואת פקטורים'!$B69, 'PPRs all'!$A$2:$A$108, 0), MATCH('השוואת פקטורים'!Q$6, טבלה1[[#Headers],[SPPR_1986]:[SPPR_symbolic_full_import_as_DC]], 0)),
INDEX(טבלה2[[SPPR_1986]:[SPPR_symbolic_full_import_as_DC]], MATCH('השוואת פקטורים'!$B69, 'PPRs inner'!$A$2:$A$108, 0), MATCH('השוואת פקטורים'!R$6, טבלה2[[#Headers],[SPPR_1986]:[SPPR_symbolic_full_import_as_DC]], 0)) / INDEX(טבלה2[[SPPR_1986]:[SPPR_symbolic_full_import_as_DC]], MATCH('השוואת פקטורים'!$B69, 'PPRs inner'!$A$2:$A$108, 0), MATCH('השוואת פקטורים'!Q$6, טבלה2[[#Headers],[SPPR_1986]:[SPPR_symbolic_full_import_as_DC]], 0))
)</f>
        <v>1.0000077206546001</v>
      </c>
      <c r="S69" s="9">
        <f>IF($B$4="סהכ",
INDEX(טבלה1[[SPPR_1986]:[SPPR_symbolic_full_import_as_DC]], MATCH('השוואת פקטורים'!$B69, 'PPRs all'!$A$2:$A$108, 0), MATCH('השוואת פקטורים'!S$6, טבלה1[[#Headers],[SPPR_1986]:[SPPR_symbolic_full_import_as_DC]], 0)) / INDEX(טבלה1[[SPPR_1986]:[SPPR_symbolic_full_import_as_DC]], MATCH('השוואת פקטורים'!$B69, 'PPRs all'!$A$2:$A$108, 0), MATCH('השוואת פקטורים'!R$6, טבלה1[[#Headers],[SPPR_1986]:[SPPR_symbolic_full_import_as_DC]], 0)),
INDEX(טבלה2[[SPPR_1986]:[SPPR_symbolic_full_import_as_DC]], MATCH('השוואת פקטורים'!$B69, 'PPRs inner'!$A$2:$A$108, 0), MATCH('השוואת פקטורים'!S$6, טבלה2[[#Headers],[SPPR_1986]:[SPPR_symbolic_full_import_as_DC]], 0)) / INDEX(טבלה2[[SPPR_1986]:[SPPR_symbolic_full_import_as_DC]], MATCH('השוואת פקטורים'!$B69, 'PPRs inner'!$A$2:$A$108, 0), MATCH('השוואת פקטורים'!R$6, טבלה2[[#Headers],[SPPR_1986]:[SPPR_symbolic_full_import_as_DC]], 0))
)</f>
        <v>0.9999922794050079</v>
      </c>
      <c r="T69" s="9">
        <f>IF($B$4="סהכ",
INDEX(טבלה1[[SPPR_1986]:[SPPR_symbolic_full_import_as_DC]], MATCH('השוואת פקטורים'!$B69, 'PPRs all'!$A$2:$A$108, 0), MATCH('השוואת פקטורים'!T$6, טבלה1[[#Headers],[SPPR_1986]:[SPPR_symbolic_full_import_as_DC]], 0)) / INDEX(טבלה1[[SPPR_1986]:[SPPR_symbolic_full_import_as_DC]], MATCH('השוואת פקטורים'!$B69, 'PPRs all'!$A$2:$A$108, 0), MATCH('השוואת פקטורים'!S$6, טבלה1[[#Headers],[SPPR_1986]:[SPPR_symbolic_full_import_as_DC]], 0)),
INDEX(טבלה2[[SPPR_1986]:[SPPR_symbolic_full_import_as_DC]], MATCH('השוואת פקטורים'!$B69, 'PPRs inner'!$A$2:$A$108, 0), MATCH('השוואת פקטורים'!T$6, טבלה2[[#Headers],[SPPR_1986]:[SPPR_symbolic_full_import_as_DC]], 0)) / INDEX(טבלה2[[SPPR_1986]:[SPPR_symbolic_full_import_as_DC]], MATCH('השוואת פקטורים'!$B69, 'PPRs inner'!$A$2:$A$108, 0), MATCH('השוואת פקטורים'!S$6, טבלה2[[#Headers],[SPPR_1986]:[SPPR_symbolic_full_import_as_DC]], 0))
)</f>
        <v>1.0000077206546001</v>
      </c>
      <c r="U69" s="9">
        <f>IF($B$4="סהכ",
INDEX(טבלה1[[SPPR_1986]:[SPPR_symbolic_full_import_as_DC]], MATCH('השוואת פקטורים'!$B69, 'PPRs all'!$A$2:$A$108, 0), MATCH('השוואת פקטורים'!U$6, טבלה1[[#Headers],[SPPR_1986]:[SPPR_symbolic_full_import_as_DC]], 0)) / INDEX(טבלה1[[SPPR_1986]:[SPPR_symbolic_full_import_as_DC]], MATCH('השוואת פקטורים'!$B69, 'PPRs all'!$A$2:$A$108, 0), MATCH('השוואת פקטורים'!T$6, טבלה1[[#Headers],[SPPR_1986]:[SPPR_symbolic_full_import_as_DC]], 0)),
INDEX(טבלה2[[SPPR_1986]:[SPPR_symbolic_full_import_as_DC]], MATCH('השוואת פקטורים'!$B69, 'PPRs inner'!$A$2:$A$108, 0), MATCH('השוואת פקטורים'!U$6, טבלה2[[#Headers],[SPPR_1986]:[SPPR_symbolic_full_import_as_DC]], 0)) / INDEX(טבלה2[[SPPR_1986]:[SPPR_symbolic_full_import_as_DC]], MATCH('השוואת פקטורים'!$B69, 'PPRs inner'!$A$2:$A$108, 0), MATCH('השוואת פקטורים'!T$6, טבלה2[[#Headers],[SPPR_1986]:[SPPR_symbolic_full_import_as_DC]], 0))
)</f>
        <v>0.99999227940500746</v>
      </c>
      <c r="V69" s="9"/>
      <c r="W69" s="9"/>
      <c r="X69" s="14"/>
      <c r="Y69" s="14"/>
      <c r="Z69" s="15">
        <f t="shared" si="2"/>
        <v>0.19454975206753716</v>
      </c>
    </row>
    <row r="70" spans="2:26" x14ac:dyDescent="0.3">
      <c r="B70" s="6" t="s">
        <v>84</v>
      </c>
      <c r="C70" s="12" t="b">
        <v>1</v>
      </c>
      <c r="D70" s="12" t="b">
        <v>1</v>
      </c>
      <c r="E70" s="12" t="b">
        <v>1</v>
      </c>
      <c r="F70" s="12" t="b">
        <f t="shared" si="1"/>
        <v>1</v>
      </c>
      <c r="G70" s="7" t="b">
        <f>ABS(INDEX(טבלה5[[SPPR_1986]:[SPPR_symbolic_full_import_as_DC]],MATCH('השוואת פקטורים'!$B70,טבלה5[עמודה1],0),MATCH($C$4,טבלה5[[#Headers],[SPPR_1986]:[SPPR_symbolic_full_import_as_DC]],0))) &lt; 5</f>
        <v>1</v>
      </c>
      <c r="H70" s="7" t="b">
        <f>INDEX(טבלה3[[SPPR_1986]:[SPPR_symbolic_full_import_as_DC]],MATCH('השוואת פקטורים'!$B70,טבלה3[עמודה1],0),MATCH($C$4,טבלה3[[#Headers],[SPPR_1986]:[SPPR_symbolic_full_import_as_DC]],0))</f>
        <v>1</v>
      </c>
      <c r="I70" s="7" t="b">
        <f t="shared" si="3"/>
        <v>1</v>
      </c>
      <c r="J70" s="13"/>
      <c r="K70" s="9">
        <f>IF($B$4="סהכ",
INDEX(טבלה1[[SPPR_1986]:[SPPR_symbolic_full_import_as_DC]], MATCH('השוואת פקטורים'!$B70, 'PPRs all'!$A$2:$A$108, 0), MATCH('השוואת פקטורים'!K$6, טבלה1[[#Headers],[SPPR_1986]:[SPPR_symbolic_full_import_as_DC]], 0)) / INDEX(טבלה1[[SPPR_1986]:[SPPR_symbolic_full_import_as_DC]], MATCH('השוואת פקטורים'!$B70, 'PPRs all'!$A$2:$A$108, 0), MATCH('השוואת פקטורים'!J$6, טבלה1[[#Headers],[SPPR_1986]:[SPPR_symbolic_full_import_as_DC]], 0)),
INDEX(טבלה2[[SPPR_1986]:[SPPR_symbolic_full_import_as_DC]], MATCH('השוואת פקטורים'!$B70, 'PPRs inner'!$A$2:$A$108, 0), MATCH('השוואת פקטורים'!K$6, טבלה2[[#Headers],[SPPR_1986]:[SPPR_symbolic_full_import_as_DC]], 0)) / INDEX(טבלה2[[SPPR_1986]:[SPPR_symbolic_full_import_as_DC]], MATCH('השוואת פקטורים'!$B70, 'PPRs inner'!$A$2:$A$108, 0), MATCH('השוואת פקטורים'!J$6, טבלה2[[#Headers],[SPPR_1986]:[SPPR_symbolic_full_import_as_DC]], 0))
)</f>
        <v>4.3108979764697075</v>
      </c>
      <c r="L70" s="9">
        <f>IF($B$4="סהכ",
INDEX(טבלה1[[SPPR_1986]:[SPPR_symbolic_full_import_as_DC]], MATCH('השוואת פקטורים'!$B70, 'PPRs all'!$A$2:$A$108, 0), MATCH('השוואת פקטורים'!L$6, טבלה1[[#Headers],[SPPR_1986]:[SPPR_symbolic_full_import_as_DC]], 0)) / INDEX(טבלה1[[SPPR_1986]:[SPPR_symbolic_full_import_as_DC]], MATCH('השוואת פקטורים'!$B70, 'PPRs all'!$A$2:$A$108, 0), MATCH('השוואת פקטורים'!K$6, טבלה1[[#Headers],[SPPR_1986]:[SPPR_symbolic_full_import_as_DC]], 0)),
INDEX(טבלה2[[SPPR_1986]:[SPPR_symbolic_full_import_as_DC]], MATCH('השוואת פקטורים'!$B70, 'PPRs inner'!$A$2:$A$108, 0), MATCH('השוואת פקטורים'!L$6, טבלה2[[#Headers],[SPPR_1986]:[SPPR_symbolic_full_import_as_DC]], 0)) / INDEX(טבלה2[[SPPR_1986]:[SPPR_symbolic_full_import_as_DC]], MATCH('השוואת פקטורים'!$B70, 'PPRs inner'!$A$2:$A$108, 0), MATCH('השוואת פקטורים'!K$6, טבלה2[[#Headers],[SPPR_1986]:[SPPR_symbolic_full_import_as_DC]], 0))
)</f>
        <v>351.95122732748706</v>
      </c>
      <c r="M70" s="9">
        <f>IF($B$4="סהכ",
INDEX(טבלה1[[SPPR_1986]:[SPPR_symbolic_full_import_as_DC]], MATCH('השוואת פקטורים'!$B70, 'PPRs all'!$A$2:$A$108, 0), MATCH('השוואת פקטורים'!M$6, טבלה1[[#Headers],[SPPR_1986]:[SPPR_symbolic_full_import_as_DC]], 0)) / INDEX(טבלה1[[SPPR_1986]:[SPPR_symbolic_full_import_as_DC]], MATCH('השוואת פקטורים'!$B70, 'PPRs all'!$A$2:$A$108, 0), MATCH('השוואת פקטורים'!L$6, טבלה1[[#Headers],[SPPR_1986]:[SPPR_symbolic_full_import_as_DC]], 0)),
INDEX(טבלה2[[SPPR_1986]:[SPPR_symbolic_full_import_as_DC]], MATCH('השוואת פקטורים'!$B70, 'PPRs inner'!$A$2:$A$108, 0), MATCH('השוואת פקטורים'!M$6, טבלה2[[#Headers],[SPPR_1986]:[SPPR_symbolic_full_import_as_DC]], 0)) / INDEX(טבלה2[[SPPR_1986]:[SPPR_symbolic_full_import_as_DC]], MATCH('השוואת פקטורים'!$B70, 'PPRs inner'!$A$2:$A$108, 0), MATCH('השוואת פקטורים'!L$6, טבלה2[[#Headers],[SPPR_1986]:[SPPR_symbolic_full_import_as_DC]], 0))
)</f>
        <v>4.4300732829461861E-3</v>
      </c>
      <c r="N70" s="9">
        <f>IF($B$4="סהכ",
INDEX(טבלה1[[SPPR_1986]:[SPPR_symbolic_full_import_as_DC]], MATCH('השוואת פקטורים'!$B70, 'PPRs all'!$A$2:$A$108, 0), MATCH('השוואת פקטורים'!N$6, טבלה1[[#Headers],[SPPR_1986]:[SPPR_symbolic_full_import_as_DC]], 0)) / INDEX(טבלה1[[SPPR_1986]:[SPPR_symbolic_full_import_as_DC]], MATCH('השוואת פקטורים'!$B70, 'PPRs all'!$A$2:$A$108, 0), MATCH('השוואת פקטורים'!M$6, טבלה1[[#Headers],[SPPR_1986]:[SPPR_symbolic_full_import_as_DC]], 0)),
INDEX(טבלה2[[SPPR_1986]:[SPPR_symbolic_full_import_as_DC]], MATCH('השוואת פקטורים'!$B70, 'PPRs inner'!$A$2:$A$108, 0), MATCH('השוואת פקטורים'!N$6, טבלה2[[#Headers],[SPPR_1986]:[SPPR_symbolic_full_import_as_DC]], 0)) / INDEX(טבלה2[[SPPR_1986]:[SPPR_symbolic_full_import_as_DC]], MATCH('השוואת פקטורים'!$B70, 'PPRs inner'!$A$2:$A$108, 0), MATCH('השוואת פקטורים'!M$6, טבלה2[[#Headers],[SPPR_1986]:[SPPR_symbolic_full_import_as_DC]], 0))
)</f>
        <v>1.1835137649539196</v>
      </c>
      <c r="O70" s="9">
        <f>IF($B$4="סהכ",
INDEX(טבלה1[[SPPR_1986]:[SPPR_symbolic_full_import_as_DC]], MATCH('השוואת פקטורים'!$B70, 'PPRs all'!$A$2:$A$108, 0), MATCH('השוואת פקטורים'!O$6, טבלה1[[#Headers],[SPPR_1986]:[SPPR_symbolic_full_import_as_DC]], 0)) / INDEX(טבלה1[[SPPR_1986]:[SPPR_symbolic_full_import_as_DC]], MATCH('השוואת פקטורים'!$B70, 'PPRs all'!$A$2:$A$108, 0), MATCH('השוואת פקטורים'!N$6, טבלה1[[#Headers],[SPPR_1986]:[SPPR_symbolic_full_import_as_DC]], 0)),
INDEX(טבלה2[[SPPR_1986]:[SPPR_symbolic_full_import_as_DC]], MATCH('השוואת פקטורים'!$B70, 'PPRs inner'!$A$2:$A$108, 0), MATCH('השוואת פקטורים'!O$6, טבלה2[[#Headers],[SPPR_1986]:[SPPR_symbolic_full_import_as_DC]], 0)) / INDEX(טבלה2[[SPPR_1986]:[SPPR_symbolic_full_import_as_DC]], MATCH('השוואת פקטורים'!$B70, 'PPRs inner'!$A$2:$A$108, 0), MATCH('השוואת פקטורים'!N$6, טבלה2[[#Headers],[SPPR_1986]:[SPPR_symbolic_full_import_as_DC]], 0))
)</f>
        <v>1.0000000000000004</v>
      </c>
      <c r="P70" s="9">
        <f>IF($B$4="סהכ",
INDEX(טבלה1[[SPPR_1986]:[SPPR_symbolic_full_import_as_DC]], MATCH('השוואת פקטורים'!$B70, 'PPRs all'!$A$2:$A$108, 0), MATCH('השוואת פקטורים'!P$6, טבלה1[[#Headers],[SPPR_1986]:[SPPR_symbolic_full_import_as_DC]], 0)) / INDEX(טבלה1[[SPPR_1986]:[SPPR_symbolic_full_import_as_DC]], MATCH('השוואת פקטורים'!$B70, 'PPRs all'!$A$2:$A$108, 0), MATCH('השוואת פקטורים'!O$6, טבלה1[[#Headers],[SPPR_1986]:[SPPR_symbolic_full_import_as_DC]], 0)),
INDEX(טבלה2[[SPPR_1986]:[SPPR_symbolic_full_import_as_DC]], MATCH('השוואת פקטורים'!$B70, 'PPRs inner'!$A$2:$A$108, 0), MATCH('השוואת פקטורים'!P$6, טבלה2[[#Headers],[SPPR_1986]:[SPPR_symbolic_full_import_as_DC]], 0)) / INDEX(טבלה2[[SPPR_1986]:[SPPR_symbolic_full_import_as_DC]], MATCH('השוואת פקטורים'!$B70, 'PPRs inner'!$A$2:$A$108, 0), MATCH('השוואת פקטורים'!O$6, טבלה2[[#Headers],[SPPR_1986]:[SPPR_symbolic_full_import_as_DC]], 0))
)</f>
        <v>1.3611463630164373</v>
      </c>
      <c r="Q70" s="9">
        <f>IF($B$4="סהכ",
INDEX(טבלה1[[SPPR_1986]:[SPPR_symbolic_full_import_as_DC]], MATCH('השוואת פקטורים'!$B70, 'PPRs all'!$A$2:$A$108, 0), MATCH('השוואת פקטורים'!Q$6, טבלה1[[#Headers],[SPPR_1986]:[SPPR_symbolic_full_import_as_DC]], 0)) / INDEX(טבלה1[[SPPR_1986]:[SPPR_symbolic_full_import_as_DC]], MATCH('השוואת פקטורים'!$B70, 'PPRs all'!$A$2:$A$108, 0), MATCH('השוואת פקטורים'!P$6, טבלה1[[#Headers],[SPPR_1986]:[SPPR_symbolic_full_import_as_DC]], 0)),
INDEX(טבלה2[[SPPR_1986]:[SPPR_symbolic_full_import_as_DC]], MATCH('השוואת פקטורים'!$B70, 'PPRs inner'!$A$2:$A$108, 0), MATCH('השוואת פקטורים'!Q$6, טבלה2[[#Headers],[SPPR_1986]:[SPPR_symbolic_full_import_as_DC]], 0)) / INDEX(טבלה2[[SPPR_1986]:[SPPR_symbolic_full_import_as_DC]], MATCH('השוואת פקטורים'!$B70, 'PPRs inner'!$A$2:$A$108, 0), MATCH('השוואת פקטורים'!P$6, טבלה2[[#Headers],[SPPR_1986]:[SPPR_symbolic_full_import_as_DC]], 0))
)</f>
        <v>1.000000000000002</v>
      </c>
      <c r="R70" s="9">
        <f>IF($B$4="סהכ",
INDEX(טבלה1[[SPPR_1986]:[SPPR_symbolic_full_import_as_DC]], MATCH('השוואת פקטורים'!$B70, 'PPRs all'!$A$2:$A$108, 0), MATCH('השוואת פקטורים'!R$6, טבלה1[[#Headers],[SPPR_1986]:[SPPR_symbolic_full_import_as_DC]], 0)) / INDEX(טבלה1[[SPPR_1986]:[SPPR_symbolic_full_import_as_DC]], MATCH('השוואת פקטורים'!$B70, 'PPRs all'!$A$2:$A$108, 0), MATCH('השוואת פקטורים'!Q$6, טבלה1[[#Headers],[SPPR_1986]:[SPPR_symbolic_full_import_as_DC]], 0)),
INDEX(טבלה2[[SPPR_1986]:[SPPR_symbolic_full_import_as_DC]], MATCH('השוואת פקטורים'!$B70, 'PPRs inner'!$A$2:$A$108, 0), MATCH('השוואת פקטורים'!R$6, טבלה2[[#Headers],[SPPR_1986]:[SPPR_symbolic_full_import_as_DC]], 0)) / INDEX(טבלה2[[SPPR_1986]:[SPPR_symbolic_full_import_as_DC]], MATCH('השוואת פקטורים'!$B70, 'PPRs inner'!$A$2:$A$108, 0), MATCH('השוואת פקטורים'!Q$6, טבלה2[[#Headers],[SPPR_1986]:[SPPR_symbolic_full_import_as_DC]], 0))
)</f>
        <v>-5.4884216015965964E-2</v>
      </c>
      <c r="S70" s="9">
        <f>IF($B$4="סהכ",
INDEX(טבלה1[[SPPR_1986]:[SPPR_symbolic_full_import_as_DC]], MATCH('השוואת פקטורים'!$B70, 'PPRs all'!$A$2:$A$108, 0), MATCH('השוואת פקטורים'!S$6, טבלה1[[#Headers],[SPPR_1986]:[SPPR_symbolic_full_import_as_DC]], 0)) / INDEX(טבלה1[[SPPR_1986]:[SPPR_symbolic_full_import_as_DC]], MATCH('השוואת פקטורים'!$B70, 'PPRs all'!$A$2:$A$108, 0), MATCH('השוואת פקטורים'!R$6, טבלה1[[#Headers],[SPPR_1986]:[SPPR_symbolic_full_import_as_DC]], 0)),
INDEX(טבלה2[[SPPR_1986]:[SPPR_symbolic_full_import_as_DC]], MATCH('השוואת פקטורים'!$B70, 'PPRs inner'!$A$2:$A$108, 0), MATCH('השוואת פקטורים'!S$6, טבלה2[[#Headers],[SPPR_1986]:[SPPR_symbolic_full_import_as_DC]], 0)) / INDEX(טבלה2[[SPPR_1986]:[SPPR_symbolic_full_import_as_DC]], MATCH('השוואת פקטורים'!$B70, 'PPRs inner'!$A$2:$A$108, 0), MATCH('השוואת פקטורים'!R$6, טבלה2[[#Headers],[SPPR_1986]:[SPPR_symbolic_full_import_as_DC]], 0))
)</f>
        <v>-18.220174625599046</v>
      </c>
      <c r="T70" s="9">
        <f>IF($B$4="סהכ",
INDEX(טבלה1[[SPPR_1986]:[SPPR_symbolic_full_import_as_DC]], MATCH('השוואת פקטורים'!$B70, 'PPRs all'!$A$2:$A$108, 0), MATCH('השוואת פקטורים'!T$6, טבלה1[[#Headers],[SPPR_1986]:[SPPR_symbolic_full_import_as_DC]], 0)) / INDEX(טבלה1[[SPPR_1986]:[SPPR_symbolic_full_import_as_DC]], MATCH('השוואת פקטורים'!$B70, 'PPRs all'!$A$2:$A$108, 0), MATCH('השוואת פקטורים'!S$6, טבלה1[[#Headers],[SPPR_1986]:[SPPR_symbolic_full_import_as_DC]], 0)),
INDEX(טבלה2[[SPPR_1986]:[SPPR_symbolic_full_import_as_DC]], MATCH('השוואת פקטורים'!$B70, 'PPRs inner'!$A$2:$A$108, 0), MATCH('השוואת פקטורים'!T$6, טבלה2[[#Headers],[SPPR_1986]:[SPPR_symbolic_full_import_as_DC]], 0)) / INDEX(טבלה2[[SPPR_1986]:[SPPR_symbolic_full_import_as_DC]], MATCH('השוואת פקטורים'!$B70, 'PPRs inner'!$A$2:$A$108, 0), MATCH('השוואת פקטורים'!S$6, טבלה2[[#Headers],[SPPR_1986]:[SPPR_symbolic_full_import_as_DC]], 0))
)</f>
        <v>-5.4884216015965964E-2</v>
      </c>
      <c r="U70" s="9">
        <f>IF($B$4="סהכ",
INDEX(טבלה1[[SPPR_1986]:[SPPR_symbolic_full_import_as_DC]], MATCH('השוואת פקטורים'!$B70, 'PPRs all'!$A$2:$A$108, 0), MATCH('השוואת פקטורים'!U$6, טבלה1[[#Headers],[SPPR_1986]:[SPPR_symbolic_full_import_as_DC]], 0)) / INDEX(טבלה1[[SPPR_1986]:[SPPR_symbolic_full_import_as_DC]], MATCH('השוואת פקטורים'!$B70, 'PPRs all'!$A$2:$A$108, 0), MATCH('השוואת פקטורים'!T$6, טבלה1[[#Headers],[SPPR_1986]:[SPPR_symbolic_full_import_as_DC]], 0)),
INDEX(טבלה2[[SPPR_1986]:[SPPR_symbolic_full_import_as_DC]], MATCH('השוואת פקטורים'!$B70, 'PPRs inner'!$A$2:$A$108, 0), MATCH('השוואת פקטורים'!U$6, טבלה2[[#Headers],[SPPR_1986]:[SPPR_symbolic_full_import_as_DC]], 0)) / INDEX(טבלה2[[SPPR_1986]:[SPPR_symbolic_full_import_as_DC]], MATCH('השוואת פקטורים'!$B70, 'PPRs inner'!$A$2:$A$108, 0), MATCH('השוואת פקטורים'!T$6, טבלה2[[#Headers],[SPPR_1986]:[SPPR_symbolic_full_import_as_DC]], 0))
)</f>
        <v>-18.220174625599014</v>
      </c>
      <c r="V70" s="9"/>
      <c r="W70" s="9"/>
      <c r="X70" s="14"/>
      <c r="Y70" s="14"/>
      <c r="Z70" s="15">
        <f t="shared" si="2"/>
        <v>10.827776423640577</v>
      </c>
    </row>
    <row r="71" spans="2:26" x14ac:dyDescent="0.3">
      <c r="B71" s="6" t="s">
        <v>85</v>
      </c>
      <c r="C71" s="12" t="b">
        <v>1</v>
      </c>
      <c r="D71" s="12" t="b">
        <v>1</v>
      </c>
      <c r="E71" s="12" t="b">
        <v>1</v>
      </c>
      <c r="F71" s="12" t="b">
        <f t="shared" si="1"/>
        <v>1</v>
      </c>
      <c r="G71" s="7" t="b">
        <f>ABS(INDEX(טבלה5[[SPPR_1986]:[SPPR_symbolic_full_import_as_DC]],MATCH('השוואת פקטורים'!$B71,טבלה5[עמודה1],0),MATCH($C$4,טבלה5[[#Headers],[SPPR_1986]:[SPPR_symbolic_full_import_as_DC]],0))) &lt; 5</f>
        <v>1</v>
      </c>
      <c r="H71" s="7" t="b">
        <f>INDEX(טבלה3[[SPPR_1986]:[SPPR_symbolic_full_import_as_DC]],MATCH('השוואת פקטורים'!$B71,טבלה3[עמודה1],0),MATCH($C$4,טבלה3[[#Headers],[SPPR_1986]:[SPPR_symbolic_full_import_as_DC]],0))</f>
        <v>1</v>
      </c>
      <c r="I71" s="7" t="b">
        <f t="shared" ref="I71:I102" si="4">AND(C71:H71)</f>
        <v>1</v>
      </c>
      <c r="J71" s="13"/>
      <c r="K71" s="9">
        <f>IF($B$4="סהכ",
INDEX(טבלה1[[SPPR_1986]:[SPPR_symbolic_full_import_as_DC]], MATCH('השוואת פקטורים'!$B71, 'PPRs all'!$A$2:$A$108, 0), MATCH('השוואת פקטורים'!K$6, טבלה1[[#Headers],[SPPR_1986]:[SPPR_symbolic_full_import_as_DC]], 0)) / INDEX(טבלה1[[SPPR_1986]:[SPPR_symbolic_full_import_as_DC]], MATCH('השוואת פקטורים'!$B71, 'PPRs all'!$A$2:$A$108, 0), MATCH('השוואת פקטורים'!J$6, טבלה1[[#Headers],[SPPR_1986]:[SPPR_symbolic_full_import_as_DC]], 0)),
INDEX(טבלה2[[SPPR_1986]:[SPPR_symbolic_full_import_as_DC]], MATCH('השוואת פקטורים'!$B71, 'PPRs inner'!$A$2:$A$108, 0), MATCH('השוואת פקטורים'!K$6, טבלה2[[#Headers],[SPPR_1986]:[SPPR_symbolic_full_import_as_DC]], 0)) / INDEX(טבלה2[[SPPR_1986]:[SPPR_symbolic_full_import_as_DC]], MATCH('השוואת פקטורים'!$B71, 'PPRs inner'!$A$2:$A$108, 0), MATCH('השוואת פקטורים'!J$6, טבלה2[[#Headers],[SPPR_1986]:[SPPR_symbolic_full_import_as_DC]], 0))
)</f>
        <v>0.38325878347188402</v>
      </c>
      <c r="L71" s="9">
        <f>IF($B$4="סהכ",
INDEX(טבלה1[[SPPR_1986]:[SPPR_symbolic_full_import_as_DC]], MATCH('השוואת פקטורים'!$B71, 'PPRs all'!$A$2:$A$108, 0), MATCH('השוואת פקטורים'!L$6, טבלה1[[#Headers],[SPPR_1986]:[SPPR_symbolic_full_import_as_DC]], 0)) / INDEX(טבלה1[[SPPR_1986]:[SPPR_symbolic_full_import_as_DC]], MATCH('השוואת פקטורים'!$B71, 'PPRs all'!$A$2:$A$108, 0), MATCH('השוואת פקטורים'!K$6, טבלה1[[#Headers],[SPPR_1986]:[SPPR_symbolic_full_import_as_DC]], 0)),
INDEX(טבלה2[[SPPR_1986]:[SPPR_symbolic_full_import_as_DC]], MATCH('השוואת פקטורים'!$B71, 'PPRs inner'!$A$2:$A$108, 0), MATCH('השוואת פקטורים'!L$6, טבלה2[[#Headers],[SPPR_1986]:[SPPR_symbolic_full_import_as_DC]], 0)) / INDEX(טבלה2[[SPPR_1986]:[SPPR_symbolic_full_import_as_DC]], MATCH('השוואת פקטורים'!$B71, 'PPRs inner'!$A$2:$A$108, 0), MATCH('השוואת פקטורים'!K$6, טבלה2[[#Headers],[SPPR_1986]:[SPPR_symbolic_full_import_as_DC]], 0))
)</f>
        <v>2.2575032441166885</v>
      </c>
      <c r="M71" s="9">
        <f>IF($B$4="סהכ",
INDEX(טבלה1[[SPPR_1986]:[SPPR_symbolic_full_import_as_DC]], MATCH('השוואת פקטורים'!$B71, 'PPRs all'!$A$2:$A$108, 0), MATCH('השוואת פקטורים'!M$6, טבלה1[[#Headers],[SPPR_1986]:[SPPR_symbolic_full_import_as_DC]], 0)) / INDEX(טבלה1[[SPPR_1986]:[SPPR_symbolic_full_import_as_DC]], MATCH('השוואת פקטורים'!$B71, 'PPRs all'!$A$2:$A$108, 0), MATCH('השוואת פקטורים'!L$6, טבלה1[[#Headers],[SPPR_1986]:[SPPR_symbolic_full_import_as_DC]], 0)),
INDEX(טבלה2[[SPPR_1986]:[SPPR_symbolic_full_import_as_DC]], MATCH('השוואת פקטורים'!$B71, 'PPRs inner'!$A$2:$A$108, 0), MATCH('השוואת פקטורים'!M$6, טבלה2[[#Headers],[SPPR_1986]:[SPPR_symbolic_full_import_as_DC]], 0)) / INDEX(טבלה2[[SPPR_1986]:[SPPR_symbolic_full_import_as_DC]], MATCH('השוואת פקטורים'!$B71, 'PPRs inner'!$A$2:$A$108, 0), MATCH('השוואת פקטורים'!L$6, טבלה2[[#Headers],[SPPR_1986]:[SPPR_symbolic_full_import_as_DC]], 0))
)</f>
        <v>0.72601565073558383</v>
      </c>
      <c r="N71" s="9">
        <f>IF($B$4="סהכ",
INDEX(טבלה1[[SPPR_1986]:[SPPR_symbolic_full_import_as_DC]], MATCH('השוואת פקטורים'!$B71, 'PPRs all'!$A$2:$A$108, 0), MATCH('השוואת פקטורים'!N$6, טבלה1[[#Headers],[SPPR_1986]:[SPPR_symbolic_full_import_as_DC]], 0)) / INDEX(טבלה1[[SPPR_1986]:[SPPR_symbolic_full_import_as_DC]], MATCH('השוואת פקטורים'!$B71, 'PPRs all'!$A$2:$A$108, 0), MATCH('השוואת פקטורים'!M$6, טבלה1[[#Headers],[SPPR_1986]:[SPPR_symbolic_full_import_as_DC]], 0)),
INDEX(טבלה2[[SPPR_1986]:[SPPR_symbolic_full_import_as_DC]], MATCH('השוואת פקטורים'!$B71, 'PPRs inner'!$A$2:$A$108, 0), MATCH('השוואת פקטורים'!N$6, טבלה2[[#Headers],[SPPR_1986]:[SPPR_symbolic_full_import_as_DC]], 0)) / INDEX(טבלה2[[SPPR_1986]:[SPPR_symbolic_full_import_as_DC]], MATCH('השוואת פקטורים'!$B71, 'PPRs inner'!$A$2:$A$108, 0), MATCH('השוואת פקטורים'!M$6, טבלה2[[#Headers],[SPPR_1986]:[SPPR_symbolic_full_import_as_DC]], 0))
)</f>
        <v>1.7968950151957412</v>
      </c>
      <c r="O71" s="9">
        <f>IF($B$4="סהכ",
INDEX(טבלה1[[SPPR_1986]:[SPPR_symbolic_full_import_as_DC]], MATCH('השוואת פקטורים'!$B71, 'PPRs all'!$A$2:$A$108, 0), MATCH('השוואת פקטורים'!O$6, טבלה1[[#Headers],[SPPR_1986]:[SPPR_symbolic_full_import_as_DC]], 0)) / INDEX(טבלה1[[SPPR_1986]:[SPPR_symbolic_full_import_as_DC]], MATCH('השוואת פקטורים'!$B71, 'PPRs all'!$A$2:$A$108, 0), MATCH('השוואת פקטורים'!N$6, טבלה1[[#Headers],[SPPR_1986]:[SPPR_symbolic_full_import_as_DC]], 0)),
INDEX(טבלה2[[SPPR_1986]:[SPPR_symbolic_full_import_as_DC]], MATCH('השוואת פקטורים'!$B71, 'PPRs inner'!$A$2:$A$108, 0), MATCH('השוואת פקטורים'!O$6, טבלה2[[#Headers],[SPPR_1986]:[SPPR_symbolic_full_import_as_DC]], 0)) / INDEX(טבלה2[[SPPR_1986]:[SPPR_symbolic_full_import_as_DC]], MATCH('השוואת פקטורים'!$B71, 'PPRs inner'!$A$2:$A$108, 0), MATCH('השוואת פקטורים'!N$6, טבלה2[[#Headers],[SPPR_1986]:[SPPR_symbolic_full_import_as_DC]], 0))
)</f>
        <v>1.0000000000000013</v>
      </c>
      <c r="P71" s="9">
        <f>IF($B$4="סהכ",
INDEX(טבלה1[[SPPR_1986]:[SPPR_symbolic_full_import_as_DC]], MATCH('השוואת פקטורים'!$B71, 'PPRs all'!$A$2:$A$108, 0), MATCH('השוואת פקטורים'!P$6, טבלה1[[#Headers],[SPPR_1986]:[SPPR_symbolic_full_import_as_DC]], 0)) / INDEX(טבלה1[[SPPR_1986]:[SPPR_symbolic_full_import_as_DC]], MATCH('השוואת פקטורים'!$B71, 'PPRs all'!$A$2:$A$108, 0), MATCH('השוואת פקטורים'!O$6, טבלה1[[#Headers],[SPPR_1986]:[SPPR_symbolic_full_import_as_DC]], 0)),
INDEX(טבלה2[[SPPR_1986]:[SPPR_symbolic_full_import_as_DC]], MATCH('השוואת פקטורים'!$B71, 'PPRs inner'!$A$2:$A$108, 0), MATCH('השוואת פקטורים'!P$6, טבלה2[[#Headers],[SPPR_1986]:[SPPR_symbolic_full_import_as_DC]], 0)) / INDEX(טבלה2[[SPPR_1986]:[SPPR_symbolic_full_import_as_DC]], MATCH('השוואת פקטורים'!$B71, 'PPRs inner'!$A$2:$A$108, 0), MATCH('השוואת פקטורים'!O$6, טבלה2[[#Headers],[SPPR_1986]:[SPPR_symbolic_full_import_as_DC]], 0))
)</f>
        <v>0.27057501625239699</v>
      </c>
      <c r="Q71" s="9">
        <f>IF($B$4="סהכ",
INDEX(טבלה1[[SPPR_1986]:[SPPR_symbolic_full_import_as_DC]], MATCH('השוואת פקטורים'!$B71, 'PPRs all'!$A$2:$A$108, 0), MATCH('השוואת פקטורים'!Q$6, טבלה1[[#Headers],[SPPR_1986]:[SPPR_symbolic_full_import_as_DC]], 0)) / INDEX(טבלה1[[SPPR_1986]:[SPPR_symbolic_full_import_as_DC]], MATCH('השוואת פקטורים'!$B71, 'PPRs all'!$A$2:$A$108, 0), MATCH('השוואת פקטורים'!P$6, טבלה1[[#Headers],[SPPR_1986]:[SPPR_symbolic_full_import_as_DC]], 0)),
INDEX(טבלה2[[SPPR_1986]:[SPPR_symbolic_full_import_as_DC]], MATCH('השוואת פקטורים'!$B71, 'PPRs inner'!$A$2:$A$108, 0), MATCH('השוואת פקטורים'!Q$6, טבלה2[[#Headers],[SPPR_1986]:[SPPR_symbolic_full_import_as_DC]], 0)) / INDEX(טבלה2[[SPPR_1986]:[SPPR_symbolic_full_import_as_DC]], MATCH('השוואת פקטורים'!$B71, 'PPRs inner'!$A$2:$A$108, 0), MATCH('השוואת פקטורים'!P$6, טבלה2[[#Headers],[SPPR_1986]:[SPPR_symbolic_full_import_as_DC]], 0))
)</f>
        <v>1.0000000000000004</v>
      </c>
      <c r="R71" s="9">
        <f>IF($B$4="סהכ",
INDEX(טבלה1[[SPPR_1986]:[SPPR_symbolic_full_import_as_DC]], MATCH('השוואת פקטורים'!$B71, 'PPRs all'!$A$2:$A$108, 0), MATCH('השוואת פקטורים'!R$6, טבלה1[[#Headers],[SPPR_1986]:[SPPR_symbolic_full_import_as_DC]], 0)) / INDEX(טבלה1[[SPPR_1986]:[SPPR_symbolic_full_import_as_DC]], MATCH('השוואת פקטורים'!$B71, 'PPRs all'!$A$2:$A$108, 0), MATCH('השוואת פקטורים'!Q$6, טבלה1[[#Headers],[SPPR_1986]:[SPPR_symbolic_full_import_as_DC]], 0)),
INDEX(טבלה2[[SPPR_1986]:[SPPR_symbolic_full_import_as_DC]], MATCH('השוואת פקטורים'!$B71, 'PPRs inner'!$A$2:$A$108, 0), MATCH('השוואת פקטורים'!R$6, טבלה2[[#Headers],[SPPR_1986]:[SPPR_symbolic_full_import_as_DC]], 0)) / INDEX(טבלה2[[SPPR_1986]:[SPPR_symbolic_full_import_as_DC]], MATCH('השוואת פקטורים'!$B71, 'PPRs inner'!$A$2:$A$108, 0), MATCH('השוואת פקטורים'!Q$6, טבלה2[[#Headers],[SPPR_1986]:[SPPR_symbolic_full_import_as_DC]], 0))
)</f>
        <v>1.223472404526343</v>
      </c>
      <c r="S71" s="9">
        <f>IF($B$4="סהכ",
INDEX(טבלה1[[SPPR_1986]:[SPPR_symbolic_full_import_as_DC]], MATCH('השוואת פקטורים'!$B71, 'PPRs all'!$A$2:$A$108, 0), MATCH('השוואת פקטורים'!S$6, טבלה1[[#Headers],[SPPR_1986]:[SPPR_symbolic_full_import_as_DC]], 0)) / INDEX(טבלה1[[SPPR_1986]:[SPPR_symbolic_full_import_as_DC]], MATCH('השוואת פקטורים'!$B71, 'PPRs all'!$A$2:$A$108, 0), MATCH('השוואת פקטורים'!R$6, טבלה1[[#Headers],[SPPR_1986]:[SPPR_symbolic_full_import_as_DC]], 0)),
INDEX(טבלה2[[SPPR_1986]:[SPPR_symbolic_full_import_as_DC]], MATCH('השוואת פקטורים'!$B71, 'PPRs inner'!$A$2:$A$108, 0), MATCH('השוואת פקטורים'!S$6, טבלה2[[#Headers],[SPPR_1986]:[SPPR_symbolic_full_import_as_DC]], 0)) / INDEX(טבלה2[[SPPR_1986]:[SPPR_symbolic_full_import_as_DC]], MATCH('השוואת פקטורים'!$B71, 'PPRs inner'!$A$2:$A$108, 0), MATCH('השוואת פקטורים'!R$6, טבלה2[[#Headers],[SPPR_1986]:[SPPR_symbolic_full_import_as_DC]], 0))
)</f>
        <v>0.81734577445344314</v>
      </c>
      <c r="T71" s="9">
        <f>IF($B$4="סהכ",
INDEX(טבלה1[[SPPR_1986]:[SPPR_symbolic_full_import_as_DC]], MATCH('השוואת פקטורים'!$B71, 'PPRs all'!$A$2:$A$108, 0), MATCH('השוואת פקטורים'!T$6, טבלה1[[#Headers],[SPPR_1986]:[SPPR_symbolic_full_import_as_DC]], 0)) / INDEX(טבלה1[[SPPR_1986]:[SPPR_symbolic_full_import_as_DC]], MATCH('השוואת פקטורים'!$B71, 'PPRs all'!$A$2:$A$108, 0), MATCH('השוואת פקטורים'!S$6, טבלה1[[#Headers],[SPPR_1986]:[SPPR_symbolic_full_import_as_DC]], 0)),
INDEX(טבלה2[[SPPR_1986]:[SPPR_symbolic_full_import_as_DC]], MATCH('השוואת פקטורים'!$B71, 'PPRs inner'!$A$2:$A$108, 0), MATCH('השוואת פקטורים'!T$6, טבלה2[[#Headers],[SPPR_1986]:[SPPR_symbolic_full_import_as_DC]], 0)) / INDEX(טבלה2[[SPPR_1986]:[SPPR_symbolic_full_import_as_DC]], MATCH('השוואת פקטורים'!$B71, 'PPRs inner'!$A$2:$A$108, 0), MATCH('השוואת פקטורים'!S$6, טבלה2[[#Headers],[SPPR_1986]:[SPPR_symbolic_full_import_as_DC]], 0))
)</f>
        <v>1.223472404526343</v>
      </c>
      <c r="U71" s="9">
        <f>IF($B$4="סהכ",
INDEX(טבלה1[[SPPR_1986]:[SPPR_symbolic_full_import_as_DC]], MATCH('השוואת פקטורים'!$B71, 'PPRs all'!$A$2:$A$108, 0), MATCH('השוואת פקטורים'!U$6, טבלה1[[#Headers],[SPPR_1986]:[SPPR_symbolic_full_import_as_DC]], 0)) / INDEX(טבלה1[[SPPR_1986]:[SPPR_symbolic_full_import_as_DC]], MATCH('השוואת פקטורים'!$B71, 'PPRs all'!$A$2:$A$108, 0), MATCH('השוואת פקטורים'!T$6, טבלה1[[#Headers],[SPPR_1986]:[SPPR_symbolic_full_import_as_DC]], 0)),
INDEX(טבלה2[[SPPR_1986]:[SPPR_symbolic_full_import_as_DC]], MATCH('השוואת פקטורים'!$B71, 'PPRs inner'!$A$2:$A$108, 0), MATCH('השוואת פקטורים'!U$6, טבלה2[[#Headers],[SPPR_1986]:[SPPR_symbolic_full_import_as_DC]], 0)) / INDEX(טבלה2[[SPPR_1986]:[SPPR_symbolic_full_import_as_DC]], MATCH('השוואת פקטורים'!$B71, 'PPRs inner'!$A$2:$A$108, 0), MATCH('השוואת פקטורים'!T$6, טבלה2[[#Headers],[SPPR_1986]:[SPPR_symbolic_full_import_as_DC]], 0))
)</f>
        <v>0.81734577445344281</v>
      </c>
      <c r="V71" s="9"/>
      <c r="W71" s="9"/>
      <c r="X71" s="14"/>
      <c r="Y71" s="14"/>
      <c r="Z71" s="15">
        <f t="shared" si="2"/>
        <v>0.30540551821099787</v>
      </c>
    </row>
    <row r="72" spans="2:26" x14ac:dyDescent="0.3">
      <c r="B72" s="6" t="s">
        <v>86</v>
      </c>
      <c r="C72" s="12" t="b">
        <v>1</v>
      </c>
      <c r="D72" s="12" t="b">
        <v>1</v>
      </c>
      <c r="E72" s="12" t="b">
        <v>1</v>
      </c>
      <c r="F72" s="12" t="b">
        <f t="shared" ref="F72:F113" si="5">AND(C72:E72)</f>
        <v>1</v>
      </c>
      <c r="G72" s="7" t="b">
        <f>ABS(INDEX(טבלה5[[SPPR_1986]:[SPPR_symbolic_full_import_as_DC]],MATCH('השוואת פקטורים'!$B72,טבלה5[עמודה1],0),MATCH($C$4,טבלה5[[#Headers],[SPPR_1986]:[SPPR_symbolic_full_import_as_DC]],0))) &lt; 5</f>
        <v>1</v>
      </c>
      <c r="H72" s="7" t="b">
        <f>INDEX(טבלה3[[SPPR_1986]:[SPPR_symbolic_full_import_as_DC]],MATCH('השוואת פקטורים'!$B72,טבלה3[עמודה1],0),MATCH($C$4,טבלה3[[#Headers],[SPPR_1986]:[SPPR_symbolic_full_import_as_DC]],0))</f>
        <v>1</v>
      </c>
      <c r="I72" s="7" t="b">
        <f t="shared" si="4"/>
        <v>1</v>
      </c>
      <c r="J72" s="13"/>
      <c r="K72" s="9">
        <f>IF($B$4="סהכ",
INDEX(טבלה1[[SPPR_1986]:[SPPR_symbolic_full_import_as_DC]], MATCH('השוואת פקטורים'!$B72, 'PPRs all'!$A$2:$A$108, 0), MATCH('השוואת פקטורים'!K$6, טבלה1[[#Headers],[SPPR_1986]:[SPPR_symbolic_full_import_as_DC]], 0)) / INDEX(טבלה1[[SPPR_1986]:[SPPR_symbolic_full_import_as_DC]], MATCH('השוואת פקטורים'!$B72, 'PPRs all'!$A$2:$A$108, 0), MATCH('השוואת פקטורים'!J$6, טבלה1[[#Headers],[SPPR_1986]:[SPPR_symbolic_full_import_as_DC]], 0)),
INDEX(טבלה2[[SPPR_1986]:[SPPR_symbolic_full_import_as_DC]], MATCH('השוואת פקטורים'!$B72, 'PPRs inner'!$A$2:$A$108, 0), MATCH('השוואת פקטורים'!K$6, טבלה2[[#Headers],[SPPR_1986]:[SPPR_symbolic_full_import_as_DC]], 0)) / INDEX(טבלה2[[SPPR_1986]:[SPPR_symbolic_full_import_as_DC]], MATCH('השוואת פקטורים'!$B72, 'PPRs inner'!$A$2:$A$108, 0), MATCH('השוואת פקטורים'!J$6, טבלה2[[#Headers],[SPPR_1986]:[SPPR_symbolic_full_import_as_DC]], 0))
)</f>
        <v>0.52006797977016472</v>
      </c>
      <c r="L72" s="9">
        <f>IF($B$4="סהכ",
INDEX(טבלה1[[SPPR_1986]:[SPPR_symbolic_full_import_as_DC]], MATCH('השוואת פקטורים'!$B72, 'PPRs all'!$A$2:$A$108, 0), MATCH('השוואת פקטורים'!L$6, טבלה1[[#Headers],[SPPR_1986]:[SPPR_symbolic_full_import_as_DC]], 0)) / INDEX(טבלה1[[SPPR_1986]:[SPPR_symbolic_full_import_as_DC]], MATCH('השוואת פקטורים'!$B72, 'PPRs all'!$A$2:$A$108, 0), MATCH('השוואת פקטורים'!K$6, טבלה1[[#Headers],[SPPR_1986]:[SPPR_symbolic_full_import_as_DC]], 0)),
INDEX(טבלה2[[SPPR_1986]:[SPPR_symbolic_full_import_as_DC]], MATCH('השוואת פקטורים'!$B72, 'PPRs inner'!$A$2:$A$108, 0), MATCH('השוואת פקטורים'!L$6, טבלה2[[#Headers],[SPPR_1986]:[SPPR_symbolic_full_import_as_DC]], 0)) / INDEX(טבלה2[[SPPR_1986]:[SPPR_symbolic_full_import_as_DC]], MATCH('השוואת פקטורים'!$B72, 'PPRs inner'!$A$2:$A$108, 0), MATCH('השוואת פקטורים'!K$6, טבלה2[[#Headers],[SPPR_1986]:[SPPR_symbolic_full_import_as_DC]], 0))
)</f>
        <v>3.0082320349141005</v>
      </c>
      <c r="M72" s="9">
        <f>IF($B$4="סהכ",
INDEX(טבלה1[[SPPR_1986]:[SPPR_symbolic_full_import_as_DC]], MATCH('השוואת פקטורים'!$B72, 'PPRs all'!$A$2:$A$108, 0), MATCH('השוואת פקטורים'!M$6, טבלה1[[#Headers],[SPPR_1986]:[SPPR_symbolic_full_import_as_DC]], 0)) / INDEX(טבלה1[[SPPR_1986]:[SPPR_symbolic_full_import_as_DC]], MATCH('השוואת פקטורים'!$B72, 'PPRs all'!$A$2:$A$108, 0), MATCH('השוואת פקטורים'!L$6, טבלה1[[#Headers],[SPPR_1986]:[SPPR_symbolic_full_import_as_DC]], 0)),
INDEX(טבלה2[[SPPR_1986]:[SPPR_symbolic_full_import_as_DC]], MATCH('השוואת פקטורים'!$B72, 'PPRs inner'!$A$2:$A$108, 0), MATCH('השוואת פקטורים'!M$6, טבלה2[[#Headers],[SPPR_1986]:[SPPR_symbolic_full_import_as_DC]], 0)) / INDEX(טבלה2[[SPPR_1986]:[SPPR_symbolic_full_import_as_DC]], MATCH('השוואת פקטורים'!$B72, 'PPRs inner'!$A$2:$A$108, 0), MATCH('השוואת פקטורים'!L$6, טבלה2[[#Headers],[SPPR_1986]:[SPPR_symbolic_full_import_as_DC]], 0))
)</f>
        <v>0.4242508722952002</v>
      </c>
      <c r="N72" s="9">
        <f>IF($B$4="סהכ",
INDEX(טבלה1[[SPPR_1986]:[SPPR_symbolic_full_import_as_DC]], MATCH('השוואת פקטורים'!$B72, 'PPRs all'!$A$2:$A$108, 0), MATCH('השוואת פקטורים'!N$6, טבלה1[[#Headers],[SPPR_1986]:[SPPR_symbolic_full_import_as_DC]], 0)) / INDEX(טבלה1[[SPPR_1986]:[SPPR_symbolic_full_import_as_DC]], MATCH('השוואת פקטורים'!$B72, 'PPRs all'!$A$2:$A$108, 0), MATCH('השוואת פקטורים'!M$6, טבלה1[[#Headers],[SPPR_1986]:[SPPR_symbolic_full_import_as_DC]], 0)),
INDEX(טבלה2[[SPPR_1986]:[SPPR_symbolic_full_import_as_DC]], MATCH('השוואת פקטורים'!$B72, 'PPRs inner'!$A$2:$A$108, 0), MATCH('השוואת פקטורים'!N$6, טבלה2[[#Headers],[SPPR_1986]:[SPPR_symbolic_full_import_as_DC]], 0)) / INDEX(טבלה2[[SPPR_1986]:[SPPR_symbolic_full_import_as_DC]], MATCH('השוואת פקטורים'!$B72, 'PPRs inner'!$A$2:$A$108, 0), MATCH('השוואת פקטורים'!M$6, טבלה2[[#Headers],[SPPR_1986]:[SPPR_symbolic_full_import_as_DC]], 0))
)</f>
        <v>2.5535725155961009</v>
      </c>
      <c r="O72" s="9">
        <f>IF($B$4="סהכ",
INDEX(טבלה1[[SPPR_1986]:[SPPR_symbolic_full_import_as_DC]], MATCH('השוואת פקטורים'!$B72, 'PPRs all'!$A$2:$A$108, 0), MATCH('השוואת פקטורים'!O$6, טבלה1[[#Headers],[SPPR_1986]:[SPPR_symbolic_full_import_as_DC]], 0)) / INDEX(טבלה1[[SPPR_1986]:[SPPR_symbolic_full_import_as_DC]], MATCH('השוואת פקטורים'!$B72, 'PPRs all'!$A$2:$A$108, 0), MATCH('השוואת פקטורים'!N$6, טבלה1[[#Headers],[SPPR_1986]:[SPPR_symbolic_full_import_as_DC]], 0)),
INDEX(טבלה2[[SPPR_1986]:[SPPR_symbolic_full_import_as_DC]], MATCH('השוואת פקטורים'!$B72, 'PPRs inner'!$A$2:$A$108, 0), MATCH('השוואת פקטורים'!O$6, טבלה2[[#Headers],[SPPR_1986]:[SPPR_symbolic_full_import_as_DC]], 0)) / INDEX(טבלה2[[SPPR_1986]:[SPPR_symbolic_full_import_as_DC]], MATCH('השוואת פקטורים'!$B72, 'PPRs inner'!$A$2:$A$108, 0), MATCH('השוואת פקטורים'!N$6, טבלה2[[#Headers],[SPPR_1986]:[SPPR_symbolic_full_import_as_DC]], 0))
)</f>
        <v>0.99999999999999867</v>
      </c>
      <c r="P72" s="9">
        <f>IF($B$4="סהכ",
INDEX(טבלה1[[SPPR_1986]:[SPPR_symbolic_full_import_as_DC]], MATCH('השוואת פקטורים'!$B72, 'PPRs all'!$A$2:$A$108, 0), MATCH('השוואת פקטורים'!P$6, טבלה1[[#Headers],[SPPR_1986]:[SPPR_symbolic_full_import_as_DC]], 0)) / INDEX(טבלה1[[SPPR_1986]:[SPPR_symbolic_full_import_as_DC]], MATCH('השוואת פקטורים'!$B72, 'PPRs all'!$A$2:$A$108, 0), MATCH('השוואת פקטורים'!O$6, טבלה1[[#Headers],[SPPR_1986]:[SPPR_symbolic_full_import_as_DC]], 0)),
INDEX(טבלה2[[SPPR_1986]:[SPPR_symbolic_full_import_as_DC]], MATCH('השוואת פקטורים'!$B72, 'PPRs inner'!$A$2:$A$108, 0), MATCH('השוואת פקטורים'!P$6, טבלה2[[#Headers],[SPPR_1986]:[SPPR_symbolic_full_import_as_DC]], 0)) / INDEX(טבלה2[[SPPR_1986]:[SPPR_symbolic_full_import_as_DC]], MATCH('השוואת פקטורים'!$B72, 'PPRs inner'!$A$2:$A$108, 0), MATCH('השוואת פקטורים'!O$6, טבלה2[[#Headers],[SPPR_1986]:[SPPR_symbolic_full_import_as_DC]], 0))
)</f>
        <v>0.18173607469088537</v>
      </c>
      <c r="Q72" s="9">
        <f>IF($B$4="סהכ",
INDEX(טבלה1[[SPPR_1986]:[SPPR_symbolic_full_import_as_DC]], MATCH('השוואת פקטורים'!$B72, 'PPRs all'!$A$2:$A$108, 0), MATCH('השוואת פקטורים'!Q$6, טבלה1[[#Headers],[SPPR_1986]:[SPPR_symbolic_full_import_as_DC]], 0)) / INDEX(טבלה1[[SPPR_1986]:[SPPR_symbolic_full_import_as_DC]], MATCH('השוואת פקטורים'!$B72, 'PPRs all'!$A$2:$A$108, 0), MATCH('השוואת פקטורים'!P$6, טבלה1[[#Headers],[SPPR_1986]:[SPPR_symbolic_full_import_as_DC]], 0)),
INDEX(טבלה2[[SPPR_1986]:[SPPR_symbolic_full_import_as_DC]], MATCH('השוואת פקטורים'!$B72, 'PPRs inner'!$A$2:$A$108, 0), MATCH('השוואת פקטורים'!Q$6, טבלה2[[#Headers],[SPPR_1986]:[SPPR_symbolic_full_import_as_DC]], 0)) / INDEX(טבלה2[[SPPR_1986]:[SPPR_symbolic_full_import_as_DC]], MATCH('השוואת פקטורים'!$B72, 'PPRs inner'!$A$2:$A$108, 0), MATCH('השוואת פקטורים'!P$6, טבלה2[[#Headers],[SPPR_1986]:[SPPR_symbolic_full_import_as_DC]], 0))
)</f>
        <v>0.99999999999999978</v>
      </c>
      <c r="R72" s="9">
        <f>IF($B$4="סהכ",
INDEX(טבלה1[[SPPR_1986]:[SPPR_symbolic_full_import_as_DC]], MATCH('השוואת פקטורים'!$B72, 'PPRs all'!$A$2:$A$108, 0), MATCH('השוואת פקטורים'!R$6, טבלה1[[#Headers],[SPPR_1986]:[SPPR_symbolic_full_import_as_DC]], 0)) / INDEX(טבלה1[[SPPR_1986]:[SPPR_symbolic_full_import_as_DC]], MATCH('השוואת פקטורים'!$B72, 'PPRs all'!$A$2:$A$108, 0), MATCH('השוואת פקטורים'!Q$6, טבלה1[[#Headers],[SPPR_1986]:[SPPR_symbolic_full_import_as_DC]], 0)),
INDEX(טבלה2[[SPPR_1986]:[SPPR_symbolic_full_import_as_DC]], MATCH('השוואת פקטורים'!$B72, 'PPRs inner'!$A$2:$A$108, 0), MATCH('השוואת פקטורים'!R$6, טבלה2[[#Headers],[SPPR_1986]:[SPPR_symbolic_full_import_as_DC]], 0)) / INDEX(טבלה2[[SPPR_1986]:[SPPR_symbolic_full_import_as_DC]], MATCH('השוואת פקטורים'!$B72, 'PPRs inner'!$A$2:$A$108, 0), MATCH('השוואת פקטורים'!Q$6, טבלה2[[#Headers],[SPPR_1986]:[SPPR_symbolic_full_import_as_DC]], 0))
)</f>
        <v>1</v>
      </c>
      <c r="S72" s="9">
        <f>IF($B$4="סהכ",
INDEX(טבלה1[[SPPR_1986]:[SPPR_symbolic_full_import_as_DC]], MATCH('השוואת פקטורים'!$B72, 'PPRs all'!$A$2:$A$108, 0), MATCH('השוואת פקטורים'!S$6, טבלה1[[#Headers],[SPPR_1986]:[SPPR_symbolic_full_import_as_DC]], 0)) / INDEX(טבלה1[[SPPR_1986]:[SPPR_symbolic_full_import_as_DC]], MATCH('השוואת פקטורים'!$B72, 'PPRs all'!$A$2:$A$108, 0), MATCH('השוואת פקטורים'!R$6, טבלה1[[#Headers],[SPPR_1986]:[SPPR_symbolic_full_import_as_DC]], 0)),
INDEX(טבלה2[[SPPR_1986]:[SPPR_symbolic_full_import_as_DC]], MATCH('השוואת פקטורים'!$B72, 'PPRs inner'!$A$2:$A$108, 0), MATCH('השוואת פקטורים'!S$6, טבלה2[[#Headers],[SPPR_1986]:[SPPR_symbolic_full_import_as_DC]], 0)) / INDEX(טבלה2[[SPPR_1986]:[SPPR_symbolic_full_import_as_DC]], MATCH('השוואת פקטורים'!$B72, 'PPRs inner'!$A$2:$A$108, 0), MATCH('השוואת פקטורים'!R$6, טבלה2[[#Headers],[SPPR_1986]:[SPPR_symbolic_full_import_as_DC]], 0))
)</f>
        <v>1</v>
      </c>
      <c r="T72" s="9">
        <f>IF($B$4="סהכ",
INDEX(טבלה1[[SPPR_1986]:[SPPR_symbolic_full_import_as_DC]], MATCH('השוואת פקטורים'!$B72, 'PPRs all'!$A$2:$A$108, 0), MATCH('השוואת פקטורים'!T$6, טבלה1[[#Headers],[SPPR_1986]:[SPPR_symbolic_full_import_as_DC]], 0)) / INDEX(טבלה1[[SPPR_1986]:[SPPR_symbolic_full_import_as_DC]], MATCH('השוואת פקטורים'!$B72, 'PPRs all'!$A$2:$A$108, 0), MATCH('השוואת פקטורים'!S$6, טבלה1[[#Headers],[SPPR_1986]:[SPPR_symbolic_full_import_as_DC]], 0)),
INDEX(טבלה2[[SPPR_1986]:[SPPR_symbolic_full_import_as_DC]], MATCH('השוואת פקטורים'!$B72, 'PPRs inner'!$A$2:$A$108, 0), MATCH('השוואת פקטורים'!T$6, טבלה2[[#Headers],[SPPR_1986]:[SPPR_symbolic_full_import_as_DC]], 0)) / INDEX(טבלה2[[SPPR_1986]:[SPPR_symbolic_full_import_as_DC]], MATCH('השוואת פקטורים'!$B72, 'PPRs inner'!$A$2:$A$108, 0), MATCH('השוואת פקטורים'!S$6, טבלה2[[#Headers],[SPPR_1986]:[SPPR_symbolic_full_import_as_DC]], 0))
)</f>
        <v>1</v>
      </c>
      <c r="U72" s="9">
        <f>IF($B$4="סהכ",
INDEX(טבלה1[[SPPR_1986]:[SPPR_symbolic_full_import_as_DC]], MATCH('השוואת פקטורים'!$B72, 'PPRs all'!$A$2:$A$108, 0), MATCH('השוואת פקטורים'!U$6, טבלה1[[#Headers],[SPPR_1986]:[SPPR_symbolic_full_import_as_DC]], 0)) / INDEX(טבלה1[[SPPR_1986]:[SPPR_symbolic_full_import_as_DC]], MATCH('השוואת פקטורים'!$B72, 'PPRs all'!$A$2:$A$108, 0), MATCH('השוואת פקטורים'!T$6, טבלה1[[#Headers],[SPPR_1986]:[SPPR_symbolic_full_import_as_DC]], 0)),
INDEX(טבלה2[[SPPR_1986]:[SPPR_symbolic_full_import_as_DC]], MATCH('השוואת פקטורים'!$B72, 'PPRs inner'!$A$2:$A$108, 0), MATCH('השוואת פקטורים'!U$6, טבלה2[[#Headers],[SPPR_1986]:[SPPR_symbolic_full_import_as_DC]], 0)) / INDEX(טבלה2[[SPPR_1986]:[SPPR_symbolic_full_import_as_DC]], MATCH('השוואת פקטורים'!$B72, 'PPRs inner'!$A$2:$A$108, 0), MATCH('השוואת פקטורים'!T$6, טבלה2[[#Headers],[SPPR_1986]:[SPPR_symbolic_full_import_as_DC]], 0))
)</f>
        <v>1.0000000000000002</v>
      </c>
      <c r="V72" s="9"/>
      <c r="W72" s="9"/>
      <c r="X72" s="14"/>
      <c r="Y72" s="14"/>
      <c r="Z72" s="15">
        <f t="shared" ref="Z72:Z113" si="6">PRODUCT(K72:Y72)</f>
        <v>0.308023272052805</v>
      </c>
    </row>
    <row r="73" spans="2:26" x14ac:dyDescent="0.3">
      <c r="B73" s="6" t="s">
        <v>87</v>
      </c>
      <c r="C73" s="12" t="b">
        <v>1</v>
      </c>
      <c r="D73" s="12" t="b">
        <v>1</v>
      </c>
      <c r="E73" s="12" t="b">
        <v>1</v>
      </c>
      <c r="F73" s="12" t="b">
        <f t="shared" si="5"/>
        <v>1</v>
      </c>
      <c r="G73" s="7" t="b">
        <f>ABS(INDEX(טבלה5[[SPPR_1986]:[SPPR_symbolic_full_import_as_DC]],MATCH('השוואת פקטורים'!$B73,טבלה5[עמודה1],0),MATCH($C$4,טבלה5[[#Headers],[SPPR_1986]:[SPPR_symbolic_full_import_as_DC]],0))) &lt; 5</f>
        <v>1</v>
      </c>
      <c r="H73" s="7" t="b">
        <f>INDEX(טבלה3[[SPPR_1986]:[SPPR_symbolic_full_import_as_DC]],MATCH('השוואת פקטורים'!$B73,טבלה3[עמודה1],0),MATCH($C$4,טבלה3[[#Headers],[SPPR_1986]:[SPPR_symbolic_full_import_as_DC]],0))</f>
        <v>1</v>
      </c>
      <c r="I73" s="7" t="b">
        <f t="shared" si="4"/>
        <v>1</v>
      </c>
      <c r="J73" s="13"/>
      <c r="K73" s="9">
        <f>IF($B$4="סהכ",
INDEX(טבלה1[[SPPR_1986]:[SPPR_symbolic_full_import_as_DC]], MATCH('השוואת פקטורים'!$B73, 'PPRs all'!$A$2:$A$108, 0), MATCH('השוואת פקטורים'!K$6, טבלה1[[#Headers],[SPPR_1986]:[SPPR_symbolic_full_import_as_DC]], 0)) / INDEX(טבלה1[[SPPR_1986]:[SPPR_symbolic_full_import_as_DC]], MATCH('השוואת פקטורים'!$B73, 'PPRs all'!$A$2:$A$108, 0), MATCH('השוואת פקטורים'!J$6, טבלה1[[#Headers],[SPPR_1986]:[SPPR_symbolic_full_import_as_DC]], 0)),
INDEX(טבלה2[[SPPR_1986]:[SPPR_symbolic_full_import_as_DC]], MATCH('השוואת פקטורים'!$B73, 'PPRs inner'!$A$2:$A$108, 0), MATCH('השוואת פקטורים'!K$6, טבלה2[[#Headers],[SPPR_1986]:[SPPR_symbolic_full_import_as_DC]], 0)) / INDEX(טבלה2[[SPPR_1986]:[SPPR_symbolic_full_import_as_DC]], MATCH('השוואת פקטורים'!$B73, 'PPRs inner'!$A$2:$A$108, 0), MATCH('השוואת פקטורים'!J$6, טבלה2[[#Headers],[SPPR_1986]:[SPPR_symbolic_full_import_as_DC]], 0))
)</f>
        <v>0.5857709877155397</v>
      </c>
      <c r="L73" s="9">
        <f>IF($B$4="סהכ",
INDEX(טבלה1[[SPPR_1986]:[SPPR_symbolic_full_import_as_DC]], MATCH('השוואת פקטורים'!$B73, 'PPRs all'!$A$2:$A$108, 0), MATCH('השוואת פקטורים'!L$6, טבלה1[[#Headers],[SPPR_1986]:[SPPR_symbolic_full_import_as_DC]], 0)) / INDEX(טבלה1[[SPPR_1986]:[SPPR_symbolic_full_import_as_DC]], MATCH('השוואת פקטורים'!$B73, 'PPRs all'!$A$2:$A$108, 0), MATCH('השוואת פקטורים'!K$6, טבלה1[[#Headers],[SPPR_1986]:[SPPR_symbolic_full_import_as_DC]], 0)),
INDEX(טבלה2[[SPPR_1986]:[SPPR_symbolic_full_import_as_DC]], MATCH('השוואת פקטורים'!$B73, 'PPRs inner'!$A$2:$A$108, 0), MATCH('השוואת פקטורים'!L$6, טבלה2[[#Headers],[SPPR_1986]:[SPPR_symbolic_full_import_as_DC]], 0)) / INDEX(טבלה2[[SPPR_1986]:[SPPR_symbolic_full_import_as_DC]], MATCH('השוואת פקטורים'!$B73, 'PPRs inner'!$A$2:$A$108, 0), MATCH('השוואת פקטורים'!K$6, טבלה2[[#Headers],[SPPR_1986]:[SPPR_symbolic_full_import_as_DC]], 0))
)</f>
        <v>3.9643025178144988</v>
      </c>
      <c r="M73" s="9">
        <f>IF($B$4="סהכ",
INDEX(טבלה1[[SPPR_1986]:[SPPR_symbolic_full_import_as_DC]], MATCH('השוואת פקטורים'!$B73, 'PPRs all'!$A$2:$A$108, 0), MATCH('השוואת פקטורים'!M$6, טבלה1[[#Headers],[SPPR_1986]:[SPPR_symbolic_full_import_as_DC]], 0)) / INDEX(טבלה1[[SPPR_1986]:[SPPR_symbolic_full_import_as_DC]], MATCH('השוואת פקטורים'!$B73, 'PPRs all'!$A$2:$A$108, 0), MATCH('השוואת פקטורים'!L$6, טבלה1[[#Headers],[SPPR_1986]:[SPPR_symbolic_full_import_as_DC]], 0)),
INDEX(טבלה2[[SPPR_1986]:[SPPR_symbolic_full_import_as_DC]], MATCH('השוואת פקטורים'!$B73, 'PPRs inner'!$A$2:$A$108, 0), MATCH('השוואת פקטורים'!M$6, טבלה2[[#Headers],[SPPR_1986]:[SPPR_symbolic_full_import_as_DC]], 0)) / INDEX(טבלה2[[SPPR_1986]:[SPPR_symbolic_full_import_as_DC]], MATCH('השוואת פקטורים'!$B73, 'PPRs inner'!$A$2:$A$108, 0), MATCH('השוואת פקטורים'!L$6, טבלה2[[#Headers],[SPPR_1986]:[SPPR_symbolic_full_import_as_DC]], 0))
)</f>
        <v>0.36098078545271678</v>
      </c>
      <c r="N73" s="9">
        <f>IF($B$4="סהכ",
INDEX(טבלה1[[SPPR_1986]:[SPPR_symbolic_full_import_as_DC]], MATCH('השוואת פקטורים'!$B73, 'PPRs all'!$A$2:$A$108, 0), MATCH('השוואת פקטורים'!N$6, טבלה1[[#Headers],[SPPR_1986]:[SPPR_symbolic_full_import_as_DC]], 0)) / INDEX(טבלה1[[SPPR_1986]:[SPPR_symbolic_full_import_as_DC]], MATCH('השוואת פקטורים'!$B73, 'PPRs all'!$A$2:$A$108, 0), MATCH('השוואת פקטורים'!M$6, טבלה1[[#Headers],[SPPR_1986]:[SPPR_symbolic_full_import_as_DC]], 0)),
INDEX(טבלה2[[SPPR_1986]:[SPPR_symbolic_full_import_as_DC]], MATCH('השוואת פקטורים'!$B73, 'PPRs inner'!$A$2:$A$108, 0), MATCH('השוואת פקטורים'!N$6, טבלה2[[#Headers],[SPPR_1986]:[SPPR_symbolic_full_import_as_DC]], 0)) / INDEX(טבלה2[[SPPR_1986]:[SPPR_symbolic_full_import_as_DC]], MATCH('השוואת פקטורים'!$B73, 'PPRs inner'!$A$2:$A$108, 0), MATCH('השוואת פקטורים'!M$6, טבלה2[[#Headers],[SPPR_1986]:[SPPR_symbolic_full_import_as_DC]], 0))
)</f>
        <v>2.1625914722700159</v>
      </c>
      <c r="O73" s="9">
        <f>IF($B$4="סהכ",
INDEX(טבלה1[[SPPR_1986]:[SPPR_symbolic_full_import_as_DC]], MATCH('השוואת פקטורים'!$B73, 'PPRs all'!$A$2:$A$108, 0), MATCH('השוואת פקטורים'!O$6, טבלה1[[#Headers],[SPPR_1986]:[SPPR_symbolic_full_import_as_DC]], 0)) / INDEX(טבלה1[[SPPR_1986]:[SPPR_symbolic_full_import_as_DC]], MATCH('השוואת פקטורים'!$B73, 'PPRs all'!$A$2:$A$108, 0), MATCH('השוואת פקטורים'!N$6, טבלה1[[#Headers],[SPPR_1986]:[SPPR_symbolic_full_import_as_DC]], 0)),
INDEX(טבלה2[[SPPR_1986]:[SPPR_symbolic_full_import_as_DC]], MATCH('השוואת פקטורים'!$B73, 'PPRs inner'!$A$2:$A$108, 0), MATCH('השוואת פקטורים'!O$6, טבלה2[[#Headers],[SPPR_1986]:[SPPR_symbolic_full_import_as_DC]], 0)) / INDEX(טבלה2[[SPPR_1986]:[SPPR_symbolic_full_import_as_DC]], MATCH('השוואת פקטורים'!$B73, 'PPRs inner'!$A$2:$A$108, 0), MATCH('השוואת פקטורים'!N$6, טבלה2[[#Headers],[SPPR_1986]:[SPPR_symbolic_full_import_as_DC]], 0))
)</f>
        <v>1.0000000000000009</v>
      </c>
      <c r="P73" s="9">
        <f>IF($B$4="סהכ",
INDEX(טבלה1[[SPPR_1986]:[SPPR_symbolic_full_import_as_DC]], MATCH('השוואת פקטורים'!$B73, 'PPRs all'!$A$2:$A$108, 0), MATCH('השוואת פקטורים'!P$6, טבלה1[[#Headers],[SPPR_1986]:[SPPR_symbolic_full_import_as_DC]], 0)) / INDEX(טבלה1[[SPPR_1986]:[SPPR_symbolic_full_import_as_DC]], MATCH('השוואת פקטורים'!$B73, 'PPRs all'!$A$2:$A$108, 0), MATCH('השוואת פקטורים'!O$6, טבלה1[[#Headers],[SPPR_1986]:[SPPR_symbolic_full_import_as_DC]], 0)),
INDEX(טבלה2[[SPPR_1986]:[SPPR_symbolic_full_import_as_DC]], MATCH('השוואת פקטורים'!$B73, 'PPRs inner'!$A$2:$A$108, 0), MATCH('השוואת פקטורים'!P$6, טבלה2[[#Headers],[SPPR_1986]:[SPPR_symbolic_full_import_as_DC]], 0)) / INDEX(טבלה2[[SPPR_1986]:[SPPR_symbolic_full_import_as_DC]], MATCH('השוואת פקטורים'!$B73, 'PPRs inner'!$A$2:$A$108, 0), MATCH('השוואת פקטורים'!O$6, טבלה2[[#Headers],[SPPR_1986]:[SPPR_symbolic_full_import_as_DC]], 0))
)</f>
        <v>0.22414233277486129</v>
      </c>
      <c r="Q73" s="9">
        <f>IF($B$4="סהכ",
INDEX(טבלה1[[SPPR_1986]:[SPPR_symbolic_full_import_as_DC]], MATCH('השוואת פקטורים'!$B73, 'PPRs all'!$A$2:$A$108, 0), MATCH('השוואת פקטורים'!Q$6, טבלה1[[#Headers],[SPPR_1986]:[SPPR_symbolic_full_import_as_DC]], 0)) / INDEX(טבלה1[[SPPR_1986]:[SPPR_symbolic_full_import_as_DC]], MATCH('השוואת פקטורים'!$B73, 'PPRs all'!$A$2:$A$108, 0), MATCH('השוואת פקטורים'!P$6, טבלה1[[#Headers],[SPPR_1986]:[SPPR_symbolic_full_import_as_DC]], 0)),
INDEX(טבלה2[[SPPR_1986]:[SPPR_symbolic_full_import_as_DC]], MATCH('השוואת פקטורים'!$B73, 'PPRs inner'!$A$2:$A$108, 0), MATCH('השוואת פקטורים'!Q$6, טבלה2[[#Headers],[SPPR_1986]:[SPPR_symbolic_full_import_as_DC]], 0)) / INDEX(טבלה2[[SPPR_1986]:[SPPR_symbolic_full_import_as_DC]], MATCH('השוואת פקטורים'!$B73, 'PPRs inner'!$A$2:$A$108, 0), MATCH('השוואת פקטורים'!P$6, טבלה2[[#Headers],[SPPR_1986]:[SPPR_symbolic_full_import_as_DC]], 0))
)</f>
        <v>1.0000000000000009</v>
      </c>
      <c r="R73" s="9">
        <f>IF($B$4="סהכ",
INDEX(טבלה1[[SPPR_1986]:[SPPR_symbolic_full_import_as_DC]], MATCH('השוואת פקטורים'!$B73, 'PPRs all'!$A$2:$A$108, 0), MATCH('השוואת פקטורים'!R$6, טבלה1[[#Headers],[SPPR_1986]:[SPPR_symbolic_full_import_as_DC]], 0)) / INDEX(טבלה1[[SPPR_1986]:[SPPR_symbolic_full_import_as_DC]], MATCH('השוואת פקטורים'!$B73, 'PPRs all'!$A$2:$A$108, 0), MATCH('השוואת פקטורים'!Q$6, טבלה1[[#Headers],[SPPR_1986]:[SPPR_symbolic_full_import_as_DC]], 0)),
INDEX(טבלה2[[SPPR_1986]:[SPPR_symbolic_full_import_as_DC]], MATCH('השוואת פקטורים'!$B73, 'PPRs inner'!$A$2:$A$108, 0), MATCH('השוואת פקטורים'!R$6, טבלה2[[#Headers],[SPPR_1986]:[SPPR_symbolic_full_import_as_DC]], 0)) / INDEX(טבלה2[[SPPR_1986]:[SPPR_symbolic_full_import_as_DC]], MATCH('השוואת פקטורים'!$B73, 'PPRs inner'!$A$2:$A$108, 0), MATCH('השוואת פקטורים'!Q$6, טבלה2[[#Headers],[SPPR_1986]:[SPPR_symbolic_full_import_as_DC]], 0))
)</f>
        <v>1</v>
      </c>
      <c r="S73" s="9">
        <f>IF($B$4="סהכ",
INDEX(טבלה1[[SPPR_1986]:[SPPR_symbolic_full_import_as_DC]], MATCH('השוואת פקטורים'!$B73, 'PPRs all'!$A$2:$A$108, 0), MATCH('השוואת פקטורים'!S$6, טבלה1[[#Headers],[SPPR_1986]:[SPPR_symbolic_full_import_as_DC]], 0)) / INDEX(טבלה1[[SPPR_1986]:[SPPR_symbolic_full_import_as_DC]], MATCH('השוואת פקטורים'!$B73, 'PPRs all'!$A$2:$A$108, 0), MATCH('השוואת פקטורים'!R$6, טבלה1[[#Headers],[SPPR_1986]:[SPPR_symbolic_full_import_as_DC]], 0)),
INDEX(טבלה2[[SPPR_1986]:[SPPR_symbolic_full_import_as_DC]], MATCH('השוואת פקטורים'!$B73, 'PPRs inner'!$A$2:$A$108, 0), MATCH('השוואת פקטורים'!S$6, טבלה2[[#Headers],[SPPR_1986]:[SPPR_symbolic_full_import_as_DC]], 0)) / INDEX(טבלה2[[SPPR_1986]:[SPPR_symbolic_full_import_as_DC]], MATCH('השוואת פקטורים'!$B73, 'PPRs inner'!$A$2:$A$108, 0), MATCH('השוואת פקטורים'!R$6, טבלה2[[#Headers],[SPPR_1986]:[SPPR_symbolic_full_import_as_DC]], 0))
)</f>
        <v>1</v>
      </c>
      <c r="T73" s="9">
        <f>IF($B$4="סהכ",
INDEX(טבלה1[[SPPR_1986]:[SPPR_symbolic_full_import_as_DC]], MATCH('השוואת פקטורים'!$B73, 'PPRs all'!$A$2:$A$108, 0), MATCH('השוואת פקטורים'!T$6, טבלה1[[#Headers],[SPPR_1986]:[SPPR_symbolic_full_import_as_DC]], 0)) / INDEX(טבלה1[[SPPR_1986]:[SPPR_symbolic_full_import_as_DC]], MATCH('השוואת פקטורים'!$B73, 'PPRs all'!$A$2:$A$108, 0), MATCH('השוואת פקטורים'!S$6, טבלה1[[#Headers],[SPPR_1986]:[SPPR_symbolic_full_import_as_DC]], 0)),
INDEX(טבלה2[[SPPR_1986]:[SPPR_symbolic_full_import_as_DC]], MATCH('השוואת פקטורים'!$B73, 'PPRs inner'!$A$2:$A$108, 0), MATCH('השוואת פקטורים'!T$6, טבלה2[[#Headers],[SPPR_1986]:[SPPR_symbolic_full_import_as_DC]], 0)) / INDEX(טבלה2[[SPPR_1986]:[SPPR_symbolic_full_import_as_DC]], MATCH('השוואת פקטורים'!$B73, 'PPRs inner'!$A$2:$A$108, 0), MATCH('השוואת פקטורים'!S$6, טבלה2[[#Headers],[SPPR_1986]:[SPPR_symbolic_full_import_as_DC]], 0))
)</f>
        <v>1</v>
      </c>
      <c r="U73" s="9">
        <f>IF($B$4="סהכ",
INDEX(טבלה1[[SPPR_1986]:[SPPR_symbolic_full_import_as_DC]], MATCH('השוואת פקטורים'!$B73, 'PPRs all'!$A$2:$A$108, 0), MATCH('השוואת פקטורים'!U$6, טבלה1[[#Headers],[SPPR_1986]:[SPPR_symbolic_full_import_as_DC]], 0)) / INDEX(טבלה1[[SPPR_1986]:[SPPR_symbolic_full_import_as_DC]], MATCH('השוואת פקטורים'!$B73, 'PPRs all'!$A$2:$A$108, 0), MATCH('השוואת פקטורים'!T$6, טבלה1[[#Headers],[SPPR_1986]:[SPPR_symbolic_full_import_as_DC]], 0)),
INDEX(טבלה2[[SPPR_1986]:[SPPR_symbolic_full_import_as_DC]], MATCH('השוואת פקטורים'!$B73, 'PPRs inner'!$A$2:$A$108, 0), MATCH('השוואת פקטורים'!U$6, טבלה2[[#Headers],[SPPR_1986]:[SPPR_symbolic_full_import_as_DC]], 0)) / INDEX(טבלה2[[SPPR_1986]:[SPPR_symbolic_full_import_as_DC]], MATCH('השוואת פקטורים'!$B73, 'PPRs inner'!$A$2:$A$108, 0), MATCH('השוואת פקטורים'!T$6, טבלה2[[#Headers],[SPPR_1986]:[SPPR_symbolic_full_import_as_DC]], 0))
)</f>
        <v>0.99999999999999922</v>
      </c>
      <c r="V73" s="9"/>
      <c r="W73" s="9"/>
      <c r="X73" s="14"/>
      <c r="Y73" s="14"/>
      <c r="Z73" s="15">
        <f t="shared" si="6"/>
        <v>0.40632833214514091</v>
      </c>
    </row>
    <row r="74" spans="2:26" x14ac:dyDescent="0.3">
      <c r="B74" s="6" t="s">
        <v>88</v>
      </c>
      <c r="C74" s="12" t="b">
        <v>1</v>
      </c>
      <c r="D74" s="12" t="b">
        <v>0</v>
      </c>
      <c r="E74" s="12" t="b">
        <v>1</v>
      </c>
      <c r="F74" s="12" t="b">
        <f t="shared" si="5"/>
        <v>0</v>
      </c>
      <c r="G74" s="7" t="b">
        <f>ABS(INDEX(טבלה5[[SPPR_1986]:[SPPR_symbolic_full_import_as_DC]],MATCH('השוואת פקטורים'!$B74,טבלה5[עמודה1],0),MATCH($C$4,טבלה5[[#Headers],[SPPR_1986]:[SPPR_symbolic_full_import_as_DC]],0))) &lt; 5</f>
        <v>1</v>
      </c>
      <c r="H74" s="7" t="b">
        <f>INDEX(טבלה3[[SPPR_1986]:[SPPR_symbolic_full_import_as_DC]],MATCH('השוואת פקטורים'!$B74,טבלה3[עמודה1],0),MATCH($C$4,טבלה3[[#Headers],[SPPR_1986]:[SPPR_symbolic_full_import_as_DC]],0))</f>
        <v>1</v>
      </c>
      <c r="I74" s="7" t="b">
        <f t="shared" si="4"/>
        <v>0</v>
      </c>
      <c r="J74" s="13"/>
      <c r="K74" s="9">
        <f>IF($B$4="סהכ",
INDEX(טבלה1[[SPPR_1986]:[SPPR_symbolic_full_import_as_DC]], MATCH('השוואת פקטורים'!$B74, 'PPRs all'!$A$2:$A$108, 0), MATCH('השוואת פקטורים'!K$6, טבלה1[[#Headers],[SPPR_1986]:[SPPR_symbolic_full_import_as_DC]], 0)) / INDEX(טבלה1[[SPPR_1986]:[SPPR_symbolic_full_import_as_DC]], MATCH('השוואת פקטורים'!$B74, 'PPRs all'!$A$2:$A$108, 0), MATCH('השוואת פקטורים'!J$6, טבלה1[[#Headers],[SPPR_1986]:[SPPR_symbolic_full_import_as_DC]], 0)),
INDEX(טבלה2[[SPPR_1986]:[SPPR_symbolic_full_import_as_DC]], MATCH('השוואת פקטורים'!$B74, 'PPRs inner'!$A$2:$A$108, 0), MATCH('השוואת פקטורים'!K$6, טבלה2[[#Headers],[SPPR_1986]:[SPPR_symbolic_full_import_as_DC]], 0)) / INDEX(טבלה2[[SPPR_1986]:[SPPR_symbolic_full_import_as_DC]], MATCH('השוואת פקטורים'!$B74, 'PPRs inner'!$A$2:$A$108, 0), MATCH('השוואת פקטורים'!J$6, טבלה2[[#Headers],[SPPR_1986]:[SPPR_symbolic_full_import_as_DC]], 0))
)</f>
        <v>0.71098167632875697</v>
      </c>
      <c r="L74" s="9">
        <f>IF($B$4="סהכ",
INDEX(טבלה1[[SPPR_1986]:[SPPR_symbolic_full_import_as_DC]], MATCH('השוואת פקטורים'!$B74, 'PPRs all'!$A$2:$A$108, 0), MATCH('השוואת פקטורים'!L$6, טבלה1[[#Headers],[SPPR_1986]:[SPPR_symbolic_full_import_as_DC]], 0)) / INDEX(טבלה1[[SPPR_1986]:[SPPR_symbolic_full_import_as_DC]], MATCH('השוואת פקטורים'!$B74, 'PPRs all'!$A$2:$A$108, 0), MATCH('השוואת פקטורים'!K$6, טבלה1[[#Headers],[SPPR_1986]:[SPPR_symbolic_full_import_as_DC]], 0)),
INDEX(טבלה2[[SPPR_1986]:[SPPR_symbolic_full_import_as_DC]], MATCH('השוואת פקטורים'!$B74, 'PPRs inner'!$A$2:$A$108, 0), MATCH('השוואת פקטורים'!L$6, טבלה2[[#Headers],[SPPR_1986]:[SPPR_symbolic_full_import_as_DC]], 0)) / INDEX(טבלה2[[SPPR_1986]:[SPPR_symbolic_full_import_as_DC]], MATCH('השוואת פקטורים'!$B74, 'PPRs inner'!$A$2:$A$108, 0), MATCH('השוואת פקטורים'!K$6, טבלה2[[#Headers],[SPPR_1986]:[SPPR_symbolic_full_import_as_DC]], 0))
)</f>
        <v>5.2736621834295141</v>
      </c>
      <c r="M74" s="9">
        <f>IF($B$4="סהכ",
INDEX(טבלה1[[SPPR_1986]:[SPPR_symbolic_full_import_as_DC]], MATCH('השוואת פקטורים'!$B74, 'PPRs all'!$A$2:$A$108, 0), MATCH('השוואת פקטורים'!M$6, טבלה1[[#Headers],[SPPR_1986]:[SPPR_symbolic_full_import_as_DC]], 0)) / INDEX(טבלה1[[SPPR_1986]:[SPPR_symbolic_full_import_as_DC]], MATCH('השוואת פקטורים'!$B74, 'PPRs all'!$A$2:$A$108, 0), MATCH('השוואת פקטורים'!L$6, טבלה1[[#Headers],[SPPR_1986]:[SPPR_symbolic_full_import_as_DC]], 0)),
INDEX(טבלה2[[SPPR_1986]:[SPPR_symbolic_full_import_as_DC]], MATCH('השוואת פקטורים'!$B74, 'PPRs inner'!$A$2:$A$108, 0), MATCH('השוואת פקטורים'!M$6, טבלה2[[#Headers],[SPPR_1986]:[SPPR_symbolic_full_import_as_DC]], 0)) / INDEX(טבלה2[[SPPR_1986]:[SPPR_symbolic_full_import_as_DC]], MATCH('השוואת פקטורים'!$B74, 'PPRs inner'!$A$2:$A$108, 0), MATCH('השוואת פקטורים'!L$6, טבלה2[[#Headers],[SPPR_1986]:[SPPR_symbolic_full_import_as_DC]], 0))
)</f>
        <v>9.6103828188637219E-2</v>
      </c>
      <c r="N74" s="9">
        <f>IF($B$4="סהכ",
INDEX(טבלה1[[SPPR_1986]:[SPPR_symbolic_full_import_as_DC]], MATCH('השוואת פקטורים'!$B74, 'PPRs all'!$A$2:$A$108, 0), MATCH('השוואת פקטורים'!N$6, טבלה1[[#Headers],[SPPR_1986]:[SPPR_symbolic_full_import_as_DC]], 0)) / INDEX(טבלה1[[SPPR_1986]:[SPPR_symbolic_full_import_as_DC]], MATCH('השוואת פקטורים'!$B74, 'PPRs all'!$A$2:$A$108, 0), MATCH('השוואת פקטורים'!M$6, טבלה1[[#Headers],[SPPR_1986]:[SPPR_symbolic_full_import_as_DC]], 0)),
INDEX(טבלה2[[SPPR_1986]:[SPPR_symbolic_full_import_as_DC]], MATCH('השוואת פקטורים'!$B74, 'PPRs inner'!$A$2:$A$108, 0), MATCH('השוואת פקטורים'!N$6, טבלה2[[#Headers],[SPPR_1986]:[SPPR_symbolic_full_import_as_DC]], 0)) / INDEX(טבלה2[[SPPR_1986]:[SPPR_symbolic_full_import_as_DC]], MATCH('השוואת פקטורים'!$B74, 'PPRs inner'!$A$2:$A$108, 0), MATCH('השוואת פקטורים'!M$6, טבלה2[[#Headers],[SPPR_1986]:[SPPR_symbolic_full_import_as_DC]], 0))
)</f>
        <v>1.479204206999059</v>
      </c>
      <c r="O74" s="9">
        <f>IF($B$4="סהכ",
INDEX(טבלה1[[SPPR_1986]:[SPPR_symbolic_full_import_as_DC]], MATCH('השוואת פקטורים'!$B74, 'PPRs all'!$A$2:$A$108, 0), MATCH('השוואת פקטורים'!O$6, טבלה1[[#Headers],[SPPR_1986]:[SPPR_symbolic_full_import_as_DC]], 0)) / INDEX(טבלה1[[SPPR_1986]:[SPPR_symbolic_full_import_as_DC]], MATCH('השוואת פקטורים'!$B74, 'PPRs all'!$A$2:$A$108, 0), MATCH('השוואת פקטורים'!N$6, טבלה1[[#Headers],[SPPR_1986]:[SPPR_symbolic_full_import_as_DC]], 0)),
INDEX(טבלה2[[SPPR_1986]:[SPPR_symbolic_full_import_as_DC]], MATCH('השוואת פקטורים'!$B74, 'PPRs inner'!$A$2:$A$108, 0), MATCH('השוואת פקטורים'!O$6, טבלה2[[#Headers],[SPPR_1986]:[SPPR_symbolic_full_import_as_DC]], 0)) / INDEX(טבלה2[[SPPR_1986]:[SPPR_symbolic_full_import_as_DC]], MATCH('השוואת פקטורים'!$B74, 'PPRs inner'!$A$2:$A$108, 0), MATCH('השוואת פקטורים'!N$6, טבלה2[[#Headers],[SPPR_1986]:[SPPR_symbolic_full_import_as_DC]], 0))
)</f>
        <v>1.0000000000001781</v>
      </c>
      <c r="P74" s="9">
        <f>IF($B$4="סהכ",
INDEX(טבלה1[[SPPR_1986]:[SPPR_symbolic_full_import_as_DC]], MATCH('השוואת פקטורים'!$B74, 'PPRs all'!$A$2:$A$108, 0), MATCH('השוואת פקטורים'!P$6, טבלה1[[#Headers],[SPPR_1986]:[SPPR_symbolic_full_import_as_DC]], 0)) / INDEX(טבלה1[[SPPR_1986]:[SPPR_symbolic_full_import_as_DC]], MATCH('השוואת פקטורים'!$B74, 'PPRs all'!$A$2:$A$108, 0), MATCH('השוואת פקטורים'!O$6, טבלה1[[#Headers],[SPPR_1986]:[SPPR_symbolic_full_import_as_DC]], 0)),
INDEX(טבלה2[[SPPR_1986]:[SPPR_symbolic_full_import_as_DC]], MATCH('השוואת פקטורים'!$B74, 'PPRs inner'!$A$2:$A$108, 0), MATCH('השוואת פקטורים'!P$6, טבלה2[[#Headers],[SPPR_1986]:[SPPR_symbolic_full_import_as_DC]], 0)) / INDEX(טבלה2[[SPPR_1986]:[SPPR_symbolic_full_import_as_DC]], MATCH('השוואת פקטורים'!$B74, 'PPRs inner'!$A$2:$A$108, 0), MATCH('השוואת פקטורים'!O$6, טבלה2[[#Headers],[SPPR_1986]:[SPPR_symbolic_full_import_as_DC]], 0))
)</f>
        <v>0.73186595252688236</v>
      </c>
      <c r="Q74" s="9">
        <f>IF($B$4="סהכ",
INDEX(טבלה1[[SPPR_1986]:[SPPR_symbolic_full_import_as_DC]], MATCH('השוואת פקטורים'!$B74, 'PPRs all'!$A$2:$A$108, 0), MATCH('השוואת פקטורים'!Q$6, טבלה1[[#Headers],[SPPR_1986]:[SPPR_symbolic_full_import_as_DC]], 0)) / INDEX(טבלה1[[SPPR_1986]:[SPPR_symbolic_full_import_as_DC]], MATCH('השוואת פקטורים'!$B74, 'PPRs all'!$A$2:$A$108, 0), MATCH('השוואת פקטורים'!P$6, טבלה1[[#Headers],[SPPR_1986]:[SPPR_symbolic_full_import_as_DC]], 0)),
INDEX(טבלה2[[SPPR_1986]:[SPPR_symbolic_full_import_as_DC]], MATCH('השוואת פקטורים'!$B74, 'PPRs inner'!$A$2:$A$108, 0), MATCH('השוואת פקטורים'!Q$6, טבלה2[[#Headers],[SPPR_1986]:[SPPR_symbolic_full_import_as_DC]], 0)) / INDEX(טבלה2[[SPPR_1986]:[SPPR_symbolic_full_import_as_DC]], MATCH('השוואת פקטורים'!$B74, 'PPRs inner'!$A$2:$A$108, 0), MATCH('השוואת פקטורים'!P$6, טבלה2[[#Headers],[SPPR_1986]:[SPPR_symbolic_full_import_as_DC]], 0))
)</f>
        <v>1.0000000000002289</v>
      </c>
      <c r="R74" s="9">
        <f>IF($B$4="סהכ",
INDEX(טבלה1[[SPPR_1986]:[SPPR_symbolic_full_import_as_DC]], MATCH('השוואת פקטורים'!$B74, 'PPRs all'!$A$2:$A$108, 0), MATCH('השוואת פקטורים'!R$6, טבלה1[[#Headers],[SPPR_1986]:[SPPR_symbolic_full_import_as_DC]], 0)) / INDEX(טבלה1[[SPPR_1986]:[SPPR_symbolic_full_import_as_DC]], MATCH('השוואת פקטורים'!$B74, 'PPRs all'!$A$2:$A$108, 0), MATCH('השוואת פקטורים'!Q$6, טבלה1[[#Headers],[SPPR_1986]:[SPPR_symbolic_full_import_as_DC]], 0)),
INDEX(טבלה2[[SPPR_1986]:[SPPR_symbolic_full_import_as_DC]], MATCH('השוואת פקטורים'!$B74, 'PPRs inner'!$A$2:$A$108, 0), MATCH('השוואת פקטורים'!R$6, טבלה2[[#Headers],[SPPR_1986]:[SPPR_symbolic_full_import_as_DC]], 0)) / INDEX(טבלה2[[SPPR_1986]:[SPPR_symbolic_full_import_as_DC]], MATCH('השוואת פקטורים'!$B74, 'PPRs inner'!$A$2:$A$108, 0), MATCH('השוואת פקטורים'!Q$6, טבלה2[[#Headers],[SPPR_1986]:[SPPR_symbolic_full_import_as_DC]], 0))
)</f>
        <v>1.0001464109182796</v>
      </c>
      <c r="S74" s="9">
        <f>IF($B$4="סהכ",
INDEX(טבלה1[[SPPR_1986]:[SPPR_symbolic_full_import_as_DC]], MATCH('השוואת פקטורים'!$B74, 'PPRs all'!$A$2:$A$108, 0), MATCH('השוואת פקטורים'!S$6, טבלה1[[#Headers],[SPPR_1986]:[SPPR_symbolic_full_import_as_DC]], 0)) / INDEX(טבלה1[[SPPR_1986]:[SPPR_symbolic_full_import_as_DC]], MATCH('השוואת פקטורים'!$B74, 'PPRs all'!$A$2:$A$108, 0), MATCH('השוואת פקטורים'!R$6, טבלה1[[#Headers],[SPPR_1986]:[SPPR_symbolic_full_import_as_DC]], 0)),
INDEX(טבלה2[[SPPR_1986]:[SPPR_symbolic_full_import_as_DC]], MATCH('השוואת פקטורים'!$B74, 'PPRs inner'!$A$2:$A$108, 0), MATCH('השוואת פקטורים'!S$6, טבלה2[[#Headers],[SPPR_1986]:[SPPR_symbolic_full_import_as_DC]], 0)) / INDEX(טבלה2[[SPPR_1986]:[SPPR_symbolic_full_import_as_DC]], MATCH('השוואת פקטורים'!$B74, 'PPRs inner'!$A$2:$A$108, 0), MATCH('השוואת פקטורים'!R$6, טבלה2[[#Headers],[SPPR_1986]:[SPPR_symbolic_full_import_as_DC]], 0))
)</f>
        <v>0.99985361051473942</v>
      </c>
      <c r="T74" s="9">
        <f>IF($B$4="סהכ",
INDEX(טבלה1[[SPPR_1986]:[SPPR_symbolic_full_import_as_DC]], MATCH('השוואת פקטורים'!$B74, 'PPRs all'!$A$2:$A$108, 0), MATCH('השוואת פקטורים'!T$6, טבלה1[[#Headers],[SPPR_1986]:[SPPR_symbolic_full_import_as_DC]], 0)) / INDEX(טבלה1[[SPPR_1986]:[SPPR_symbolic_full_import_as_DC]], MATCH('השוואת פקטורים'!$B74, 'PPRs all'!$A$2:$A$108, 0), MATCH('השוואת פקטורים'!S$6, טבלה1[[#Headers],[SPPR_1986]:[SPPR_symbolic_full_import_as_DC]], 0)),
INDEX(טבלה2[[SPPR_1986]:[SPPR_symbolic_full_import_as_DC]], MATCH('השוואת פקטורים'!$B74, 'PPRs inner'!$A$2:$A$108, 0), MATCH('השוואת פקטורים'!T$6, טבלה2[[#Headers],[SPPR_1986]:[SPPR_symbolic_full_import_as_DC]], 0)) / INDEX(טבלה2[[SPPR_1986]:[SPPR_symbolic_full_import_as_DC]], MATCH('השוואת פקטורים'!$B74, 'PPRs inner'!$A$2:$A$108, 0), MATCH('השוואת פקטורים'!S$6, טבלה2[[#Headers],[SPPR_1986]:[SPPR_symbolic_full_import_as_DC]], 0))
)</f>
        <v>1.0001464109182796</v>
      </c>
      <c r="U74" s="9">
        <f>IF($B$4="סהכ",
INDEX(טבלה1[[SPPR_1986]:[SPPR_symbolic_full_import_as_DC]], MATCH('השוואת פקטורים'!$B74, 'PPRs all'!$A$2:$A$108, 0), MATCH('השוואת פקטורים'!U$6, טבלה1[[#Headers],[SPPR_1986]:[SPPR_symbolic_full_import_as_DC]], 0)) / INDEX(טבלה1[[SPPR_1986]:[SPPR_symbolic_full_import_as_DC]], MATCH('השוואת פקטורים'!$B74, 'PPRs all'!$A$2:$A$108, 0), MATCH('השוואת פקטורים'!T$6, טבלה1[[#Headers],[SPPR_1986]:[SPPR_symbolic_full_import_as_DC]], 0)),
INDEX(טבלה2[[SPPR_1986]:[SPPR_symbolic_full_import_as_DC]], MATCH('השוואת פקטורים'!$B74, 'PPRs inner'!$A$2:$A$108, 0), MATCH('השוואת פקטורים'!U$6, טבלה2[[#Headers],[SPPR_1986]:[SPPR_symbolic_full_import_as_DC]], 0)) / INDEX(טבלה2[[SPPR_1986]:[SPPR_symbolic_full_import_as_DC]], MATCH('השוואת פקטורים'!$B74, 'PPRs inner'!$A$2:$A$108, 0), MATCH('השוואת פקטורים'!T$6, טבלה2[[#Headers],[SPPR_1986]:[SPPR_symbolic_full_import_as_DC]], 0))
)</f>
        <v>0.9998536105145106</v>
      </c>
      <c r="V74" s="9"/>
      <c r="W74" s="9"/>
      <c r="X74" s="14"/>
      <c r="Y74" s="14"/>
      <c r="Z74" s="15">
        <f t="shared" si="6"/>
        <v>0.39009562468551662</v>
      </c>
    </row>
    <row r="75" spans="2:26" x14ac:dyDescent="0.3">
      <c r="B75" s="6" t="s">
        <v>89</v>
      </c>
      <c r="C75" s="12" t="b">
        <v>1</v>
      </c>
      <c r="D75" s="12" t="b">
        <v>1</v>
      </c>
      <c r="E75" s="12" t="b">
        <v>1</v>
      </c>
      <c r="F75" s="12" t="b">
        <f t="shared" si="5"/>
        <v>1</v>
      </c>
      <c r="G75" s="7" t="b">
        <f>ABS(INDEX(טבלה5[[SPPR_1986]:[SPPR_symbolic_full_import_as_DC]],MATCH('השוואת פקטורים'!$B75,טבלה5[עמודה1],0),MATCH($C$4,טבלה5[[#Headers],[SPPR_1986]:[SPPR_symbolic_full_import_as_DC]],0))) &lt; 5</f>
        <v>1</v>
      </c>
      <c r="H75" s="7" t="b">
        <f>INDEX(טבלה3[[SPPR_1986]:[SPPR_symbolic_full_import_as_DC]],MATCH('השוואת פקטורים'!$B75,טבלה3[עמודה1],0),MATCH($C$4,טבלה3[[#Headers],[SPPR_1986]:[SPPR_symbolic_full_import_as_DC]],0))</f>
        <v>1</v>
      </c>
      <c r="I75" s="7" t="b">
        <f t="shared" si="4"/>
        <v>1</v>
      </c>
      <c r="J75" s="13"/>
      <c r="K75" s="9">
        <f>IF($B$4="סהכ",
INDEX(טבלה1[[SPPR_1986]:[SPPR_symbolic_full_import_as_DC]], MATCH('השוואת פקטורים'!$B75, 'PPRs all'!$A$2:$A$108, 0), MATCH('השוואת פקטורים'!K$6, טבלה1[[#Headers],[SPPR_1986]:[SPPR_symbolic_full_import_as_DC]], 0)) / INDEX(טבלה1[[SPPR_1986]:[SPPR_symbolic_full_import_as_DC]], MATCH('השוואת פקטורים'!$B75, 'PPRs all'!$A$2:$A$108, 0), MATCH('השוואת פקטורים'!J$6, טבלה1[[#Headers],[SPPR_1986]:[SPPR_symbolic_full_import_as_DC]], 0)),
INDEX(טבלה2[[SPPR_1986]:[SPPR_symbolic_full_import_as_DC]], MATCH('השוואת פקטורים'!$B75, 'PPRs inner'!$A$2:$A$108, 0), MATCH('השוואת פקטורים'!K$6, טבלה2[[#Headers],[SPPR_1986]:[SPPR_symbolic_full_import_as_DC]], 0)) / INDEX(טבלה2[[SPPR_1986]:[SPPR_symbolic_full_import_as_DC]], MATCH('השוואת פקטורים'!$B75, 'PPRs inner'!$A$2:$A$108, 0), MATCH('השוואת פקטורים'!J$6, טבלה2[[#Headers],[SPPR_1986]:[SPPR_symbolic_full_import_as_DC]], 0))
)</f>
        <v>1.5943431983182739</v>
      </c>
      <c r="L75" s="9">
        <f>IF($B$4="סהכ",
INDEX(טבלה1[[SPPR_1986]:[SPPR_symbolic_full_import_as_DC]], MATCH('השוואת פקטורים'!$B75, 'PPRs all'!$A$2:$A$108, 0), MATCH('השוואת פקטורים'!L$6, טבלה1[[#Headers],[SPPR_1986]:[SPPR_symbolic_full_import_as_DC]], 0)) / INDEX(טבלה1[[SPPR_1986]:[SPPR_symbolic_full_import_as_DC]], MATCH('השוואת פקטורים'!$B75, 'PPRs all'!$A$2:$A$108, 0), MATCH('השוואת פקטורים'!K$6, טבלה1[[#Headers],[SPPR_1986]:[SPPR_symbolic_full_import_as_DC]], 0)),
INDEX(טבלה2[[SPPR_1986]:[SPPR_symbolic_full_import_as_DC]], MATCH('השוואת פקטורים'!$B75, 'PPRs inner'!$A$2:$A$108, 0), MATCH('השוואת פקטורים'!L$6, טבלה2[[#Headers],[SPPR_1986]:[SPPR_symbolic_full_import_as_DC]], 0)) / INDEX(טבלה2[[SPPR_1986]:[SPPR_symbolic_full_import_as_DC]], MATCH('השוואת פקטורים'!$B75, 'PPRs inner'!$A$2:$A$108, 0), MATCH('השוואת פקטורים'!K$6, טבלה2[[#Headers],[SPPR_1986]:[SPPR_symbolic_full_import_as_DC]], 0))
)</f>
        <v>14.590829564563018</v>
      </c>
      <c r="M75" s="9">
        <f>IF($B$4="סהכ",
INDEX(טבלה1[[SPPR_1986]:[SPPR_symbolic_full_import_as_DC]], MATCH('השוואת פקטורים'!$B75, 'PPRs all'!$A$2:$A$108, 0), MATCH('השוואת פקטורים'!M$6, טבלה1[[#Headers],[SPPR_1986]:[SPPR_symbolic_full_import_as_DC]], 0)) / INDEX(טבלה1[[SPPR_1986]:[SPPR_symbolic_full_import_as_DC]], MATCH('השוואת פקטורים'!$B75, 'PPRs all'!$A$2:$A$108, 0), MATCH('השוואת פקטורים'!L$6, טבלה1[[#Headers],[SPPR_1986]:[SPPR_symbolic_full_import_as_DC]], 0)),
INDEX(טבלה2[[SPPR_1986]:[SPPR_symbolic_full_import_as_DC]], MATCH('השוואת פקטורים'!$B75, 'PPRs inner'!$A$2:$A$108, 0), MATCH('השוואת פקטורים'!M$6, טבלה2[[#Headers],[SPPR_1986]:[SPPR_symbolic_full_import_as_DC]], 0)) / INDEX(טבלה2[[SPPR_1986]:[SPPR_symbolic_full_import_as_DC]], MATCH('השוואת פקטורים'!$B75, 'PPRs inner'!$A$2:$A$108, 0), MATCH('השוואת פקטורים'!L$6, טבלה2[[#Headers],[SPPR_1986]:[SPPR_symbolic_full_import_as_DC]], 0))
)</f>
        <v>0.15024584253836257</v>
      </c>
      <c r="N75" s="9">
        <f>IF($B$4="סהכ",
INDEX(טבלה1[[SPPR_1986]:[SPPR_symbolic_full_import_as_DC]], MATCH('השוואת פקטורים'!$B75, 'PPRs all'!$A$2:$A$108, 0), MATCH('השוואת פקטורים'!N$6, טבלה1[[#Headers],[SPPR_1986]:[SPPR_symbolic_full_import_as_DC]], 0)) / INDEX(טבלה1[[SPPR_1986]:[SPPR_symbolic_full_import_as_DC]], MATCH('השוואת פקטורים'!$B75, 'PPRs all'!$A$2:$A$108, 0), MATCH('השוואת פקטורים'!M$6, טבלה1[[#Headers],[SPPR_1986]:[SPPR_symbolic_full_import_as_DC]], 0)),
INDEX(טבלה2[[SPPR_1986]:[SPPR_symbolic_full_import_as_DC]], MATCH('השוואת פקטורים'!$B75, 'PPRs inner'!$A$2:$A$108, 0), MATCH('השוואת פקטורים'!N$6, טבלה2[[#Headers],[SPPR_1986]:[SPPR_symbolic_full_import_as_DC]], 0)) / INDEX(טבלה2[[SPPR_1986]:[SPPR_symbolic_full_import_as_DC]], MATCH('השוואת פקטורים'!$B75, 'PPRs inner'!$A$2:$A$108, 0), MATCH('השוואת פקטורים'!M$6, טבלה2[[#Headers],[SPPR_1986]:[SPPR_symbolic_full_import_as_DC]], 0))
)</f>
        <v>0.95278324823751603</v>
      </c>
      <c r="O75" s="9">
        <f>IF($B$4="סהכ",
INDEX(טבלה1[[SPPR_1986]:[SPPR_symbolic_full_import_as_DC]], MATCH('השוואת פקטורים'!$B75, 'PPRs all'!$A$2:$A$108, 0), MATCH('השוואת פקטורים'!O$6, טבלה1[[#Headers],[SPPR_1986]:[SPPR_symbolic_full_import_as_DC]], 0)) / INDEX(טבלה1[[SPPR_1986]:[SPPR_symbolic_full_import_as_DC]], MATCH('השוואת פקטורים'!$B75, 'PPRs all'!$A$2:$A$108, 0), MATCH('השוואת פקטורים'!N$6, טבלה1[[#Headers],[SPPR_1986]:[SPPR_symbolic_full_import_as_DC]], 0)),
INDEX(טבלה2[[SPPR_1986]:[SPPR_symbolic_full_import_as_DC]], MATCH('השוואת פקטורים'!$B75, 'PPRs inner'!$A$2:$A$108, 0), MATCH('השוואת פקטורים'!O$6, טבלה2[[#Headers],[SPPR_1986]:[SPPR_symbolic_full_import_as_DC]], 0)) / INDEX(טבלה2[[SPPR_1986]:[SPPR_symbolic_full_import_as_DC]], MATCH('השוואת פקטורים'!$B75, 'PPRs inner'!$A$2:$A$108, 0), MATCH('השוואת פקטורים'!N$6, טבלה2[[#Headers],[SPPR_1986]:[SPPR_symbolic_full_import_as_DC]], 0))
)</f>
        <v>1</v>
      </c>
      <c r="P75" s="9">
        <f>IF($B$4="סהכ",
INDEX(טבלה1[[SPPR_1986]:[SPPR_symbolic_full_import_as_DC]], MATCH('השוואת פקטורים'!$B75, 'PPRs all'!$A$2:$A$108, 0), MATCH('השוואת פקטורים'!P$6, טבלה1[[#Headers],[SPPR_1986]:[SPPR_symbolic_full_import_as_DC]], 0)) / INDEX(טבלה1[[SPPR_1986]:[SPPR_symbolic_full_import_as_DC]], MATCH('השוואת פקטורים'!$B75, 'PPRs all'!$A$2:$A$108, 0), MATCH('השוואת פקטורים'!O$6, טבלה1[[#Headers],[SPPR_1986]:[SPPR_symbolic_full_import_as_DC]], 0)),
INDEX(טבלה2[[SPPR_1986]:[SPPR_symbolic_full_import_as_DC]], MATCH('השוואת פקטורים'!$B75, 'PPRs inner'!$A$2:$A$108, 0), MATCH('השוואת פקטורים'!P$6, טבלה2[[#Headers],[SPPR_1986]:[SPPR_symbolic_full_import_as_DC]], 0)) / INDEX(טבלה2[[SPPR_1986]:[SPPR_symbolic_full_import_as_DC]], MATCH('השוואת פקטורים'!$B75, 'PPRs inner'!$A$2:$A$108, 0), MATCH('השוואת פקטורים'!O$6, טבלה2[[#Headers],[SPPR_1986]:[SPPR_symbolic_full_import_as_DC]], 0))
)</f>
        <v>0.84018570859593111</v>
      </c>
      <c r="Q75" s="9">
        <f>IF($B$4="סהכ",
INDEX(טבלה1[[SPPR_1986]:[SPPR_symbolic_full_import_as_DC]], MATCH('השוואת פקטורים'!$B75, 'PPRs all'!$A$2:$A$108, 0), MATCH('השוואת פקטורים'!Q$6, טבלה1[[#Headers],[SPPR_1986]:[SPPR_symbolic_full_import_as_DC]], 0)) / INDEX(טבלה1[[SPPR_1986]:[SPPR_symbolic_full_import_as_DC]], MATCH('השוואת פקטורים'!$B75, 'PPRs all'!$A$2:$A$108, 0), MATCH('השוואת פקטורים'!P$6, טבלה1[[#Headers],[SPPR_1986]:[SPPR_symbolic_full_import_as_DC]], 0)),
INDEX(טבלה2[[SPPR_1986]:[SPPR_symbolic_full_import_as_DC]], MATCH('השוואת פקטורים'!$B75, 'PPRs inner'!$A$2:$A$108, 0), MATCH('השוואת פקטורים'!Q$6, טבלה2[[#Headers],[SPPR_1986]:[SPPR_symbolic_full_import_as_DC]], 0)) / INDEX(טבלה2[[SPPR_1986]:[SPPR_symbolic_full_import_as_DC]], MATCH('השוואת פקטורים'!$B75, 'PPRs inner'!$A$2:$A$108, 0), MATCH('השוואת פקטורים'!P$6, טבלה2[[#Headers],[SPPR_1986]:[SPPR_symbolic_full_import_as_DC]], 0))
)</f>
        <v>1.0000000000000009</v>
      </c>
      <c r="R75" s="9">
        <f>IF($B$4="סהכ",
INDEX(טבלה1[[SPPR_1986]:[SPPR_symbolic_full_import_as_DC]], MATCH('השוואת פקטורים'!$B75, 'PPRs all'!$A$2:$A$108, 0), MATCH('השוואת פקטורים'!R$6, טבלה1[[#Headers],[SPPR_1986]:[SPPR_symbolic_full_import_as_DC]], 0)) / INDEX(טבלה1[[SPPR_1986]:[SPPR_symbolic_full_import_as_DC]], MATCH('השוואת פקטורים'!$B75, 'PPRs all'!$A$2:$A$108, 0), MATCH('השוואת פקטורים'!Q$6, טבלה1[[#Headers],[SPPR_1986]:[SPPR_symbolic_full_import_as_DC]], 0)),
INDEX(טבלה2[[SPPR_1986]:[SPPR_symbolic_full_import_as_DC]], MATCH('השוואת פקטורים'!$B75, 'PPRs inner'!$A$2:$A$108, 0), MATCH('השוואת פקטורים'!R$6, טבלה2[[#Headers],[SPPR_1986]:[SPPR_symbolic_full_import_as_DC]], 0)) / INDEX(טבלה2[[SPPR_1986]:[SPPR_symbolic_full_import_as_DC]], MATCH('השוואת פקטורים'!$B75, 'PPRs inner'!$A$2:$A$108, 0), MATCH('השוואת פקטורים'!Q$6, טבלה2[[#Headers],[SPPR_1986]:[SPPR_symbolic_full_import_as_DC]], 0))
)</f>
        <v>1.5225067682099984</v>
      </c>
      <c r="S75" s="9">
        <f>IF($B$4="סהכ",
INDEX(טבלה1[[SPPR_1986]:[SPPR_symbolic_full_import_as_DC]], MATCH('השוואת פקטורים'!$B75, 'PPRs all'!$A$2:$A$108, 0), MATCH('השוואת פקטורים'!S$6, טבלה1[[#Headers],[SPPR_1986]:[SPPR_symbolic_full_import_as_DC]], 0)) / INDEX(טבלה1[[SPPR_1986]:[SPPR_symbolic_full_import_as_DC]], MATCH('השוואת פקטורים'!$B75, 'PPRs all'!$A$2:$A$108, 0), MATCH('השוואת פקטורים'!R$6, טבלה1[[#Headers],[SPPR_1986]:[SPPR_symbolic_full_import_as_DC]], 0)),
INDEX(טבלה2[[SPPR_1986]:[SPPR_symbolic_full_import_as_DC]], MATCH('השוואת פקטורים'!$B75, 'PPRs inner'!$A$2:$A$108, 0), MATCH('השוואת פקטורים'!S$6, טבלה2[[#Headers],[SPPR_1986]:[SPPR_symbolic_full_import_as_DC]], 0)) / INDEX(טבלה2[[SPPR_1986]:[SPPR_symbolic_full_import_as_DC]], MATCH('השוואת פקטורים'!$B75, 'PPRs inner'!$A$2:$A$108, 0), MATCH('השוואת פקטורים'!R$6, טבלה2[[#Headers],[SPPR_1986]:[SPPR_symbolic_full_import_as_DC]], 0))
)</f>
        <v>0.6568115300897438</v>
      </c>
      <c r="T75" s="9">
        <f>IF($B$4="סהכ",
INDEX(טבלה1[[SPPR_1986]:[SPPR_symbolic_full_import_as_DC]], MATCH('השוואת פקטורים'!$B75, 'PPRs all'!$A$2:$A$108, 0), MATCH('השוואת פקטורים'!T$6, טבלה1[[#Headers],[SPPR_1986]:[SPPR_symbolic_full_import_as_DC]], 0)) / INDEX(טבלה1[[SPPR_1986]:[SPPR_symbolic_full_import_as_DC]], MATCH('השוואת פקטורים'!$B75, 'PPRs all'!$A$2:$A$108, 0), MATCH('השוואת פקטורים'!S$6, טבלה1[[#Headers],[SPPR_1986]:[SPPR_symbolic_full_import_as_DC]], 0)),
INDEX(טבלה2[[SPPR_1986]:[SPPR_symbolic_full_import_as_DC]], MATCH('השוואת פקטורים'!$B75, 'PPRs inner'!$A$2:$A$108, 0), MATCH('השוואת פקטורים'!T$6, טבלה2[[#Headers],[SPPR_1986]:[SPPR_symbolic_full_import_as_DC]], 0)) / INDEX(טבלה2[[SPPR_1986]:[SPPR_symbolic_full_import_as_DC]], MATCH('השוואת פקטורים'!$B75, 'PPRs inner'!$A$2:$A$108, 0), MATCH('השוואת פקטורים'!S$6, טבלה2[[#Headers],[SPPR_1986]:[SPPR_symbolic_full_import_as_DC]], 0))
)</f>
        <v>1.5225067682099984</v>
      </c>
      <c r="U75" s="9">
        <f>IF($B$4="סהכ",
INDEX(טבלה1[[SPPR_1986]:[SPPR_symbolic_full_import_as_DC]], MATCH('השוואת פקטורים'!$B75, 'PPRs all'!$A$2:$A$108, 0), MATCH('השוואת פקטורים'!U$6, טבלה1[[#Headers],[SPPR_1986]:[SPPR_symbolic_full_import_as_DC]], 0)) / INDEX(טבלה1[[SPPR_1986]:[SPPR_symbolic_full_import_as_DC]], MATCH('השוואת פקטורים'!$B75, 'PPRs all'!$A$2:$A$108, 0), MATCH('השוואת פקטורים'!T$6, טבלה1[[#Headers],[SPPR_1986]:[SPPR_symbolic_full_import_as_DC]], 0)),
INDEX(טבלה2[[SPPR_1986]:[SPPR_symbolic_full_import_as_DC]], MATCH('השוואת פקטורים'!$B75, 'PPRs inner'!$A$2:$A$108, 0), MATCH('השוואת פקטורים'!U$6, טבלה2[[#Headers],[SPPR_1986]:[SPPR_symbolic_full_import_as_DC]], 0)) / INDEX(טבלה2[[SPPR_1986]:[SPPR_symbolic_full_import_as_DC]], MATCH('השוואת פקטורים'!$B75, 'PPRs inner'!$A$2:$A$108, 0), MATCH('השוואת פקטורים'!T$6, טבלה2[[#Headers],[SPPR_1986]:[SPPR_symbolic_full_import_as_DC]], 0))
)</f>
        <v>0.65681153008974336</v>
      </c>
      <c r="V75" s="9"/>
      <c r="W75" s="9"/>
      <c r="X75" s="14"/>
      <c r="Y75" s="14"/>
      <c r="Z75" s="15">
        <f t="shared" si="6"/>
        <v>2.7979095079285123</v>
      </c>
    </row>
    <row r="76" spans="2:26" x14ac:dyDescent="0.3">
      <c r="B76" s="6" t="s">
        <v>90</v>
      </c>
      <c r="C76" s="12" t="b">
        <v>1</v>
      </c>
      <c r="D76" s="12" t="b">
        <v>1</v>
      </c>
      <c r="E76" s="12" t="b">
        <v>1</v>
      </c>
      <c r="F76" s="12" t="b">
        <f t="shared" si="5"/>
        <v>1</v>
      </c>
      <c r="G76" s="7" t="b">
        <f>ABS(INDEX(טבלה5[[SPPR_1986]:[SPPR_symbolic_full_import_as_DC]],MATCH('השוואת פקטורים'!$B76,טבלה5[עמודה1],0),MATCH($C$4,טבלה5[[#Headers],[SPPR_1986]:[SPPR_symbolic_full_import_as_DC]],0))) &lt; 5</f>
        <v>1</v>
      </c>
      <c r="H76" s="7" t="b">
        <f>INDEX(טבלה3[[SPPR_1986]:[SPPR_symbolic_full_import_as_DC]],MATCH('השוואת פקטורים'!$B76,טבלה3[עמודה1],0),MATCH($C$4,טבלה3[[#Headers],[SPPR_1986]:[SPPR_symbolic_full_import_as_DC]],0))</f>
        <v>1</v>
      </c>
      <c r="I76" s="7" t="b">
        <f t="shared" si="4"/>
        <v>1</v>
      </c>
      <c r="J76" s="13"/>
      <c r="K76" s="9">
        <f>IF($B$4="סהכ",
INDEX(טבלה1[[SPPR_1986]:[SPPR_symbolic_full_import_as_DC]], MATCH('השוואת פקטורים'!$B76, 'PPRs all'!$A$2:$A$108, 0), MATCH('השוואת פקטורים'!K$6, טבלה1[[#Headers],[SPPR_1986]:[SPPR_symbolic_full_import_as_DC]], 0)) / INDEX(טבלה1[[SPPR_1986]:[SPPR_symbolic_full_import_as_DC]], MATCH('השוואת פקטורים'!$B76, 'PPRs all'!$A$2:$A$108, 0), MATCH('השוואת פקטורים'!J$6, טבלה1[[#Headers],[SPPR_1986]:[SPPR_symbolic_full_import_as_DC]], 0)),
INDEX(טבלה2[[SPPR_1986]:[SPPR_symbolic_full_import_as_DC]], MATCH('השוואת פקטורים'!$B76, 'PPRs inner'!$A$2:$A$108, 0), MATCH('השוואת פקטורים'!K$6, טבלה2[[#Headers],[SPPR_1986]:[SPPR_symbolic_full_import_as_DC]], 0)) / INDEX(טבלה2[[SPPR_1986]:[SPPR_symbolic_full_import_as_DC]], MATCH('השוואת פקטורים'!$B76, 'PPRs inner'!$A$2:$A$108, 0), MATCH('השוואת פקטורים'!J$6, טבלה2[[#Headers],[SPPR_1986]:[SPPR_symbolic_full_import_as_DC]], 0))
)</f>
        <v>3.5309104130920681</v>
      </c>
      <c r="L76" s="9">
        <f>IF($B$4="סהכ",
INDEX(טבלה1[[SPPR_1986]:[SPPR_symbolic_full_import_as_DC]], MATCH('השוואת פקטורים'!$B76, 'PPRs all'!$A$2:$A$108, 0), MATCH('השוואת פקטורים'!L$6, טבלה1[[#Headers],[SPPR_1986]:[SPPR_symbolic_full_import_as_DC]], 0)) / INDEX(טבלה1[[SPPR_1986]:[SPPR_symbolic_full_import_as_DC]], MATCH('השוואת פקטורים'!$B76, 'PPRs all'!$A$2:$A$108, 0), MATCH('השוואת פקטורים'!K$6, טבלה1[[#Headers],[SPPR_1986]:[SPPR_symbolic_full_import_as_DC]], 0)),
INDEX(טבלה2[[SPPR_1986]:[SPPR_symbolic_full_import_as_DC]], MATCH('השוואת פקטורים'!$B76, 'PPRs inner'!$A$2:$A$108, 0), MATCH('השוואת פקטורים'!L$6, טבלה2[[#Headers],[SPPR_1986]:[SPPR_symbolic_full_import_as_DC]], 0)) / INDEX(טבלה2[[SPPR_1986]:[SPPR_symbolic_full_import_as_DC]], MATCH('השוואת פקטורים'!$B76, 'PPRs inner'!$A$2:$A$108, 0), MATCH('השוואת פקטורים'!K$6, טבלה2[[#Headers],[SPPR_1986]:[SPPR_symbolic_full_import_as_DC]], 0))
)</f>
        <v>9.5506895131603411</v>
      </c>
      <c r="M76" s="9">
        <f>IF($B$4="סהכ",
INDEX(טבלה1[[SPPR_1986]:[SPPR_symbolic_full_import_as_DC]], MATCH('השוואת פקטורים'!$B76, 'PPRs all'!$A$2:$A$108, 0), MATCH('השוואת פקטורים'!M$6, טבלה1[[#Headers],[SPPR_1986]:[SPPR_symbolic_full_import_as_DC]], 0)) / INDEX(טבלה1[[SPPR_1986]:[SPPR_symbolic_full_import_as_DC]], MATCH('השוואת פקטורים'!$B76, 'PPRs all'!$A$2:$A$108, 0), MATCH('השוואת פקטורים'!L$6, טבלה1[[#Headers],[SPPR_1986]:[SPPR_symbolic_full_import_as_DC]], 0)),
INDEX(טבלה2[[SPPR_1986]:[SPPR_symbolic_full_import_as_DC]], MATCH('השוואת פקטורים'!$B76, 'PPRs inner'!$A$2:$A$108, 0), MATCH('השוואת פקטורים'!M$6, טבלה2[[#Headers],[SPPR_1986]:[SPPR_symbolic_full_import_as_DC]], 0)) / INDEX(טבלה2[[SPPR_1986]:[SPPR_symbolic_full_import_as_DC]], MATCH('השוואת פקטורים'!$B76, 'PPRs inner'!$A$2:$A$108, 0), MATCH('השוואת פקטורים'!L$6, טבלה2[[#Headers],[SPPR_1986]:[SPPR_symbolic_full_import_as_DC]], 0))
)</f>
        <v>6.4036371313791848E-2</v>
      </c>
      <c r="N76" s="9">
        <f>IF($B$4="סהכ",
INDEX(טבלה1[[SPPR_1986]:[SPPR_symbolic_full_import_as_DC]], MATCH('השוואת פקטורים'!$B76, 'PPRs all'!$A$2:$A$108, 0), MATCH('השוואת פקטורים'!N$6, טבלה1[[#Headers],[SPPR_1986]:[SPPR_symbolic_full_import_as_DC]], 0)) / INDEX(טבלה1[[SPPR_1986]:[SPPR_symbolic_full_import_as_DC]], MATCH('השוואת פקטורים'!$B76, 'PPRs all'!$A$2:$A$108, 0), MATCH('השוואת פקטורים'!M$6, טבלה1[[#Headers],[SPPR_1986]:[SPPR_symbolic_full_import_as_DC]], 0)),
INDEX(טבלה2[[SPPR_1986]:[SPPR_symbolic_full_import_as_DC]], MATCH('השוואת פקטורים'!$B76, 'PPRs inner'!$A$2:$A$108, 0), MATCH('השוואת פקטורים'!N$6, טבלה2[[#Headers],[SPPR_1986]:[SPPR_symbolic_full_import_as_DC]], 0)) / INDEX(טבלה2[[SPPR_1986]:[SPPR_symbolic_full_import_as_DC]], MATCH('השוואת פקטורים'!$B76, 'PPRs inner'!$A$2:$A$108, 0), MATCH('השוואת פקטורים'!M$6, טבלה2[[#Headers],[SPPR_1986]:[SPPR_symbolic_full_import_as_DC]], 0))
)</f>
        <v>1.9409238090612466</v>
      </c>
      <c r="O76" s="9">
        <f>IF($B$4="סהכ",
INDEX(טבלה1[[SPPR_1986]:[SPPR_symbolic_full_import_as_DC]], MATCH('השוואת פקטורים'!$B76, 'PPRs all'!$A$2:$A$108, 0), MATCH('השוואת פקטורים'!O$6, טבלה1[[#Headers],[SPPR_1986]:[SPPR_symbolic_full_import_as_DC]], 0)) / INDEX(טבלה1[[SPPR_1986]:[SPPR_symbolic_full_import_as_DC]], MATCH('השוואת פקטורים'!$B76, 'PPRs all'!$A$2:$A$108, 0), MATCH('השוואת פקטורים'!N$6, טבלה1[[#Headers],[SPPR_1986]:[SPPR_symbolic_full_import_as_DC]], 0)),
INDEX(טבלה2[[SPPR_1986]:[SPPR_symbolic_full_import_as_DC]], MATCH('השוואת פקטורים'!$B76, 'PPRs inner'!$A$2:$A$108, 0), MATCH('השוואת פקטורים'!O$6, טבלה2[[#Headers],[SPPR_1986]:[SPPR_symbolic_full_import_as_DC]], 0)) / INDEX(טבלה2[[SPPR_1986]:[SPPR_symbolic_full_import_as_DC]], MATCH('השוואת פקטורים'!$B76, 'PPRs inner'!$A$2:$A$108, 0), MATCH('השוואת פקטורים'!N$6, טבלה2[[#Headers],[SPPR_1986]:[SPPR_symbolic_full_import_as_DC]], 0))
)</f>
        <v>1.0000000000001417</v>
      </c>
      <c r="P76" s="9">
        <f>IF($B$4="סהכ",
INDEX(טבלה1[[SPPR_1986]:[SPPR_symbolic_full_import_as_DC]], MATCH('השוואת פקטורים'!$B76, 'PPRs all'!$A$2:$A$108, 0), MATCH('השוואת פקטורים'!P$6, טבלה1[[#Headers],[SPPR_1986]:[SPPR_symbolic_full_import_as_DC]], 0)) / INDEX(טבלה1[[SPPR_1986]:[SPPR_symbolic_full_import_as_DC]], MATCH('השוואת פקטורים'!$B76, 'PPRs all'!$A$2:$A$108, 0), MATCH('השוואת פקטורים'!O$6, טבלה1[[#Headers],[SPPR_1986]:[SPPR_symbolic_full_import_as_DC]], 0)),
INDEX(טבלה2[[SPPR_1986]:[SPPR_symbolic_full_import_as_DC]], MATCH('השוואת פקטורים'!$B76, 'PPRs inner'!$A$2:$A$108, 0), MATCH('השוואת פקטורים'!P$6, טבלה2[[#Headers],[SPPR_1986]:[SPPR_symbolic_full_import_as_DC]], 0)) / INDEX(טבלה2[[SPPR_1986]:[SPPR_symbolic_full_import_as_DC]], MATCH('השוואת פקטורים'!$B76, 'PPRs inner'!$A$2:$A$108, 0), MATCH('השוואת פקטורים'!O$6, טבלה2[[#Headers],[SPPR_1986]:[SPPR_symbolic_full_import_as_DC]], 0))
)</f>
        <v>0.56787718792405772</v>
      </c>
      <c r="Q76" s="9">
        <f>IF($B$4="סהכ",
INDEX(טבלה1[[SPPR_1986]:[SPPR_symbolic_full_import_as_DC]], MATCH('השוואת פקטורים'!$B76, 'PPRs all'!$A$2:$A$108, 0), MATCH('השוואת פקטורים'!Q$6, טבלה1[[#Headers],[SPPR_1986]:[SPPR_symbolic_full_import_as_DC]], 0)) / INDEX(טבלה1[[SPPR_1986]:[SPPR_symbolic_full_import_as_DC]], MATCH('השוואת פקטורים'!$B76, 'PPRs all'!$A$2:$A$108, 0), MATCH('השוואת פקטורים'!P$6, טבלה1[[#Headers],[SPPR_1986]:[SPPR_symbolic_full_import_as_DC]], 0)),
INDEX(טבלה2[[SPPR_1986]:[SPPR_symbolic_full_import_as_DC]], MATCH('השוואת פקטורים'!$B76, 'PPRs inner'!$A$2:$A$108, 0), MATCH('השוואת פקטורים'!Q$6, טבלה2[[#Headers],[SPPR_1986]:[SPPR_symbolic_full_import_as_DC]], 0)) / INDEX(טבלה2[[SPPR_1986]:[SPPR_symbolic_full_import_as_DC]], MATCH('השוואת פקטורים'!$B76, 'PPRs inner'!$A$2:$A$108, 0), MATCH('השוואת פקטורים'!P$6, טבלה2[[#Headers],[SPPR_1986]:[SPPR_symbolic_full_import_as_DC]], 0))
)</f>
        <v>0.99999999999998557</v>
      </c>
      <c r="R76" s="9">
        <f>IF($B$4="סהכ",
INDEX(טבלה1[[SPPR_1986]:[SPPR_symbolic_full_import_as_DC]], MATCH('השוואת פקטורים'!$B76, 'PPRs all'!$A$2:$A$108, 0), MATCH('השוואת פקטורים'!R$6, טבלה1[[#Headers],[SPPR_1986]:[SPPR_symbolic_full_import_as_DC]], 0)) / INDEX(טבלה1[[SPPR_1986]:[SPPR_symbolic_full_import_as_DC]], MATCH('השוואת פקטורים'!$B76, 'PPRs all'!$A$2:$A$108, 0), MATCH('השוואת פקטורים'!Q$6, טבלה1[[#Headers],[SPPR_1986]:[SPPR_symbolic_full_import_as_DC]], 0)),
INDEX(טבלה2[[SPPR_1986]:[SPPR_symbolic_full_import_as_DC]], MATCH('השוואת פקטורים'!$B76, 'PPRs inner'!$A$2:$A$108, 0), MATCH('השוואת פקטורים'!R$6, טבלה2[[#Headers],[SPPR_1986]:[SPPR_symbolic_full_import_as_DC]], 0)) / INDEX(טבלה2[[SPPR_1986]:[SPPR_symbolic_full_import_as_DC]], MATCH('השוואת פקטורים'!$B76, 'PPRs inner'!$A$2:$A$108, 0), MATCH('השוואת פקטורים'!Q$6, טבלה2[[#Headers],[SPPR_1986]:[SPPR_symbolic_full_import_as_DC]], 0))
)</f>
        <v>1.2431393691029258</v>
      </c>
      <c r="S76" s="9">
        <f>IF($B$4="סהכ",
INDEX(טבלה1[[SPPR_1986]:[SPPR_symbolic_full_import_as_DC]], MATCH('השוואת פקטורים'!$B76, 'PPRs all'!$A$2:$A$108, 0), MATCH('השוואת פקטורים'!S$6, טבלה1[[#Headers],[SPPR_1986]:[SPPR_symbolic_full_import_as_DC]], 0)) / INDEX(טבלה1[[SPPR_1986]:[SPPR_symbolic_full_import_as_DC]], MATCH('השוואת פקטורים'!$B76, 'PPRs all'!$A$2:$A$108, 0), MATCH('השוואת פקטורים'!R$6, טבלה1[[#Headers],[SPPR_1986]:[SPPR_symbolic_full_import_as_DC]], 0)),
INDEX(טבלה2[[SPPR_1986]:[SPPR_symbolic_full_import_as_DC]], MATCH('השוואת פקטורים'!$B76, 'PPRs inner'!$A$2:$A$108, 0), MATCH('השוואת פקטורים'!S$6, טבלה2[[#Headers],[SPPR_1986]:[SPPR_symbolic_full_import_as_DC]], 0)) / INDEX(טבלה2[[SPPR_1986]:[SPPR_symbolic_full_import_as_DC]], MATCH('השוואת פקטורים'!$B76, 'PPRs inner'!$A$2:$A$108, 0), MATCH('השוואת פקטורים'!R$6, טבלה2[[#Headers],[SPPR_1986]:[SPPR_symbolic_full_import_as_DC]], 0))
)</f>
        <v>0.80441503571849715</v>
      </c>
      <c r="T76" s="9">
        <f>IF($B$4="סהכ",
INDEX(טבלה1[[SPPR_1986]:[SPPR_symbolic_full_import_as_DC]], MATCH('השוואת פקטורים'!$B76, 'PPRs all'!$A$2:$A$108, 0), MATCH('השוואת פקטורים'!T$6, טבלה1[[#Headers],[SPPR_1986]:[SPPR_symbolic_full_import_as_DC]], 0)) / INDEX(טבלה1[[SPPR_1986]:[SPPR_symbolic_full_import_as_DC]], MATCH('השוואת פקטורים'!$B76, 'PPRs all'!$A$2:$A$108, 0), MATCH('השוואת פקטורים'!S$6, טבלה1[[#Headers],[SPPR_1986]:[SPPR_symbolic_full_import_as_DC]], 0)),
INDEX(טבלה2[[SPPR_1986]:[SPPR_symbolic_full_import_as_DC]], MATCH('השוואת פקטורים'!$B76, 'PPRs inner'!$A$2:$A$108, 0), MATCH('השוואת פקטורים'!T$6, טבלה2[[#Headers],[SPPR_1986]:[SPPR_symbolic_full_import_as_DC]], 0)) / INDEX(טבלה2[[SPPR_1986]:[SPPR_symbolic_full_import_as_DC]], MATCH('השוואת פקטורים'!$B76, 'PPRs inner'!$A$2:$A$108, 0), MATCH('השוואת פקטורים'!S$6, טבלה2[[#Headers],[SPPR_1986]:[SPPR_symbolic_full_import_as_DC]], 0))
)</f>
        <v>1.2431393691029258</v>
      </c>
      <c r="U76" s="9">
        <f>IF($B$4="סהכ",
INDEX(טבלה1[[SPPR_1986]:[SPPR_symbolic_full_import_as_DC]], MATCH('השוואת פקטורים'!$B76, 'PPRs all'!$A$2:$A$108, 0), MATCH('השוואת פקטורים'!U$6, טבלה1[[#Headers],[SPPR_1986]:[SPPR_symbolic_full_import_as_DC]], 0)) / INDEX(טבלה1[[SPPR_1986]:[SPPR_symbolic_full_import_as_DC]], MATCH('השוואת פקטורים'!$B76, 'PPRs all'!$A$2:$A$108, 0), MATCH('השוואת פקטורים'!T$6, טבלה1[[#Headers],[SPPR_1986]:[SPPR_symbolic_full_import_as_DC]], 0)),
INDEX(טבלה2[[SPPR_1986]:[SPPR_symbolic_full_import_as_DC]], MATCH('השוואת פקטורים'!$B76, 'PPRs inner'!$A$2:$A$108, 0), MATCH('השוואת פקטורים'!U$6, טבלה2[[#Headers],[SPPR_1986]:[SPPR_symbolic_full_import_as_DC]], 0)) / INDEX(טבלה2[[SPPR_1986]:[SPPR_symbolic_full_import_as_DC]], MATCH('השוואת פקטורים'!$B76, 'PPRs inner'!$A$2:$A$108, 0), MATCH('השוואת פקטורים'!T$6, טבלה2[[#Headers],[SPPR_1986]:[SPPR_symbolic_full_import_as_DC]], 0))
)</f>
        <v>0.80441503571850881</v>
      </c>
      <c r="V76" s="9"/>
      <c r="W76" s="9"/>
      <c r="X76" s="14"/>
      <c r="Y76" s="14"/>
      <c r="Z76" s="15">
        <f t="shared" si="6"/>
        <v>2.3801868426621433</v>
      </c>
    </row>
    <row r="77" spans="2:26" x14ac:dyDescent="0.3">
      <c r="B77" s="6" t="s">
        <v>91</v>
      </c>
      <c r="C77" s="12" t="b">
        <v>1</v>
      </c>
      <c r="D77" s="12" t="b">
        <v>0</v>
      </c>
      <c r="E77" s="12" t="b">
        <v>1</v>
      </c>
      <c r="F77" s="12" t="b">
        <f t="shared" si="5"/>
        <v>0</v>
      </c>
      <c r="G77" s="7" t="b">
        <f>ABS(INDEX(טבלה5[[SPPR_1986]:[SPPR_symbolic_full_import_as_DC]],MATCH('השוואת פקטורים'!$B77,טבלה5[עמודה1],0),MATCH($C$4,טבלה5[[#Headers],[SPPR_1986]:[SPPR_symbolic_full_import_as_DC]],0))) &lt; 5</f>
        <v>1</v>
      </c>
      <c r="H77" s="7" t="b">
        <f>INDEX(טבלה3[[SPPR_1986]:[SPPR_symbolic_full_import_as_DC]],MATCH('השוואת פקטורים'!$B77,טבלה3[עמודה1],0),MATCH($C$4,טבלה3[[#Headers],[SPPR_1986]:[SPPR_symbolic_full_import_as_DC]],0))</f>
        <v>1</v>
      </c>
      <c r="I77" s="7" t="b">
        <f t="shared" si="4"/>
        <v>0</v>
      </c>
      <c r="J77" s="13"/>
      <c r="K77" s="9">
        <f>IF($B$4="סהכ",
INDEX(טבלה1[[SPPR_1986]:[SPPR_symbolic_full_import_as_DC]], MATCH('השוואת פקטורים'!$B77, 'PPRs all'!$A$2:$A$108, 0), MATCH('השוואת פקטורים'!K$6, טבלה1[[#Headers],[SPPR_1986]:[SPPR_symbolic_full_import_as_DC]], 0)) / INDEX(טבלה1[[SPPR_1986]:[SPPR_symbolic_full_import_as_DC]], MATCH('השוואת פקטורים'!$B77, 'PPRs all'!$A$2:$A$108, 0), MATCH('השוואת פקטורים'!J$6, טבלה1[[#Headers],[SPPR_1986]:[SPPR_symbolic_full_import_as_DC]], 0)),
INDEX(טבלה2[[SPPR_1986]:[SPPR_symbolic_full_import_as_DC]], MATCH('השוואת פקטורים'!$B77, 'PPRs inner'!$A$2:$A$108, 0), MATCH('השוואת פקטורים'!K$6, טבלה2[[#Headers],[SPPR_1986]:[SPPR_symbolic_full_import_as_DC]], 0)) / INDEX(טבלה2[[SPPR_1986]:[SPPR_symbolic_full_import_as_DC]], MATCH('השוואת פקטורים'!$B77, 'PPRs inner'!$A$2:$A$108, 0), MATCH('השוואת פקטורים'!J$6, טבלה2[[#Headers],[SPPR_1986]:[SPPR_symbolic_full_import_as_DC]], 0))
)</f>
        <v>2.4465671293276414</v>
      </c>
      <c r="L77" s="9">
        <f>IF($B$4="סהכ",
INDEX(טבלה1[[SPPR_1986]:[SPPR_symbolic_full_import_as_DC]], MATCH('השוואת פקטורים'!$B77, 'PPRs all'!$A$2:$A$108, 0), MATCH('השוואת פקטורים'!L$6, טבלה1[[#Headers],[SPPR_1986]:[SPPR_symbolic_full_import_as_DC]], 0)) / INDEX(טבלה1[[SPPR_1986]:[SPPR_symbolic_full_import_as_DC]], MATCH('השוואת פקטורים'!$B77, 'PPRs all'!$A$2:$A$108, 0), MATCH('השוואת פקטורים'!K$6, טבלה1[[#Headers],[SPPR_1986]:[SPPR_symbolic_full_import_as_DC]], 0)),
INDEX(טבלה2[[SPPR_1986]:[SPPR_symbolic_full_import_as_DC]], MATCH('השוואת פקטורים'!$B77, 'PPRs inner'!$A$2:$A$108, 0), MATCH('השוואת פקטורים'!L$6, טבלה2[[#Headers],[SPPR_1986]:[SPPR_symbolic_full_import_as_DC]], 0)) / INDEX(טבלה2[[SPPR_1986]:[SPPR_symbolic_full_import_as_DC]], MATCH('השוואת פקטורים'!$B77, 'PPRs inner'!$A$2:$A$108, 0), MATCH('השוואת פקטורים'!K$6, טבלה2[[#Headers],[SPPR_1986]:[SPPR_symbolic_full_import_as_DC]], 0))
)</f>
        <v>3.3761022420852553</v>
      </c>
      <c r="M77" s="9">
        <f>IF($B$4="סהכ",
INDEX(טבלה1[[SPPR_1986]:[SPPR_symbolic_full_import_as_DC]], MATCH('השוואת פקטורים'!$B77, 'PPRs all'!$A$2:$A$108, 0), MATCH('השוואת פקטורים'!M$6, טבלה1[[#Headers],[SPPR_1986]:[SPPR_symbolic_full_import_as_DC]], 0)) / INDEX(טבלה1[[SPPR_1986]:[SPPR_symbolic_full_import_as_DC]], MATCH('השוואת פקטורים'!$B77, 'PPRs all'!$A$2:$A$108, 0), MATCH('השוואת פקטורים'!L$6, טבלה1[[#Headers],[SPPR_1986]:[SPPR_symbolic_full_import_as_DC]], 0)),
INDEX(טבלה2[[SPPR_1986]:[SPPR_symbolic_full_import_as_DC]], MATCH('השוואת פקטורים'!$B77, 'PPRs inner'!$A$2:$A$108, 0), MATCH('השוואת פקטורים'!M$6, טבלה2[[#Headers],[SPPR_1986]:[SPPR_symbolic_full_import_as_DC]], 0)) / INDEX(טבלה2[[SPPR_1986]:[SPPR_symbolic_full_import_as_DC]], MATCH('השוואת פקטורים'!$B77, 'PPRs inner'!$A$2:$A$108, 0), MATCH('השוואת פקטורים'!L$6, טבלה2[[#Headers],[SPPR_1986]:[SPPR_symbolic_full_import_as_DC]], 0))
)</f>
        <v>0.13879642743192708</v>
      </c>
      <c r="N77" s="9">
        <f>IF($B$4="סהכ",
INDEX(טבלה1[[SPPR_1986]:[SPPR_symbolic_full_import_as_DC]], MATCH('השוואת פקטורים'!$B77, 'PPRs all'!$A$2:$A$108, 0), MATCH('השוואת פקטורים'!N$6, טבלה1[[#Headers],[SPPR_1986]:[SPPR_symbolic_full_import_as_DC]], 0)) / INDEX(טבלה1[[SPPR_1986]:[SPPR_symbolic_full_import_as_DC]], MATCH('השוואת פקטורים'!$B77, 'PPRs all'!$A$2:$A$108, 0), MATCH('השוואת פקטורים'!M$6, טבלה1[[#Headers],[SPPR_1986]:[SPPR_symbolic_full_import_as_DC]], 0)),
INDEX(טבלה2[[SPPR_1986]:[SPPR_symbolic_full_import_as_DC]], MATCH('השוואת פקטורים'!$B77, 'PPRs inner'!$A$2:$A$108, 0), MATCH('השוואת פקטורים'!N$6, טבלה2[[#Headers],[SPPR_1986]:[SPPR_symbolic_full_import_as_DC]], 0)) / INDEX(טבלה2[[SPPR_1986]:[SPPR_symbolic_full_import_as_DC]], MATCH('השוואת פקטורים'!$B77, 'PPRs inner'!$A$2:$A$108, 0), MATCH('השוואת פקטורים'!M$6, טבלה2[[#Headers],[SPPR_1986]:[SPPR_symbolic_full_import_as_DC]], 0))
)</f>
        <v>1.1673203109065819</v>
      </c>
      <c r="O77" s="9">
        <f>IF($B$4="סהכ",
INDEX(טבלה1[[SPPR_1986]:[SPPR_symbolic_full_import_as_DC]], MATCH('השוואת פקטורים'!$B77, 'PPRs all'!$A$2:$A$108, 0), MATCH('השוואת פקטורים'!O$6, טבלה1[[#Headers],[SPPR_1986]:[SPPR_symbolic_full_import_as_DC]], 0)) / INDEX(טבלה1[[SPPR_1986]:[SPPR_symbolic_full_import_as_DC]], MATCH('השוואת פקטורים'!$B77, 'PPRs all'!$A$2:$A$108, 0), MATCH('השוואת פקטורים'!N$6, טבלה1[[#Headers],[SPPR_1986]:[SPPR_symbolic_full_import_as_DC]], 0)),
INDEX(טבלה2[[SPPR_1986]:[SPPR_symbolic_full_import_as_DC]], MATCH('השוואת פקטורים'!$B77, 'PPRs inner'!$A$2:$A$108, 0), MATCH('השוואת פקטורים'!O$6, טבלה2[[#Headers],[SPPR_1986]:[SPPR_symbolic_full_import_as_DC]], 0)) / INDEX(טבלה2[[SPPR_1986]:[SPPR_symbolic_full_import_as_DC]], MATCH('השוואת פקטורים'!$B77, 'PPRs inner'!$A$2:$A$108, 0), MATCH('השוואת פקטורים'!N$6, טבלה2[[#Headers],[SPPR_1986]:[SPPR_symbolic_full_import_as_DC]], 0))
)</f>
        <v>0.99999999999996991</v>
      </c>
      <c r="P77" s="9">
        <f>IF($B$4="סהכ",
INDEX(טבלה1[[SPPR_1986]:[SPPR_symbolic_full_import_as_DC]], MATCH('השוואת פקטורים'!$B77, 'PPRs all'!$A$2:$A$108, 0), MATCH('השוואת פקטורים'!P$6, טבלה1[[#Headers],[SPPR_1986]:[SPPR_symbolic_full_import_as_DC]], 0)) / INDEX(טבלה1[[SPPR_1986]:[SPPR_symbolic_full_import_as_DC]], MATCH('השוואת פקטורים'!$B77, 'PPRs all'!$A$2:$A$108, 0), MATCH('השוואת פקטורים'!O$6, טבלה1[[#Headers],[SPPR_1986]:[SPPR_symbolic_full_import_as_DC]], 0)),
INDEX(טבלה2[[SPPR_1986]:[SPPR_symbolic_full_import_as_DC]], MATCH('השוואת פקטורים'!$B77, 'PPRs inner'!$A$2:$A$108, 0), MATCH('השוואת פקטורים'!P$6, טבלה2[[#Headers],[SPPR_1986]:[SPPR_symbolic_full_import_as_DC]], 0)) / INDEX(טבלה2[[SPPR_1986]:[SPPR_symbolic_full_import_as_DC]], MATCH('השוואת פקטורים'!$B77, 'PPRs inner'!$A$2:$A$108, 0), MATCH('השוואת פקטורים'!O$6, טבלה2[[#Headers],[SPPR_1986]:[SPPR_symbolic_full_import_as_DC]], 0))
)</f>
        <v>0.8374873110784905</v>
      </c>
      <c r="Q77" s="9">
        <f>IF($B$4="סהכ",
INDEX(טבלה1[[SPPR_1986]:[SPPR_symbolic_full_import_as_DC]], MATCH('השוואת פקטורים'!$B77, 'PPRs all'!$A$2:$A$108, 0), MATCH('השוואת פקטורים'!Q$6, טבלה1[[#Headers],[SPPR_1986]:[SPPR_symbolic_full_import_as_DC]], 0)) / INDEX(טבלה1[[SPPR_1986]:[SPPR_symbolic_full_import_as_DC]], MATCH('השוואת פקטורים'!$B77, 'PPRs all'!$A$2:$A$108, 0), MATCH('השוואת פקטורים'!P$6, טבלה1[[#Headers],[SPPR_1986]:[SPPR_symbolic_full_import_as_DC]], 0)),
INDEX(טבלה2[[SPPR_1986]:[SPPR_symbolic_full_import_as_DC]], MATCH('השוואת פקטורים'!$B77, 'PPRs inner'!$A$2:$A$108, 0), MATCH('השוואת פקטורים'!Q$6, טבלה2[[#Headers],[SPPR_1986]:[SPPR_symbolic_full_import_as_DC]], 0)) / INDEX(טבלה2[[SPPR_1986]:[SPPR_symbolic_full_import_as_DC]], MATCH('השוואת פקטורים'!$B77, 'PPRs inner'!$A$2:$A$108, 0), MATCH('השוואת פקטורים'!P$6, טבלה2[[#Headers],[SPPR_1986]:[SPPR_symbolic_full_import_as_DC]], 0))
)</f>
        <v>1.0000000000000253</v>
      </c>
      <c r="R77" s="9">
        <f>IF($B$4="סהכ",
INDEX(טבלה1[[SPPR_1986]:[SPPR_symbolic_full_import_as_DC]], MATCH('השוואת פקטורים'!$B77, 'PPRs all'!$A$2:$A$108, 0), MATCH('השוואת פקטורים'!R$6, טבלה1[[#Headers],[SPPR_1986]:[SPPR_symbolic_full_import_as_DC]], 0)) / INDEX(טבלה1[[SPPR_1986]:[SPPR_symbolic_full_import_as_DC]], MATCH('השוואת פקטורים'!$B77, 'PPRs all'!$A$2:$A$108, 0), MATCH('השוואת פקטורים'!Q$6, טבלה1[[#Headers],[SPPR_1986]:[SPPR_symbolic_full_import_as_DC]], 0)),
INDEX(טבלה2[[SPPR_1986]:[SPPR_symbolic_full_import_as_DC]], MATCH('השוואת פקטורים'!$B77, 'PPRs inner'!$A$2:$A$108, 0), MATCH('השוואת פקטורים'!R$6, טבלה2[[#Headers],[SPPR_1986]:[SPPR_symbolic_full_import_as_DC]], 0)) / INDEX(טבלה2[[SPPR_1986]:[SPPR_symbolic_full_import_as_DC]], MATCH('השוואת פקטורים'!$B77, 'PPRs inner'!$A$2:$A$108, 0), MATCH('השוואת פקטורים'!Q$6, טבלה2[[#Headers],[SPPR_1986]:[SPPR_symbolic_full_import_as_DC]], 0))
)</f>
        <v>1.792663425471825</v>
      </c>
      <c r="S77" s="9">
        <f>IF($B$4="סהכ",
INDEX(טבלה1[[SPPR_1986]:[SPPR_symbolic_full_import_as_DC]], MATCH('השוואת פקטורים'!$B77, 'PPRs all'!$A$2:$A$108, 0), MATCH('השוואת פקטורים'!S$6, טבלה1[[#Headers],[SPPR_1986]:[SPPR_symbolic_full_import_as_DC]], 0)) / INDEX(טבלה1[[SPPR_1986]:[SPPR_symbolic_full_import_as_DC]], MATCH('השוואת פקטורים'!$B77, 'PPRs all'!$A$2:$A$108, 0), MATCH('השוואת פקטורים'!R$6, טבלה1[[#Headers],[SPPR_1986]:[SPPR_symbolic_full_import_as_DC]], 0)),
INDEX(טבלה2[[SPPR_1986]:[SPPR_symbolic_full_import_as_DC]], MATCH('השוואת פקטורים'!$B77, 'PPRs inner'!$A$2:$A$108, 0), MATCH('השוואת פקטורים'!S$6, טבלה2[[#Headers],[SPPR_1986]:[SPPR_symbolic_full_import_as_DC]], 0)) / INDEX(טבלה2[[SPPR_1986]:[SPPR_symbolic_full_import_as_DC]], MATCH('השוואת פקטורים'!$B77, 'PPRs inner'!$A$2:$A$108, 0), MATCH('השוואת פקטורים'!R$6, טבלה2[[#Headers],[SPPR_1986]:[SPPR_symbolic_full_import_as_DC]], 0))
)</f>
        <v>0.55782919748965276</v>
      </c>
      <c r="T77" s="9">
        <f>IF($B$4="סהכ",
INDEX(טבלה1[[SPPR_1986]:[SPPR_symbolic_full_import_as_DC]], MATCH('השוואת פקטורים'!$B77, 'PPRs all'!$A$2:$A$108, 0), MATCH('השוואת פקטורים'!T$6, טבלה1[[#Headers],[SPPR_1986]:[SPPR_symbolic_full_import_as_DC]], 0)) / INDEX(טבלה1[[SPPR_1986]:[SPPR_symbolic_full_import_as_DC]], MATCH('השוואת פקטורים'!$B77, 'PPRs all'!$A$2:$A$108, 0), MATCH('השוואת פקטורים'!S$6, טבלה1[[#Headers],[SPPR_1986]:[SPPR_symbolic_full_import_as_DC]], 0)),
INDEX(טבלה2[[SPPR_1986]:[SPPR_symbolic_full_import_as_DC]], MATCH('השוואת פקטורים'!$B77, 'PPRs inner'!$A$2:$A$108, 0), MATCH('השוואת פקטורים'!T$6, טבלה2[[#Headers],[SPPR_1986]:[SPPR_symbolic_full_import_as_DC]], 0)) / INDEX(טבלה2[[SPPR_1986]:[SPPR_symbolic_full_import_as_DC]], MATCH('השוואת פקטורים'!$B77, 'PPRs inner'!$A$2:$A$108, 0), MATCH('השוואת פקטורים'!S$6, טבלה2[[#Headers],[SPPR_1986]:[SPPR_symbolic_full_import_as_DC]], 0))
)</f>
        <v>1.792663425471825</v>
      </c>
      <c r="U77" s="9">
        <f>IF($B$4="סהכ",
INDEX(טבלה1[[SPPR_1986]:[SPPR_symbolic_full_import_as_DC]], MATCH('השוואת פקטורים'!$B77, 'PPRs all'!$A$2:$A$108, 0), MATCH('השוואת פקטורים'!U$6, טבלה1[[#Headers],[SPPR_1986]:[SPPR_symbolic_full_import_as_DC]], 0)) / INDEX(טבלה1[[SPPR_1986]:[SPPR_symbolic_full_import_as_DC]], MATCH('השוואת פקטורים'!$B77, 'PPRs all'!$A$2:$A$108, 0), MATCH('השוואת פקטורים'!T$6, טבלה1[[#Headers],[SPPR_1986]:[SPPR_symbolic_full_import_as_DC]], 0)),
INDEX(טבלה2[[SPPR_1986]:[SPPR_symbolic_full_import_as_DC]], MATCH('השוואת פקטורים'!$B77, 'PPRs inner'!$A$2:$A$108, 0), MATCH('השוואת פקטורים'!U$6, טבלה2[[#Headers],[SPPR_1986]:[SPPR_symbolic_full_import_as_DC]], 0)) / INDEX(טבלה2[[SPPR_1986]:[SPPR_symbolic_full_import_as_DC]], MATCH('השוואת פקטורים'!$B77, 'PPRs inner'!$A$2:$A$108, 0), MATCH('השוואת פקטורים'!T$6, טבלה2[[#Headers],[SPPR_1986]:[SPPR_symbolic_full_import_as_DC]], 0))
)</f>
        <v>0.55782919748963855</v>
      </c>
      <c r="V77" s="9"/>
      <c r="W77" s="9"/>
      <c r="X77" s="14"/>
      <c r="Y77" s="14"/>
      <c r="Z77" s="15">
        <f t="shared" si="6"/>
        <v>1.120777212554622</v>
      </c>
    </row>
    <row r="78" spans="2:26" x14ac:dyDescent="0.3">
      <c r="B78" s="6" t="s">
        <v>92</v>
      </c>
      <c r="C78" s="12" t="b">
        <v>1</v>
      </c>
      <c r="D78" s="12" t="b">
        <v>1</v>
      </c>
      <c r="E78" s="12" t="b">
        <v>1</v>
      </c>
      <c r="F78" s="12" t="b">
        <f t="shared" si="5"/>
        <v>1</v>
      </c>
      <c r="G78" s="7" t="b">
        <f>ABS(INDEX(טבלה5[[SPPR_1986]:[SPPR_symbolic_full_import_as_DC]],MATCH('השוואת פקטורים'!$B78,טבלה5[עמודה1],0),MATCH($C$4,טבלה5[[#Headers],[SPPR_1986]:[SPPR_symbolic_full_import_as_DC]],0))) &lt; 5</f>
        <v>1</v>
      </c>
      <c r="H78" s="7" t="b">
        <f>INDEX(טבלה3[[SPPR_1986]:[SPPR_symbolic_full_import_as_DC]],MATCH('השוואת פקטורים'!$B78,טבלה3[עמודה1],0),MATCH($C$4,טבלה3[[#Headers],[SPPR_1986]:[SPPR_symbolic_full_import_as_DC]],0))</f>
        <v>1</v>
      </c>
      <c r="I78" s="7" t="b">
        <f t="shared" si="4"/>
        <v>1</v>
      </c>
      <c r="J78" s="13"/>
      <c r="K78" s="9">
        <f>IF($B$4="סהכ",
INDEX(טבלה1[[SPPR_1986]:[SPPR_symbolic_full_import_as_DC]], MATCH('השוואת פקטורים'!$B78, 'PPRs all'!$A$2:$A$108, 0), MATCH('השוואת פקטורים'!K$6, טבלה1[[#Headers],[SPPR_1986]:[SPPR_symbolic_full_import_as_DC]], 0)) / INDEX(טבלה1[[SPPR_1986]:[SPPR_symbolic_full_import_as_DC]], MATCH('השוואת פקטורים'!$B78, 'PPRs all'!$A$2:$A$108, 0), MATCH('השוואת פקטורים'!J$6, טבלה1[[#Headers],[SPPR_1986]:[SPPR_symbolic_full_import_as_DC]], 0)),
INDEX(טבלה2[[SPPR_1986]:[SPPR_symbolic_full_import_as_DC]], MATCH('השוואת פקטורים'!$B78, 'PPRs inner'!$A$2:$A$108, 0), MATCH('השוואת פקטורים'!K$6, טבלה2[[#Headers],[SPPR_1986]:[SPPR_symbolic_full_import_as_DC]], 0)) / INDEX(טבלה2[[SPPR_1986]:[SPPR_symbolic_full_import_as_DC]], MATCH('השוואת פקטורים'!$B78, 'PPRs inner'!$A$2:$A$108, 0), MATCH('השוואת פקטורים'!J$6, טבלה2[[#Headers],[SPPR_1986]:[SPPR_symbolic_full_import_as_DC]], 0))
)</f>
        <v>1.8181227665885604</v>
      </c>
      <c r="L78" s="9">
        <f>IF($B$4="סהכ",
INDEX(טבלה1[[SPPR_1986]:[SPPR_symbolic_full_import_as_DC]], MATCH('השוואת פקטורים'!$B78, 'PPRs all'!$A$2:$A$108, 0), MATCH('השוואת פקטורים'!L$6, טבלה1[[#Headers],[SPPR_1986]:[SPPR_symbolic_full_import_as_DC]], 0)) / INDEX(טבלה1[[SPPR_1986]:[SPPR_symbolic_full_import_as_DC]], MATCH('השוואת פקטורים'!$B78, 'PPRs all'!$A$2:$A$108, 0), MATCH('השוואת פקטורים'!K$6, טבלה1[[#Headers],[SPPR_1986]:[SPPR_symbolic_full_import_as_DC]], 0)),
INDEX(טבלה2[[SPPR_1986]:[SPPR_symbolic_full_import_as_DC]], MATCH('השוואת פקטורים'!$B78, 'PPRs inner'!$A$2:$A$108, 0), MATCH('השוואת פקטורים'!L$6, טבלה2[[#Headers],[SPPR_1986]:[SPPR_symbolic_full_import_as_DC]], 0)) / INDEX(טבלה2[[SPPR_1986]:[SPPR_symbolic_full_import_as_DC]], MATCH('השוואת פקטורים'!$B78, 'PPRs inner'!$A$2:$A$108, 0), MATCH('השוואת פקטורים'!K$6, טבלה2[[#Headers],[SPPR_1986]:[SPPR_symbolic_full_import_as_DC]], 0))
)</f>
        <v>1.9845201181110834</v>
      </c>
      <c r="M78" s="9">
        <f>IF($B$4="סהכ",
INDEX(טבלה1[[SPPR_1986]:[SPPR_symbolic_full_import_as_DC]], MATCH('השוואת פקטורים'!$B78, 'PPRs all'!$A$2:$A$108, 0), MATCH('השוואת פקטורים'!M$6, טבלה1[[#Headers],[SPPR_1986]:[SPPR_symbolic_full_import_as_DC]], 0)) / INDEX(טבלה1[[SPPR_1986]:[SPPR_symbolic_full_import_as_DC]], MATCH('השוואת פקטורים'!$B78, 'PPRs all'!$A$2:$A$108, 0), MATCH('השוואת פקטורים'!L$6, טבלה1[[#Headers],[SPPR_1986]:[SPPR_symbolic_full_import_as_DC]], 0)),
INDEX(טבלה2[[SPPR_1986]:[SPPR_symbolic_full_import_as_DC]], MATCH('השוואת פקטורים'!$B78, 'PPRs inner'!$A$2:$A$108, 0), MATCH('השוואת פקטורים'!M$6, טבלה2[[#Headers],[SPPR_1986]:[SPPR_symbolic_full_import_as_DC]], 0)) / INDEX(טבלה2[[SPPR_1986]:[SPPR_symbolic_full_import_as_DC]], MATCH('השוואת פקטורים'!$B78, 'PPRs inner'!$A$2:$A$108, 0), MATCH('השוואת פקטורים'!L$6, טבלה2[[#Headers],[SPPR_1986]:[SPPR_symbolic_full_import_as_DC]], 0))
)</f>
        <v>0.48400644984689417</v>
      </c>
      <c r="N78" s="9">
        <f>IF($B$4="סהכ",
INDEX(טבלה1[[SPPR_1986]:[SPPR_symbolic_full_import_as_DC]], MATCH('השוואת פקטורים'!$B78, 'PPRs all'!$A$2:$A$108, 0), MATCH('השוואת פקטורים'!N$6, טבלה1[[#Headers],[SPPR_1986]:[SPPR_symbolic_full_import_as_DC]], 0)) / INDEX(טבלה1[[SPPR_1986]:[SPPR_symbolic_full_import_as_DC]], MATCH('השוואת פקטורים'!$B78, 'PPRs all'!$A$2:$A$108, 0), MATCH('השוואת פקטורים'!M$6, טבלה1[[#Headers],[SPPR_1986]:[SPPR_symbolic_full_import_as_DC]], 0)),
INDEX(טבלה2[[SPPR_1986]:[SPPR_symbolic_full_import_as_DC]], MATCH('השוואת פקטורים'!$B78, 'PPRs inner'!$A$2:$A$108, 0), MATCH('השוואת פקטורים'!N$6, טבלה2[[#Headers],[SPPR_1986]:[SPPR_symbolic_full_import_as_DC]], 0)) / INDEX(טבלה2[[SPPR_1986]:[SPPR_symbolic_full_import_as_DC]], MATCH('השוואת פקטורים'!$B78, 'PPRs inner'!$A$2:$A$108, 0), MATCH('השוואת פקטורים'!M$6, טבלה2[[#Headers],[SPPR_1986]:[SPPR_symbolic_full_import_as_DC]], 0))
)</f>
        <v>2.4718134413503945</v>
      </c>
      <c r="O78" s="9">
        <f>IF($B$4="סהכ",
INDEX(טבלה1[[SPPR_1986]:[SPPR_symbolic_full_import_as_DC]], MATCH('השוואת פקטורים'!$B78, 'PPRs all'!$A$2:$A$108, 0), MATCH('השוואת פקטורים'!O$6, טבלה1[[#Headers],[SPPR_1986]:[SPPR_symbolic_full_import_as_DC]], 0)) / INDEX(טבלה1[[SPPR_1986]:[SPPR_symbolic_full_import_as_DC]], MATCH('השוואת פקטורים'!$B78, 'PPRs all'!$A$2:$A$108, 0), MATCH('השוואת פקטורים'!N$6, טבלה1[[#Headers],[SPPR_1986]:[SPPR_symbolic_full_import_as_DC]], 0)),
INDEX(טבלה2[[SPPR_1986]:[SPPR_symbolic_full_import_as_DC]], MATCH('השוואת פקטורים'!$B78, 'PPRs inner'!$A$2:$A$108, 0), MATCH('השוואת פקטורים'!O$6, טבלה2[[#Headers],[SPPR_1986]:[SPPR_symbolic_full_import_as_DC]], 0)) / INDEX(טבלה2[[SPPR_1986]:[SPPR_symbolic_full_import_as_DC]], MATCH('השוואת פקטורים'!$B78, 'PPRs inner'!$A$2:$A$108, 0), MATCH('השוואת פקטורים'!N$6, טבלה2[[#Headers],[SPPR_1986]:[SPPR_symbolic_full_import_as_DC]], 0))
)</f>
        <v>0.999999999999997</v>
      </c>
      <c r="P78" s="9">
        <f>IF($B$4="סהכ",
INDEX(טבלה1[[SPPR_1986]:[SPPR_symbolic_full_import_as_DC]], MATCH('השוואת פקטורים'!$B78, 'PPRs all'!$A$2:$A$108, 0), MATCH('השוואת פקטורים'!P$6, טבלה1[[#Headers],[SPPR_1986]:[SPPR_symbolic_full_import_as_DC]], 0)) / INDEX(טבלה1[[SPPR_1986]:[SPPR_symbolic_full_import_as_DC]], MATCH('השוואת פקטורים'!$B78, 'PPRs all'!$A$2:$A$108, 0), MATCH('השוואת פקטורים'!O$6, טבלה1[[#Headers],[SPPR_1986]:[SPPR_symbolic_full_import_as_DC]], 0)),
INDEX(טבלה2[[SPPR_1986]:[SPPR_symbolic_full_import_as_DC]], MATCH('השוואת פקטורים'!$B78, 'PPRs inner'!$A$2:$A$108, 0), MATCH('השוואת פקטורים'!P$6, טבלה2[[#Headers],[SPPR_1986]:[SPPR_symbolic_full_import_as_DC]], 0)) / INDEX(טבלה2[[SPPR_1986]:[SPPR_symbolic_full_import_as_DC]], MATCH('השוואת פקטורים'!$B78, 'PPRs inner'!$A$2:$A$108, 0), MATCH('השוואת פקטורים'!O$6, טבלה2[[#Headers],[SPPR_1986]:[SPPR_symbolic_full_import_as_DC]], 0))
)</f>
        <v>0.31434572577566411</v>
      </c>
      <c r="Q78" s="9">
        <f>IF($B$4="סהכ",
INDEX(טבלה1[[SPPR_1986]:[SPPR_symbolic_full_import_as_DC]], MATCH('השוואת פקטורים'!$B78, 'PPRs all'!$A$2:$A$108, 0), MATCH('השוואת פקטורים'!Q$6, טבלה1[[#Headers],[SPPR_1986]:[SPPR_symbolic_full_import_as_DC]], 0)) / INDEX(טבלה1[[SPPR_1986]:[SPPR_symbolic_full_import_as_DC]], MATCH('השוואת פקטורים'!$B78, 'PPRs all'!$A$2:$A$108, 0), MATCH('השוואת פקטורים'!P$6, טבלה1[[#Headers],[SPPR_1986]:[SPPR_symbolic_full_import_as_DC]], 0)),
INDEX(טבלה2[[SPPR_1986]:[SPPR_symbolic_full_import_as_DC]], MATCH('השוואת פקטורים'!$B78, 'PPRs inner'!$A$2:$A$108, 0), MATCH('השוואת פקטורים'!Q$6, טבלה2[[#Headers],[SPPR_1986]:[SPPR_symbolic_full_import_as_DC]], 0)) / INDEX(טבלה2[[SPPR_1986]:[SPPR_symbolic_full_import_as_DC]], MATCH('השוואת פקטורים'!$B78, 'PPRs inner'!$A$2:$A$108, 0), MATCH('השוואת פקטורים'!P$6, טבלה2[[#Headers],[SPPR_1986]:[SPPR_symbolic_full_import_as_DC]], 0))
)</f>
        <v>1.0000000000000011</v>
      </c>
      <c r="R78" s="9">
        <f>IF($B$4="סהכ",
INDEX(טבלה1[[SPPR_1986]:[SPPR_symbolic_full_import_as_DC]], MATCH('השוואת פקטורים'!$B78, 'PPRs all'!$A$2:$A$108, 0), MATCH('השוואת פקטורים'!R$6, טבלה1[[#Headers],[SPPR_1986]:[SPPR_symbolic_full_import_as_DC]], 0)) / INDEX(טבלה1[[SPPR_1986]:[SPPR_symbolic_full_import_as_DC]], MATCH('השוואת פקטורים'!$B78, 'PPRs all'!$A$2:$A$108, 0), MATCH('השוואת פקטורים'!Q$6, טבלה1[[#Headers],[SPPR_1986]:[SPPR_symbolic_full_import_as_DC]], 0)),
INDEX(טבלה2[[SPPR_1986]:[SPPR_symbolic_full_import_as_DC]], MATCH('השוואת פקטורים'!$B78, 'PPRs inner'!$A$2:$A$108, 0), MATCH('השוואת פקטורים'!R$6, טבלה2[[#Headers],[SPPR_1986]:[SPPR_symbolic_full_import_as_DC]], 0)) / INDEX(טבלה2[[SPPR_1986]:[SPPR_symbolic_full_import_as_DC]], MATCH('השוואת פקטורים'!$B78, 'PPRs inner'!$A$2:$A$108, 0), MATCH('השוואת פקטורים'!Q$6, טבלה2[[#Headers],[SPPR_1986]:[SPPR_symbolic_full_import_as_DC]], 0))
)</f>
        <v>1</v>
      </c>
      <c r="S78" s="9">
        <f>IF($B$4="סהכ",
INDEX(טבלה1[[SPPR_1986]:[SPPR_symbolic_full_import_as_DC]], MATCH('השוואת פקטורים'!$B78, 'PPRs all'!$A$2:$A$108, 0), MATCH('השוואת פקטורים'!S$6, טבלה1[[#Headers],[SPPR_1986]:[SPPR_symbolic_full_import_as_DC]], 0)) / INDEX(טבלה1[[SPPR_1986]:[SPPR_symbolic_full_import_as_DC]], MATCH('השוואת פקטורים'!$B78, 'PPRs all'!$A$2:$A$108, 0), MATCH('השוואת פקטורים'!R$6, טבלה1[[#Headers],[SPPR_1986]:[SPPR_symbolic_full_import_as_DC]], 0)),
INDEX(טבלה2[[SPPR_1986]:[SPPR_symbolic_full_import_as_DC]], MATCH('השוואת פקטורים'!$B78, 'PPRs inner'!$A$2:$A$108, 0), MATCH('השוואת פקטורים'!S$6, טבלה2[[#Headers],[SPPR_1986]:[SPPR_symbolic_full_import_as_DC]], 0)) / INDEX(טבלה2[[SPPR_1986]:[SPPR_symbolic_full_import_as_DC]], MATCH('השוואת פקטורים'!$B78, 'PPRs inner'!$A$2:$A$108, 0), MATCH('השוואת פקטורים'!R$6, טבלה2[[#Headers],[SPPR_1986]:[SPPR_symbolic_full_import_as_DC]], 0))
)</f>
        <v>1</v>
      </c>
      <c r="T78" s="9">
        <f>IF($B$4="סהכ",
INDEX(טבלה1[[SPPR_1986]:[SPPR_symbolic_full_import_as_DC]], MATCH('השוואת פקטורים'!$B78, 'PPRs all'!$A$2:$A$108, 0), MATCH('השוואת פקטורים'!T$6, טבלה1[[#Headers],[SPPR_1986]:[SPPR_symbolic_full_import_as_DC]], 0)) / INDEX(טבלה1[[SPPR_1986]:[SPPR_symbolic_full_import_as_DC]], MATCH('השוואת פקטורים'!$B78, 'PPRs all'!$A$2:$A$108, 0), MATCH('השוואת פקטורים'!S$6, טבלה1[[#Headers],[SPPR_1986]:[SPPR_symbolic_full_import_as_DC]], 0)),
INDEX(טבלה2[[SPPR_1986]:[SPPR_symbolic_full_import_as_DC]], MATCH('השוואת פקטורים'!$B78, 'PPRs inner'!$A$2:$A$108, 0), MATCH('השוואת פקטורים'!T$6, טבלה2[[#Headers],[SPPR_1986]:[SPPR_symbolic_full_import_as_DC]], 0)) / INDEX(טבלה2[[SPPR_1986]:[SPPR_symbolic_full_import_as_DC]], MATCH('השוואת פקטורים'!$B78, 'PPRs inner'!$A$2:$A$108, 0), MATCH('השוואת פקטורים'!S$6, טבלה2[[#Headers],[SPPR_1986]:[SPPR_symbolic_full_import_as_DC]], 0))
)</f>
        <v>1</v>
      </c>
      <c r="U78" s="9">
        <f>IF($B$4="סהכ",
INDEX(טבלה1[[SPPR_1986]:[SPPR_symbolic_full_import_as_DC]], MATCH('השוואת פקטורים'!$B78, 'PPRs all'!$A$2:$A$108, 0), MATCH('השוואת פקטורים'!U$6, טבלה1[[#Headers],[SPPR_1986]:[SPPR_symbolic_full_import_as_DC]], 0)) / INDEX(טבלה1[[SPPR_1986]:[SPPR_symbolic_full_import_as_DC]], MATCH('השוואת פקטורים'!$B78, 'PPRs all'!$A$2:$A$108, 0), MATCH('השוואת פקטורים'!T$6, טבלה1[[#Headers],[SPPR_1986]:[SPPR_symbolic_full_import_as_DC]], 0)),
INDEX(טבלה2[[SPPR_1986]:[SPPR_symbolic_full_import_as_DC]], MATCH('השוואת פקטורים'!$B78, 'PPRs inner'!$A$2:$A$108, 0), MATCH('השוואת פקטורים'!U$6, טבלה2[[#Headers],[SPPR_1986]:[SPPR_symbolic_full_import_as_DC]], 0)) / INDEX(טבלה2[[SPPR_1986]:[SPPR_symbolic_full_import_as_DC]], MATCH('השוואת פקטורים'!$B78, 'PPRs inner'!$A$2:$A$108, 0), MATCH('השוואת פקטורים'!T$6, טבלה2[[#Headers],[SPPR_1986]:[SPPR_symbolic_full_import_as_DC]], 0))
)</f>
        <v>0.99999999999999889</v>
      </c>
      <c r="V78" s="9"/>
      <c r="W78" s="9"/>
      <c r="X78" s="14"/>
      <c r="Y78" s="14"/>
      <c r="Z78" s="15">
        <f t="shared" si="6"/>
        <v>1.3569164552784927</v>
      </c>
    </row>
    <row r="79" spans="2:26" x14ac:dyDescent="0.3">
      <c r="B79" s="6" t="s">
        <v>93</v>
      </c>
      <c r="C79" s="12" t="b">
        <v>1</v>
      </c>
      <c r="D79" s="12" t="b">
        <v>1</v>
      </c>
      <c r="E79" s="12" t="b">
        <v>1</v>
      </c>
      <c r="F79" s="12" t="b">
        <f t="shared" si="5"/>
        <v>1</v>
      </c>
      <c r="G79" s="7" t="b">
        <f>ABS(INDEX(טבלה5[[SPPR_1986]:[SPPR_symbolic_full_import_as_DC]],MATCH('השוואת פקטורים'!$B79,טבלה5[עמודה1],0),MATCH($C$4,טבלה5[[#Headers],[SPPR_1986]:[SPPR_symbolic_full_import_as_DC]],0))) &lt; 5</f>
        <v>1</v>
      </c>
      <c r="H79" s="7" t="b">
        <f>INDEX(טבלה3[[SPPR_1986]:[SPPR_symbolic_full_import_as_DC]],MATCH('השוואת פקטורים'!$B79,טבלה3[עמודה1],0),MATCH($C$4,טבלה3[[#Headers],[SPPR_1986]:[SPPR_symbolic_full_import_as_DC]],0))</f>
        <v>1</v>
      </c>
      <c r="I79" s="7" t="b">
        <f t="shared" si="4"/>
        <v>1</v>
      </c>
      <c r="J79" s="13"/>
      <c r="K79" s="9">
        <f>IF($B$4="סהכ",
INDEX(טבלה1[[SPPR_1986]:[SPPR_symbolic_full_import_as_DC]], MATCH('השוואת פקטורים'!$B79, 'PPRs all'!$A$2:$A$108, 0), MATCH('השוואת פקטורים'!K$6, טבלה1[[#Headers],[SPPR_1986]:[SPPR_symbolic_full_import_as_DC]], 0)) / INDEX(טבלה1[[SPPR_1986]:[SPPR_symbolic_full_import_as_DC]], MATCH('השוואת פקטורים'!$B79, 'PPRs all'!$A$2:$A$108, 0), MATCH('השוואת פקטורים'!J$6, טבלה1[[#Headers],[SPPR_1986]:[SPPR_symbolic_full_import_as_DC]], 0)),
INDEX(טבלה2[[SPPR_1986]:[SPPR_symbolic_full_import_as_DC]], MATCH('השוואת פקטורים'!$B79, 'PPRs inner'!$A$2:$A$108, 0), MATCH('השוואת פקטורים'!K$6, טבלה2[[#Headers],[SPPR_1986]:[SPPR_symbolic_full_import_as_DC]], 0)) / INDEX(טבלה2[[SPPR_1986]:[SPPR_symbolic_full_import_as_DC]], MATCH('השוואת פקטורים'!$B79, 'PPRs inner'!$A$2:$A$108, 0), MATCH('השוואת פקטורים'!J$6, טבלה2[[#Headers],[SPPR_1986]:[SPPR_symbolic_full_import_as_DC]], 0))
)</f>
        <v>0.27446669966674625</v>
      </c>
      <c r="L79" s="9">
        <f>IF($B$4="סהכ",
INDEX(טבלה1[[SPPR_1986]:[SPPR_symbolic_full_import_as_DC]], MATCH('השוואת פקטורים'!$B79, 'PPRs all'!$A$2:$A$108, 0), MATCH('השוואת פקטורים'!L$6, טבלה1[[#Headers],[SPPR_1986]:[SPPR_symbolic_full_import_as_DC]], 0)) / INDEX(טבלה1[[SPPR_1986]:[SPPR_symbolic_full_import_as_DC]], MATCH('השוואת פקטורים'!$B79, 'PPRs all'!$A$2:$A$108, 0), MATCH('השוואת פקטורים'!K$6, טבלה1[[#Headers],[SPPR_1986]:[SPPR_symbolic_full_import_as_DC]], 0)),
INDEX(טבלה2[[SPPR_1986]:[SPPR_symbolic_full_import_as_DC]], MATCH('השוואת פקטורים'!$B79, 'PPRs inner'!$A$2:$A$108, 0), MATCH('השוואת פקטורים'!L$6, טבלה2[[#Headers],[SPPR_1986]:[SPPR_symbolic_full_import_as_DC]], 0)) / INDEX(טבלה2[[SPPR_1986]:[SPPR_symbolic_full_import_as_DC]], MATCH('השוואת פקטורים'!$B79, 'PPRs inner'!$A$2:$A$108, 0), MATCH('השוואת פקטורים'!K$6, טבלה2[[#Headers],[SPPR_1986]:[SPPR_symbolic_full_import_as_DC]], 0))
)</f>
        <v>1.599846378775629</v>
      </c>
      <c r="M79" s="9">
        <f>IF($B$4="סהכ",
INDEX(טבלה1[[SPPR_1986]:[SPPR_symbolic_full_import_as_DC]], MATCH('השוואת פקטורים'!$B79, 'PPRs all'!$A$2:$A$108, 0), MATCH('השוואת פקטורים'!M$6, טבלה1[[#Headers],[SPPR_1986]:[SPPR_symbolic_full_import_as_DC]], 0)) / INDEX(טבלה1[[SPPR_1986]:[SPPR_symbolic_full_import_as_DC]], MATCH('השוואת פקטורים'!$B79, 'PPRs all'!$A$2:$A$108, 0), MATCH('השוואת פקטורים'!L$6, טבלה1[[#Headers],[SPPR_1986]:[SPPR_symbolic_full_import_as_DC]], 0)),
INDEX(טבלה2[[SPPR_1986]:[SPPR_symbolic_full_import_as_DC]], MATCH('השוואת פקטורים'!$B79, 'PPRs inner'!$A$2:$A$108, 0), MATCH('השוואת פקטורים'!M$6, טבלה2[[#Headers],[SPPR_1986]:[SPPR_symbolic_full_import_as_DC]], 0)) / INDEX(טבלה2[[SPPR_1986]:[SPPR_symbolic_full_import_as_DC]], MATCH('השוואת פקטורים'!$B79, 'PPRs inner'!$A$2:$A$108, 0), MATCH('השוואת פקטורים'!L$6, טבלה2[[#Headers],[SPPR_1986]:[SPPR_symbolic_full_import_as_DC]], 0))
)</f>
        <v>1.2905714589373662</v>
      </c>
      <c r="N79" s="9">
        <f>IF($B$4="סהכ",
INDEX(טבלה1[[SPPR_1986]:[SPPR_symbolic_full_import_as_DC]], MATCH('השוואת פקטורים'!$B79, 'PPRs all'!$A$2:$A$108, 0), MATCH('השוואת פקטורים'!N$6, טבלה1[[#Headers],[SPPR_1986]:[SPPR_symbolic_full_import_as_DC]], 0)) / INDEX(טבלה1[[SPPR_1986]:[SPPR_symbolic_full_import_as_DC]], MATCH('השוואת פקטורים'!$B79, 'PPRs all'!$A$2:$A$108, 0), MATCH('השוואת פקטורים'!M$6, טבלה1[[#Headers],[SPPR_1986]:[SPPR_symbolic_full_import_as_DC]], 0)),
INDEX(טבלה2[[SPPR_1986]:[SPPR_symbolic_full_import_as_DC]], MATCH('השוואת פקטורים'!$B79, 'PPRs inner'!$A$2:$A$108, 0), MATCH('השוואת פקטורים'!N$6, טבלה2[[#Headers],[SPPR_1986]:[SPPR_symbolic_full_import_as_DC]], 0)) / INDEX(טבלה2[[SPPR_1986]:[SPPR_symbolic_full_import_as_DC]], MATCH('השוואת פקטורים'!$B79, 'PPRs inner'!$A$2:$A$108, 0), MATCH('השוואת פקטורים'!M$6, טבלה2[[#Headers],[SPPR_1986]:[SPPR_symbolic_full_import_as_DC]], 0))
)</f>
        <v>11.471558783680985</v>
      </c>
      <c r="O79" s="9">
        <f>IF($B$4="סהכ",
INDEX(טבלה1[[SPPR_1986]:[SPPR_symbolic_full_import_as_DC]], MATCH('השוואת פקטורים'!$B79, 'PPRs all'!$A$2:$A$108, 0), MATCH('השוואת פקטורים'!O$6, טבלה1[[#Headers],[SPPR_1986]:[SPPR_symbolic_full_import_as_DC]], 0)) / INDEX(טבלה1[[SPPR_1986]:[SPPR_symbolic_full_import_as_DC]], MATCH('השוואת פקטורים'!$B79, 'PPRs all'!$A$2:$A$108, 0), MATCH('השוואת פקטורים'!N$6, טבלה1[[#Headers],[SPPR_1986]:[SPPR_symbolic_full_import_as_DC]], 0)),
INDEX(טבלה2[[SPPR_1986]:[SPPR_symbolic_full_import_as_DC]], MATCH('השוואת פקטורים'!$B79, 'PPRs inner'!$A$2:$A$108, 0), MATCH('השוואת פקטורים'!O$6, טבלה2[[#Headers],[SPPR_1986]:[SPPR_symbolic_full_import_as_DC]], 0)) / INDEX(טבלה2[[SPPR_1986]:[SPPR_symbolic_full_import_as_DC]], MATCH('השוואת פקטורים'!$B79, 'PPRs inner'!$A$2:$A$108, 0), MATCH('השוואת פקטורים'!N$6, טבלה2[[#Headers],[SPPR_1986]:[SPPR_symbolic_full_import_as_DC]], 0))
)</f>
        <v>1.0000000000000042</v>
      </c>
      <c r="P79" s="9">
        <f>IF($B$4="סהכ",
INDEX(טבלה1[[SPPR_1986]:[SPPR_symbolic_full_import_as_DC]], MATCH('השוואת פקטורים'!$B79, 'PPRs all'!$A$2:$A$108, 0), MATCH('השוואת פקטורים'!P$6, טבלה1[[#Headers],[SPPR_1986]:[SPPR_symbolic_full_import_as_DC]], 0)) / INDEX(טבלה1[[SPPR_1986]:[SPPR_symbolic_full_import_as_DC]], MATCH('השוואת פקטורים'!$B79, 'PPRs all'!$A$2:$A$108, 0), MATCH('השוואת פקטורים'!O$6, טבלה1[[#Headers],[SPPR_1986]:[SPPR_symbolic_full_import_as_DC]], 0)),
INDEX(טבלה2[[SPPR_1986]:[SPPR_symbolic_full_import_as_DC]], MATCH('השוואת פקטורים'!$B79, 'PPRs inner'!$A$2:$A$108, 0), MATCH('השוואת פקטורים'!P$6, טבלה2[[#Headers],[SPPR_1986]:[SPPR_symbolic_full_import_as_DC]], 0)) / INDEX(טבלה2[[SPPR_1986]:[SPPR_symbolic_full_import_as_DC]], MATCH('השוואת פקטורים'!$B79, 'PPRs inner'!$A$2:$A$108, 0), MATCH('השוואת פקטורים'!O$6, טבלה2[[#Headers],[SPPR_1986]:[SPPR_symbolic_full_import_as_DC]], 0))
)</f>
        <v>0.29943369249457324</v>
      </c>
      <c r="Q79" s="9">
        <f>IF($B$4="סהכ",
INDEX(טבלה1[[SPPR_1986]:[SPPR_symbolic_full_import_as_DC]], MATCH('השוואת פקטורים'!$B79, 'PPRs all'!$A$2:$A$108, 0), MATCH('השוואת פקטורים'!Q$6, טבלה1[[#Headers],[SPPR_1986]:[SPPR_symbolic_full_import_as_DC]], 0)) / INDEX(טבלה1[[SPPR_1986]:[SPPR_symbolic_full_import_as_DC]], MATCH('השוואת פקטורים'!$B79, 'PPRs all'!$A$2:$A$108, 0), MATCH('השוואת פקטורים'!P$6, טבלה1[[#Headers],[SPPR_1986]:[SPPR_symbolic_full_import_as_DC]], 0)),
INDEX(טבלה2[[SPPR_1986]:[SPPR_symbolic_full_import_as_DC]], MATCH('השוואת פקטורים'!$B79, 'PPRs inner'!$A$2:$A$108, 0), MATCH('השוואת פקטורים'!Q$6, טבלה2[[#Headers],[SPPR_1986]:[SPPR_symbolic_full_import_as_DC]], 0)) / INDEX(טבלה2[[SPPR_1986]:[SPPR_symbolic_full_import_as_DC]], MATCH('השוואת פקטורים'!$B79, 'PPRs inner'!$A$2:$A$108, 0), MATCH('השוואת פקטורים'!P$6, טבלה2[[#Headers],[SPPR_1986]:[SPPR_symbolic_full_import_as_DC]], 0))
)</f>
        <v>1.0000000000000033</v>
      </c>
      <c r="R79" s="9">
        <f>IF($B$4="סהכ",
INDEX(טבלה1[[SPPR_1986]:[SPPR_symbolic_full_import_as_DC]], MATCH('השוואת פקטורים'!$B79, 'PPRs all'!$A$2:$A$108, 0), MATCH('השוואת פקטורים'!R$6, טבלה1[[#Headers],[SPPR_1986]:[SPPR_symbolic_full_import_as_DC]], 0)) / INDEX(טבלה1[[SPPR_1986]:[SPPR_symbolic_full_import_as_DC]], MATCH('השוואת פקטורים'!$B79, 'PPRs all'!$A$2:$A$108, 0), MATCH('השוואת פקטורים'!Q$6, טבלה1[[#Headers],[SPPR_1986]:[SPPR_symbolic_full_import_as_DC]], 0)),
INDEX(טבלה2[[SPPR_1986]:[SPPR_symbolic_full_import_as_DC]], MATCH('השוואת פקטורים'!$B79, 'PPRs inner'!$A$2:$A$108, 0), MATCH('השוואת פקטורים'!R$6, טבלה2[[#Headers],[SPPR_1986]:[SPPR_symbolic_full_import_as_DC]], 0)) / INDEX(טבלה2[[SPPR_1986]:[SPPR_symbolic_full_import_as_DC]], MATCH('השוואת פקטורים'!$B79, 'PPRs inner'!$A$2:$A$108, 0), MATCH('השוואת פקטורים'!Q$6, טבלה2[[#Headers],[SPPR_1986]:[SPPR_symbolic_full_import_as_DC]], 0))
)</f>
        <v>1</v>
      </c>
      <c r="S79" s="9">
        <f>IF($B$4="סהכ",
INDEX(טבלה1[[SPPR_1986]:[SPPR_symbolic_full_import_as_DC]], MATCH('השוואת פקטורים'!$B79, 'PPRs all'!$A$2:$A$108, 0), MATCH('השוואת פקטורים'!S$6, טבלה1[[#Headers],[SPPR_1986]:[SPPR_symbolic_full_import_as_DC]], 0)) / INDEX(טבלה1[[SPPR_1986]:[SPPR_symbolic_full_import_as_DC]], MATCH('השוואת פקטורים'!$B79, 'PPRs all'!$A$2:$A$108, 0), MATCH('השוואת פקטורים'!R$6, טבלה1[[#Headers],[SPPR_1986]:[SPPR_symbolic_full_import_as_DC]], 0)),
INDEX(טבלה2[[SPPR_1986]:[SPPR_symbolic_full_import_as_DC]], MATCH('השוואת פקטורים'!$B79, 'PPRs inner'!$A$2:$A$108, 0), MATCH('השוואת פקטורים'!S$6, טבלה2[[#Headers],[SPPR_1986]:[SPPR_symbolic_full_import_as_DC]], 0)) / INDEX(טבלה2[[SPPR_1986]:[SPPR_symbolic_full_import_as_DC]], MATCH('השוואת פקטורים'!$B79, 'PPRs inner'!$A$2:$A$108, 0), MATCH('השוואת פקטורים'!R$6, טבלה2[[#Headers],[SPPR_1986]:[SPPR_symbolic_full_import_as_DC]], 0))
)</f>
        <v>1</v>
      </c>
      <c r="T79" s="9">
        <f>IF($B$4="סהכ",
INDEX(טבלה1[[SPPR_1986]:[SPPR_symbolic_full_import_as_DC]], MATCH('השוואת פקטורים'!$B79, 'PPRs all'!$A$2:$A$108, 0), MATCH('השוואת פקטורים'!T$6, טבלה1[[#Headers],[SPPR_1986]:[SPPR_symbolic_full_import_as_DC]], 0)) / INDEX(טבלה1[[SPPR_1986]:[SPPR_symbolic_full_import_as_DC]], MATCH('השוואת פקטורים'!$B79, 'PPRs all'!$A$2:$A$108, 0), MATCH('השוואת פקטורים'!S$6, טבלה1[[#Headers],[SPPR_1986]:[SPPR_symbolic_full_import_as_DC]], 0)),
INDEX(טבלה2[[SPPR_1986]:[SPPR_symbolic_full_import_as_DC]], MATCH('השוואת פקטורים'!$B79, 'PPRs inner'!$A$2:$A$108, 0), MATCH('השוואת פקטורים'!T$6, טבלה2[[#Headers],[SPPR_1986]:[SPPR_symbolic_full_import_as_DC]], 0)) / INDEX(טבלה2[[SPPR_1986]:[SPPR_symbolic_full_import_as_DC]], MATCH('השוואת פקטורים'!$B79, 'PPRs inner'!$A$2:$A$108, 0), MATCH('השוואת פקטורים'!S$6, טבלה2[[#Headers],[SPPR_1986]:[SPPR_symbolic_full_import_as_DC]], 0))
)</f>
        <v>1</v>
      </c>
      <c r="U79" s="9">
        <f>IF($B$4="סהכ",
INDEX(טבלה1[[SPPR_1986]:[SPPR_symbolic_full_import_as_DC]], MATCH('השוואת פקטורים'!$B79, 'PPRs all'!$A$2:$A$108, 0), MATCH('השוואת פקטורים'!U$6, טבלה1[[#Headers],[SPPR_1986]:[SPPR_symbolic_full_import_as_DC]], 0)) / INDEX(טבלה1[[SPPR_1986]:[SPPR_symbolic_full_import_as_DC]], MATCH('השוואת פקטורים'!$B79, 'PPRs all'!$A$2:$A$108, 0), MATCH('השוואת פקטורים'!T$6, טבלה1[[#Headers],[SPPR_1986]:[SPPR_symbolic_full_import_as_DC]], 0)),
INDEX(טבלה2[[SPPR_1986]:[SPPR_symbolic_full_import_as_DC]], MATCH('השוואת פקטורים'!$B79, 'PPRs inner'!$A$2:$A$108, 0), MATCH('השוואת פקטורים'!U$6, טבלה2[[#Headers],[SPPR_1986]:[SPPR_symbolic_full_import_as_DC]], 0)) / INDEX(טבלה2[[SPPR_1986]:[SPPR_symbolic_full_import_as_DC]], MATCH('השוואת פקטורים'!$B79, 'PPRs inner'!$A$2:$A$108, 0), MATCH('השוואת פקטורים'!T$6, טבלה2[[#Headers],[SPPR_1986]:[SPPR_symbolic_full_import_as_DC]], 0))
)</f>
        <v>0.99999999999999667</v>
      </c>
      <c r="V79" s="9"/>
      <c r="W79" s="9"/>
      <c r="X79" s="14"/>
      <c r="Y79" s="14"/>
      <c r="Z79" s="15">
        <f t="shared" si="6"/>
        <v>1.9465837788135736</v>
      </c>
    </row>
    <row r="80" spans="2:26" x14ac:dyDescent="0.3">
      <c r="B80" s="6" t="s">
        <v>94</v>
      </c>
      <c r="C80" s="12" t="b">
        <v>1</v>
      </c>
      <c r="D80" s="12" t="b">
        <v>1</v>
      </c>
      <c r="E80" s="12" t="b">
        <v>1</v>
      </c>
      <c r="F80" s="12" t="b">
        <f t="shared" si="5"/>
        <v>1</v>
      </c>
      <c r="G80" s="7" t="b">
        <f>ABS(INDEX(טבלה5[[SPPR_1986]:[SPPR_symbolic_full_import_as_DC]],MATCH('השוואת פקטורים'!$B80,טבלה5[עמודה1],0),MATCH($C$4,טבלה5[[#Headers],[SPPR_1986]:[SPPR_symbolic_full_import_as_DC]],0))) &lt; 5</f>
        <v>1</v>
      </c>
      <c r="H80" s="7" t="b">
        <f>INDEX(טבלה3[[SPPR_1986]:[SPPR_symbolic_full_import_as_DC]],MATCH('השוואת פקטורים'!$B80,טבלה3[עמודה1],0),MATCH($C$4,טבלה3[[#Headers],[SPPR_1986]:[SPPR_symbolic_full_import_as_DC]],0))</f>
        <v>1</v>
      </c>
      <c r="I80" s="7" t="b">
        <f t="shared" si="4"/>
        <v>1</v>
      </c>
      <c r="J80" s="13"/>
      <c r="K80" s="9">
        <f>IF($B$4="סהכ",
INDEX(טבלה1[[SPPR_1986]:[SPPR_symbolic_full_import_as_DC]], MATCH('השוואת פקטורים'!$B80, 'PPRs all'!$A$2:$A$108, 0), MATCH('השוואת פקטורים'!K$6, טבלה1[[#Headers],[SPPR_1986]:[SPPR_symbolic_full_import_as_DC]], 0)) / INDEX(טבלה1[[SPPR_1986]:[SPPR_symbolic_full_import_as_DC]], MATCH('השוואת פקטורים'!$B80, 'PPRs all'!$A$2:$A$108, 0), MATCH('השוואת פקטורים'!J$6, טבלה1[[#Headers],[SPPR_1986]:[SPPR_symbolic_full_import_as_DC]], 0)),
INDEX(טבלה2[[SPPR_1986]:[SPPR_symbolic_full_import_as_DC]], MATCH('השוואת פקטורים'!$B80, 'PPRs inner'!$A$2:$A$108, 0), MATCH('השוואת פקטורים'!K$6, טבלה2[[#Headers],[SPPR_1986]:[SPPR_symbolic_full_import_as_DC]], 0)) / INDEX(טבלה2[[SPPR_1986]:[SPPR_symbolic_full_import_as_DC]], MATCH('השוואת פקטורים'!$B80, 'PPRs inner'!$A$2:$A$108, 0), MATCH('השוואת פקטורים'!J$6, טבלה2[[#Headers],[SPPR_1986]:[SPPR_symbolic_full_import_as_DC]], 0))
)</f>
        <v>3.1322960853608919</v>
      </c>
      <c r="L80" s="9">
        <f>IF($B$4="סהכ",
INDEX(טבלה1[[SPPR_1986]:[SPPR_symbolic_full_import_as_DC]], MATCH('השוואת פקטורים'!$B80, 'PPRs all'!$A$2:$A$108, 0), MATCH('השוואת פקטורים'!L$6, טבלה1[[#Headers],[SPPR_1986]:[SPPR_symbolic_full_import_as_DC]], 0)) / INDEX(טבלה1[[SPPR_1986]:[SPPR_symbolic_full_import_as_DC]], MATCH('השוואת פקטורים'!$B80, 'PPRs all'!$A$2:$A$108, 0), MATCH('השוואת פקטורים'!K$6, טבלה1[[#Headers],[SPPR_1986]:[SPPR_symbolic_full_import_as_DC]], 0)),
INDEX(טבלה2[[SPPR_1986]:[SPPR_symbolic_full_import_as_DC]], MATCH('השוואת פקטורים'!$B80, 'PPRs inner'!$A$2:$A$108, 0), MATCH('השוואת פקטורים'!L$6, טבלה2[[#Headers],[SPPR_1986]:[SPPR_symbolic_full_import_as_DC]], 0)) / INDEX(טבלה2[[SPPR_1986]:[SPPR_symbolic_full_import_as_DC]], MATCH('השוואת פקטורים'!$B80, 'PPRs inner'!$A$2:$A$108, 0), MATCH('השוואת פקטורים'!K$6, טבלה2[[#Headers],[SPPR_1986]:[SPPR_symbolic_full_import_as_DC]], 0))
)</f>
        <v>14.4569347814914</v>
      </c>
      <c r="M80" s="9">
        <f>IF($B$4="סהכ",
INDEX(טבלה1[[SPPR_1986]:[SPPR_symbolic_full_import_as_DC]], MATCH('השוואת פקטורים'!$B80, 'PPRs all'!$A$2:$A$108, 0), MATCH('השוואת פקטורים'!M$6, טבלה1[[#Headers],[SPPR_1986]:[SPPR_symbolic_full_import_as_DC]], 0)) / INDEX(טבלה1[[SPPR_1986]:[SPPR_symbolic_full_import_as_DC]], MATCH('השוואת פקטורים'!$B80, 'PPRs all'!$A$2:$A$108, 0), MATCH('השוואת פקטורים'!L$6, טבלה1[[#Headers],[SPPR_1986]:[SPPR_symbolic_full_import_as_DC]], 0)),
INDEX(טבלה2[[SPPR_1986]:[SPPR_symbolic_full_import_as_DC]], MATCH('השוואת פקטורים'!$B80, 'PPRs inner'!$A$2:$A$108, 0), MATCH('השוואת פקטורים'!M$6, טבלה2[[#Headers],[SPPR_1986]:[SPPR_symbolic_full_import_as_DC]], 0)) / INDEX(טבלה2[[SPPR_1986]:[SPPR_symbolic_full_import_as_DC]], MATCH('השוואת פקטורים'!$B80, 'PPRs inner'!$A$2:$A$108, 0), MATCH('השוואת פקטורים'!L$6, טבלה2[[#Headers],[SPPR_1986]:[SPPR_symbolic_full_import_as_DC]], 0))
)</f>
        <v>6.8404770743972942E-2</v>
      </c>
      <c r="N80" s="9">
        <f>IF($B$4="סהכ",
INDEX(טבלה1[[SPPR_1986]:[SPPR_symbolic_full_import_as_DC]], MATCH('השוואת פקטורים'!$B80, 'PPRs all'!$A$2:$A$108, 0), MATCH('השוואת פקטורים'!N$6, טבלה1[[#Headers],[SPPR_1986]:[SPPR_symbolic_full_import_as_DC]], 0)) / INDEX(טבלה1[[SPPR_1986]:[SPPR_symbolic_full_import_as_DC]], MATCH('השוואת פקטורים'!$B80, 'PPRs all'!$A$2:$A$108, 0), MATCH('השוואת פקטורים'!M$6, טבלה1[[#Headers],[SPPR_1986]:[SPPR_symbolic_full_import_as_DC]], 0)),
INDEX(טבלה2[[SPPR_1986]:[SPPR_symbolic_full_import_as_DC]], MATCH('השוואת פקטורים'!$B80, 'PPRs inner'!$A$2:$A$108, 0), MATCH('השוואת פקטורים'!N$6, טבלה2[[#Headers],[SPPR_1986]:[SPPR_symbolic_full_import_as_DC]], 0)) / INDEX(טבלה2[[SPPR_1986]:[SPPR_symbolic_full_import_as_DC]], MATCH('השוואת פקטורים'!$B80, 'PPRs inner'!$A$2:$A$108, 0), MATCH('השוואת פקטורים'!M$6, טבלה2[[#Headers],[SPPR_1986]:[SPPR_symbolic_full_import_as_DC]], 0))
)</f>
        <v>50.576174463249863</v>
      </c>
      <c r="O80" s="9">
        <f>IF($B$4="סהכ",
INDEX(טבלה1[[SPPR_1986]:[SPPR_symbolic_full_import_as_DC]], MATCH('השוואת פקטורים'!$B80, 'PPRs all'!$A$2:$A$108, 0), MATCH('השוואת פקטורים'!O$6, טבלה1[[#Headers],[SPPR_1986]:[SPPR_symbolic_full_import_as_DC]], 0)) / INDEX(טבלה1[[SPPR_1986]:[SPPR_symbolic_full_import_as_DC]], MATCH('השוואת פקטורים'!$B80, 'PPRs all'!$A$2:$A$108, 0), MATCH('השוואת פקטורים'!N$6, טבלה1[[#Headers],[SPPR_1986]:[SPPR_symbolic_full_import_as_DC]], 0)),
INDEX(טבלה2[[SPPR_1986]:[SPPR_symbolic_full_import_as_DC]], MATCH('השוואת פקטורים'!$B80, 'PPRs inner'!$A$2:$A$108, 0), MATCH('השוואת פקטורים'!O$6, טבלה2[[#Headers],[SPPR_1986]:[SPPR_symbolic_full_import_as_DC]], 0)) / INDEX(טבלה2[[SPPR_1986]:[SPPR_symbolic_full_import_as_DC]], MATCH('השוואת פקטורים'!$B80, 'PPRs inner'!$A$2:$A$108, 0), MATCH('השוואת פקטורים'!N$6, טבלה2[[#Headers],[SPPR_1986]:[SPPR_symbolic_full_import_as_DC]], 0))
)</f>
        <v>1</v>
      </c>
      <c r="P80" s="9">
        <f>IF($B$4="סהכ",
INDEX(טבלה1[[SPPR_1986]:[SPPR_symbolic_full_import_as_DC]], MATCH('השוואת פקטורים'!$B80, 'PPRs all'!$A$2:$A$108, 0), MATCH('השוואת פקטורים'!P$6, טבלה1[[#Headers],[SPPR_1986]:[SPPR_symbolic_full_import_as_DC]], 0)) / INDEX(טבלה1[[SPPR_1986]:[SPPR_symbolic_full_import_as_DC]], MATCH('השוואת פקטורים'!$B80, 'PPRs all'!$A$2:$A$108, 0), MATCH('השוואת פקטורים'!O$6, טבלה1[[#Headers],[SPPR_1986]:[SPPR_symbolic_full_import_as_DC]], 0)),
INDEX(טבלה2[[SPPR_1986]:[SPPR_symbolic_full_import_as_DC]], MATCH('השוואת פקטורים'!$B80, 'PPRs inner'!$A$2:$A$108, 0), MATCH('השוואת פקטורים'!P$6, טבלה2[[#Headers],[SPPR_1986]:[SPPR_symbolic_full_import_as_DC]], 0)) / INDEX(טבלה2[[SPPR_1986]:[SPPR_symbolic_full_import_as_DC]], MATCH('השוואת פקטורים'!$B80, 'PPRs inner'!$A$2:$A$108, 0), MATCH('השוואת פקטורים'!O$6, טבלה2[[#Headers],[SPPR_1986]:[SPPR_symbolic_full_import_as_DC]], 0))
)</f>
        <v>6.0060886051899229E-2</v>
      </c>
      <c r="Q80" s="9">
        <f>IF($B$4="סהכ",
INDEX(טבלה1[[SPPR_1986]:[SPPR_symbolic_full_import_as_DC]], MATCH('השוואת פקטורים'!$B80, 'PPRs all'!$A$2:$A$108, 0), MATCH('השוואת פקטורים'!Q$6, טבלה1[[#Headers],[SPPR_1986]:[SPPR_symbolic_full_import_as_DC]], 0)) / INDEX(טבלה1[[SPPR_1986]:[SPPR_symbolic_full_import_as_DC]], MATCH('השוואת פקטורים'!$B80, 'PPRs all'!$A$2:$A$108, 0), MATCH('השוואת פקטורים'!P$6, טבלה1[[#Headers],[SPPR_1986]:[SPPR_symbolic_full_import_as_DC]], 0)),
INDEX(טבלה2[[SPPR_1986]:[SPPR_symbolic_full_import_as_DC]], MATCH('השוואת פקטורים'!$B80, 'PPRs inner'!$A$2:$A$108, 0), MATCH('השוואת פקטורים'!Q$6, טבלה2[[#Headers],[SPPR_1986]:[SPPR_symbolic_full_import_as_DC]], 0)) / INDEX(טבלה2[[SPPR_1986]:[SPPR_symbolic_full_import_as_DC]], MATCH('השוואת פקטורים'!$B80, 'PPRs inner'!$A$2:$A$108, 0), MATCH('השוואת פקטורים'!P$6, טבלה2[[#Headers],[SPPR_1986]:[SPPR_symbolic_full_import_as_DC]], 0))
)</f>
        <v>1.0000000000000024</v>
      </c>
      <c r="R80" s="9">
        <f>IF($B$4="סהכ",
INDEX(טבלה1[[SPPR_1986]:[SPPR_symbolic_full_import_as_DC]], MATCH('השוואת פקטורים'!$B80, 'PPRs all'!$A$2:$A$108, 0), MATCH('השוואת פקטורים'!R$6, טבלה1[[#Headers],[SPPR_1986]:[SPPR_symbolic_full_import_as_DC]], 0)) / INDEX(טבלה1[[SPPR_1986]:[SPPR_symbolic_full_import_as_DC]], MATCH('השוואת פקטורים'!$B80, 'PPRs all'!$A$2:$A$108, 0), MATCH('השוואת פקטורים'!Q$6, טבלה1[[#Headers],[SPPR_1986]:[SPPR_symbolic_full_import_as_DC]], 0)),
INDEX(טבלה2[[SPPR_1986]:[SPPR_symbolic_full_import_as_DC]], MATCH('השוואת פקטורים'!$B80, 'PPRs inner'!$A$2:$A$108, 0), MATCH('השוואת פקטורים'!R$6, טבלה2[[#Headers],[SPPR_1986]:[SPPR_symbolic_full_import_as_DC]], 0)) / INDEX(טבלה2[[SPPR_1986]:[SPPR_symbolic_full_import_as_DC]], MATCH('השוואת פקטורים'!$B80, 'PPRs inner'!$A$2:$A$108, 0), MATCH('השוואת פקטורים'!Q$6, טבלה2[[#Headers],[SPPR_1986]:[SPPR_symbolic_full_import_as_DC]], 0))
)</f>
        <v>1</v>
      </c>
      <c r="S80" s="9">
        <f>IF($B$4="סהכ",
INDEX(טבלה1[[SPPR_1986]:[SPPR_symbolic_full_import_as_DC]], MATCH('השוואת פקטורים'!$B80, 'PPRs all'!$A$2:$A$108, 0), MATCH('השוואת פקטורים'!S$6, טבלה1[[#Headers],[SPPR_1986]:[SPPR_symbolic_full_import_as_DC]], 0)) / INDEX(טבלה1[[SPPR_1986]:[SPPR_symbolic_full_import_as_DC]], MATCH('השוואת פקטורים'!$B80, 'PPRs all'!$A$2:$A$108, 0), MATCH('השוואת פקטורים'!R$6, טבלה1[[#Headers],[SPPR_1986]:[SPPR_symbolic_full_import_as_DC]], 0)),
INDEX(טבלה2[[SPPR_1986]:[SPPR_symbolic_full_import_as_DC]], MATCH('השוואת פקטורים'!$B80, 'PPRs inner'!$A$2:$A$108, 0), MATCH('השוואת פקטורים'!S$6, טבלה2[[#Headers],[SPPR_1986]:[SPPR_symbolic_full_import_as_DC]], 0)) / INDEX(טבלה2[[SPPR_1986]:[SPPR_symbolic_full_import_as_DC]], MATCH('השוואת פקטורים'!$B80, 'PPRs inner'!$A$2:$A$108, 0), MATCH('השוואת פקטורים'!R$6, טבלה2[[#Headers],[SPPR_1986]:[SPPR_symbolic_full_import_as_DC]], 0))
)</f>
        <v>1</v>
      </c>
      <c r="T80" s="9">
        <f>IF($B$4="סהכ",
INDEX(טבלה1[[SPPR_1986]:[SPPR_symbolic_full_import_as_DC]], MATCH('השוואת פקטורים'!$B80, 'PPRs all'!$A$2:$A$108, 0), MATCH('השוואת פקטורים'!T$6, טבלה1[[#Headers],[SPPR_1986]:[SPPR_symbolic_full_import_as_DC]], 0)) / INDEX(טבלה1[[SPPR_1986]:[SPPR_symbolic_full_import_as_DC]], MATCH('השוואת פקטורים'!$B80, 'PPRs all'!$A$2:$A$108, 0), MATCH('השוואת פקטורים'!S$6, טבלה1[[#Headers],[SPPR_1986]:[SPPR_symbolic_full_import_as_DC]], 0)),
INDEX(טבלה2[[SPPR_1986]:[SPPR_symbolic_full_import_as_DC]], MATCH('השוואת פקטורים'!$B80, 'PPRs inner'!$A$2:$A$108, 0), MATCH('השוואת פקטורים'!T$6, טבלה2[[#Headers],[SPPR_1986]:[SPPR_symbolic_full_import_as_DC]], 0)) / INDEX(טבלה2[[SPPR_1986]:[SPPR_symbolic_full_import_as_DC]], MATCH('השוואת פקטורים'!$B80, 'PPRs inner'!$A$2:$A$108, 0), MATCH('השוואת פקטורים'!S$6, טבלה2[[#Headers],[SPPR_1986]:[SPPR_symbolic_full_import_as_DC]], 0))
)</f>
        <v>1</v>
      </c>
      <c r="U80" s="9">
        <f>IF($B$4="סהכ",
INDEX(טבלה1[[SPPR_1986]:[SPPR_symbolic_full_import_as_DC]], MATCH('השוואת פקטורים'!$B80, 'PPRs all'!$A$2:$A$108, 0), MATCH('השוואת פקטורים'!U$6, טבלה1[[#Headers],[SPPR_1986]:[SPPR_symbolic_full_import_as_DC]], 0)) / INDEX(טבלה1[[SPPR_1986]:[SPPR_symbolic_full_import_as_DC]], MATCH('השוואת פקטורים'!$B80, 'PPRs all'!$A$2:$A$108, 0), MATCH('השוואת פקטורים'!T$6, טבלה1[[#Headers],[SPPR_1986]:[SPPR_symbolic_full_import_as_DC]], 0)),
INDEX(טבלה2[[SPPR_1986]:[SPPR_symbolic_full_import_as_DC]], MATCH('השוואת פקטורים'!$B80, 'PPRs inner'!$A$2:$A$108, 0), MATCH('השוואת פקטורים'!U$6, טבלה2[[#Headers],[SPPR_1986]:[SPPR_symbolic_full_import_as_DC]], 0)) / INDEX(טבלה2[[SPPR_1986]:[SPPR_symbolic_full_import_as_DC]], MATCH('השוואת פקטורים'!$B80, 'PPRs inner'!$A$2:$A$108, 0), MATCH('השוואת פקטורים'!T$6, טבלה2[[#Headers],[SPPR_1986]:[SPPR_symbolic_full_import_as_DC]], 0))
)</f>
        <v>0.99999999999999745</v>
      </c>
      <c r="V80" s="9"/>
      <c r="W80" s="9"/>
      <c r="X80" s="14"/>
      <c r="Y80" s="14"/>
      <c r="Z80" s="15">
        <f t="shared" si="6"/>
        <v>9.4094260347817933</v>
      </c>
    </row>
    <row r="81" spans="2:26" x14ac:dyDescent="0.3">
      <c r="B81" s="6" t="s">
        <v>95</v>
      </c>
      <c r="C81" s="12" t="b">
        <v>1</v>
      </c>
      <c r="D81" s="12" t="b">
        <v>0</v>
      </c>
      <c r="E81" s="12" t="b">
        <v>1</v>
      </c>
      <c r="F81" s="12" t="b">
        <f t="shared" si="5"/>
        <v>0</v>
      </c>
      <c r="G81" s="7" t="b">
        <f>ABS(INDEX(טבלה5[[SPPR_1986]:[SPPR_symbolic_full_import_as_DC]],MATCH('השוואת פקטורים'!$B81,טבלה5[עמודה1],0),MATCH($C$4,טבלה5[[#Headers],[SPPR_1986]:[SPPR_symbolic_full_import_as_DC]],0))) &lt; 5</f>
        <v>1</v>
      </c>
      <c r="H81" s="7" t="b">
        <f>INDEX(טבלה3[[SPPR_1986]:[SPPR_symbolic_full_import_as_DC]],MATCH('השוואת פקטורים'!$B81,טבלה3[עמודה1],0),MATCH($C$4,טבלה3[[#Headers],[SPPR_1986]:[SPPR_symbolic_full_import_as_DC]],0))</f>
        <v>1</v>
      </c>
      <c r="I81" s="7" t="b">
        <f t="shared" si="4"/>
        <v>0</v>
      </c>
      <c r="J81" s="13"/>
      <c r="K81" s="9">
        <f>IF($B$4="סהכ",
INDEX(טבלה1[[SPPR_1986]:[SPPR_symbolic_full_import_as_DC]], MATCH('השוואת פקטורים'!$B81, 'PPRs all'!$A$2:$A$108, 0), MATCH('השוואת פקטורים'!K$6, טבלה1[[#Headers],[SPPR_1986]:[SPPR_symbolic_full_import_as_DC]], 0)) / INDEX(טבלה1[[SPPR_1986]:[SPPR_symbolic_full_import_as_DC]], MATCH('השוואת פקטורים'!$B81, 'PPRs all'!$A$2:$A$108, 0), MATCH('השוואת פקטורים'!J$6, טבלה1[[#Headers],[SPPR_1986]:[SPPR_symbolic_full_import_as_DC]], 0)),
INDEX(טבלה2[[SPPR_1986]:[SPPR_symbolic_full_import_as_DC]], MATCH('השוואת פקטורים'!$B81, 'PPRs inner'!$A$2:$A$108, 0), MATCH('השוואת פקטורים'!K$6, טבלה2[[#Headers],[SPPR_1986]:[SPPR_symbolic_full_import_as_DC]], 0)) / INDEX(טבלה2[[SPPR_1986]:[SPPR_symbolic_full_import_as_DC]], MATCH('השוואת פקטורים'!$B81, 'PPRs inner'!$A$2:$A$108, 0), MATCH('השוואת פקטורים'!J$6, טבלה2[[#Headers],[SPPR_1986]:[SPPR_symbolic_full_import_as_DC]], 0))
)</f>
        <v>1.7306335373459818</v>
      </c>
      <c r="L81" s="9">
        <f>IF($B$4="סהכ",
INDEX(טבלה1[[SPPR_1986]:[SPPR_symbolic_full_import_as_DC]], MATCH('השוואת פקטורים'!$B81, 'PPRs all'!$A$2:$A$108, 0), MATCH('השוואת פקטורים'!L$6, טבלה1[[#Headers],[SPPR_1986]:[SPPR_symbolic_full_import_as_DC]], 0)) / INDEX(טבלה1[[SPPR_1986]:[SPPR_symbolic_full_import_as_DC]], MATCH('השוואת פקטורים'!$B81, 'PPRs all'!$A$2:$A$108, 0), MATCH('השוואת פקטורים'!K$6, טבלה1[[#Headers],[SPPR_1986]:[SPPR_symbolic_full_import_as_DC]], 0)),
INDEX(טבלה2[[SPPR_1986]:[SPPR_symbolic_full_import_as_DC]], MATCH('השוואת פקטורים'!$B81, 'PPRs inner'!$A$2:$A$108, 0), MATCH('השוואת פקטורים'!L$6, טבלה2[[#Headers],[SPPR_1986]:[SPPR_symbolic_full_import_as_DC]], 0)) / INDEX(טבלה2[[SPPR_1986]:[SPPR_symbolic_full_import_as_DC]], MATCH('השוואת פקטורים'!$B81, 'PPRs inner'!$A$2:$A$108, 0), MATCH('השוואת פקטורים'!K$6, טבלה2[[#Headers],[SPPR_1986]:[SPPR_symbolic_full_import_as_DC]], 0))
)</f>
        <v>18.608930695826423</v>
      </c>
      <c r="M81" s="9">
        <f>IF($B$4="סהכ",
INDEX(טבלה1[[SPPR_1986]:[SPPR_symbolic_full_import_as_DC]], MATCH('השוואת פקטורים'!$B81, 'PPRs all'!$A$2:$A$108, 0), MATCH('השוואת פקטורים'!M$6, טבלה1[[#Headers],[SPPR_1986]:[SPPR_symbolic_full_import_as_DC]], 0)) / INDEX(טבלה1[[SPPR_1986]:[SPPR_symbolic_full_import_as_DC]], MATCH('השוואת פקטורים'!$B81, 'PPRs all'!$A$2:$A$108, 0), MATCH('השוואת פקטורים'!L$6, טבלה1[[#Headers],[SPPR_1986]:[SPPR_symbolic_full_import_as_DC]], 0)),
INDEX(טבלה2[[SPPR_1986]:[SPPR_symbolic_full_import_as_DC]], MATCH('השוואת פקטורים'!$B81, 'PPRs inner'!$A$2:$A$108, 0), MATCH('השוואת פקטורים'!M$6, טבלה2[[#Headers],[SPPR_1986]:[SPPR_symbolic_full_import_as_DC]], 0)) / INDEX(טבלה2[[SPPR_1986]:[SPPR_symbolic_full_import_as_DC]], MATCH('השוואת פקטורים'!$B81, 'PPRs inner'!$A$2:$A$108, 0), MATCH('השוואת פקטורים'!L$6, טבלה2[[#Headers],[SPPR_1986]:[SPPR_symbolic_full_import_as_DC]], 0))
)</f>
        <v>0.24181554541403305</v>
      </c>
      <c r="N81" s="9">
        <f>IF($B$4="סהכ",
INDEX(טבלה1[[SPPR_1986]:[SPPR_symbolic_full_import_as_DC]], MATCH('השוואת פקטורים'!$B81, 'PPRs all'!$A$2:$A$108, 0), MATCH('השוואת פקטורים'!N$6, טבלה1[[#Headers],[SPPR_1986]:[SPPR_symbolic_full_import_as_DC]], 0)) / INDEX(טבלה1[[SPPR_1986]:[SPPR_symbolic_full_import_as_DC]], MATCH('השוואת פקטורים'!$B81, 'PPRs all'!$A$2:$A$108, 0), MATCH('השוואת פקטורים'!M$6, טבלה1[[#Headers],[SPPR_1986]:[SPPR_symbolic_full_import_as_DC]], 0)),
INDEX(טבלה2[[SPPR_1986]:[SPPR_symbolic_full_import_as_DC]], MATCH('השוואת פקטורים'!$B81, 'PPRs inner'!$A$2:$A$108, 0), MATCH('השוואת פקטורים'!N$6, טבלה2[[#Headers],[SPPR_1986]:[SPPR_symbolic_full_import_as_DC]], 0)) / INDEX(טבלה2[[SPPR_1986]:[SPPR_symbolic_full_import_as_DC]], MATCH('השוואת פקטורים'!$B81, 'PPRs inner'!$A$2:$A$108, 0), MATCH('השוואת פקטורים'!M$6, טבלה2[[#Headers],[SPPR_1986]:[SPPR_symbolic_full_import_as_DC]], 0))
)</f>
        <v>1.3888523485632296</v>
      </c>
      <c r="O81" s="9">
        <f>IF($B$4="סהכ",
INDEX(טבלה1[[SPPR_1986]:[SPPR_symbolic_full_import_as_DC]], MATCH('השוואת פקטורים'!$B81, 'PPRs all'!$A$2:$A$108, 0), MATCH('השוואת פקטורים'!O$6, טבלה1[[#Headers],[SPPR_1986]:[SPPR_symbolic_full_import_as_DC]], 0)) / INDEX(טבלה1[[SPPR_1986]:[SPPR_symbolic_full_import_as_DC]], MATCH('השוואת פקטורים'!$B81, 'PPRs all'!$A$2:$A$108, 0), MATCH('השוואת פקטורים'!N$6, טבלה1[[#Headers],[SPPR_1986]:[SPPR_symbolic_full_import_as_DC]], 0)),
INDEX(טבלה2[[SPPR_1986]:[SPPR_symbolic_full_import_as_DC]], MATCH('השוואת פקטורים'!$B81, 'PPRs inner'!$A$2:$A$108, 0), MATCH('השוואת פקטורים'!O$6, טבלה2[[#Headers],[SPPR_1986]:[SPPR_symbolic_full_import_as_DC]], 0)) / INDEX(טבלה2[[SPPR_1986]:[SPPR_symbolic_full_import_as_DC]], MATCH('השוואת פקטורים'!$B81, 'PPRs inner'!$A$2:$A$108, 0), MATCH('השוואת פקטורים'!N$6, טבלה2[[#Headers],[SPPR_1986]:[SPPR_symbolic_full_import_as_DC]], 0))
)</f>
        <v>1</v>
      </c>
      <c r="P81" s="9">
        <f>IF($B$4="סהכ",
INDEX(טבלה1[[SPPR_1986]:[SPPR_symbolic_full_import_as_DC]], MATCH('השוואת פקטורים'!$B81, 'PPRs all'!$A$2:$A$108, 0), MATCH('השוואת פקטורים'!P$6, טבלה1[[#Headers],[SPPR_1986]:[SPPR_symbolic_full_import_as_DC]], 0)) / INDEX(טבלה1[[SPPR_1986]:[SPPR_symbolic_full_import_as_DC]], MATCH('השוואת פקטורים'!$B81, 'PPRs all'!$A$2:$A$108, 0), MATCH('השוואת פקטורים'!O$6, טבלה1[[#Headers],[SPPR_1986]:[SPPR_symbolic_full_import_as_DC]], 0)),
INDEX(טבלה2[[SPPR_1986]:[SPPR_symbolic_full_import_as_DC]], MATCH('השוואת פקטורים'!$B81, 'PPRs inner'!$A$2:$A$108, 0), MATCH('השוואת פקטורים'!P$6, טבלה2[[#Headers],[SPPR_1986]:[SPPR_symbolic_full_import_as_DC]], 0)) / INDEX(טבלה2[[SPPR_1986]:[SPPR_symbolic_full_import_as_DC]], MATCH('השוואת פקטורים'!$B81, 'PPRs inner'!$A$2:$A$108, 0), MATCH('השוואת פקטורים'!O$6, טבלה2[[#Headers],[SPPR_1986]:[SPPR_symbolic_full_import_as_DC]], 0))
)</f>
        <v>0.22449662695740016</v>
      </c>
      <c r="Q81" s="9">
        <f>IF($B$4="סהכ",
INDEX(טבלה1[[SPPR_1986]:[SPPR_symbolic_full_import_as_DC]], MATCH('השוואת פקטורים'!$B81, 'PPRs all'!$A$2:$A$108, 0), MATCH('השוואת פקטורים'!Q$6, טבלה1[[#Headers],[SPPR_1986]:[SPPR_symbolic_full_import_as_DC]], 0)) / INDEX(טבלה1[[SPPR_1986]:[SPPR_symbolic_full_import_as_DC]], MATCH('השוואת פקטורים'!$B81, 'PPRs all'!$A$2:$A$108, 0), MATCH('השוואת פקטורים'!P$6, טבלה1[[#Headers],[SPPR_1986]:[SPPR_symbolic_full_import_as_DC]], 0)),
INDEX(טבלה2[[SPPR_1986]:[SPPR_symbolic_full_import_as_DC]], MATCH('השוואת פקטורים'!$B81, 'PPRs inner'!$A$2:$A$108, 0), MATCH('השוואת פקטורים'!Q$6, טבלה2[[#Headers],[SPPR_1986]:[SPPR_symbolic_full_import_as_DC]], 0)) / INDEX(טבלה2[[SPPR_1986]:[SPPR_symbolic_full_import_as_DC]], MATCH('השוואת פקטורים'!$B81, 'PPRs inner'!$A$2:$A$108, 0), MATCH('השוואת פקטורים'!P$6, טבלה2[[#Headers],[SPPR_1986]:[SPPR_symbolic_full_import_as_DC]], 0))
)</f>
        <v>1.0000000000000018</v>
      </c>
      <c r="R81" s="9">
        <f>IF($B$4="סהכ",
INDEX(טבלה1[[SPPR_1986]:[SPPR_symbolic_full_import_as_DC]], MATCH('השוואת פקטורים'!$B81, 'PPRs all'!$A$2:$A$108, 0), MATCH('השוואת פקטורים'!R$6, טבלה1[[#Headers],[SPPR_1986]:[SPPR_symbolic_full_import_as_DC]], 0)) / INDEX(טבלה1[[SPPR_1986]:[SPPR_symbolic_full_import_as_DC]], MATCH('השוואת פקטורים'!$B81, 'PPRs all'!$A$2:$A$108, 0), MATCH('השוואת פקטורים'!Q$6, טבלה1[[#Headers],[SPPR_1986]:[SPPR_symbolic_full_import_as_DC]], 0)),
INDEX(טבלה2[[SPPR_1986]:[SPPR_symbolic_full_import_as_DC]], MATCH('השוואת פקטורים'!$B81, 'PPRs inner'!$A$2:$A$108, 0), MATCH('השוואת פקטורים'!R$6, טבלה2[[#Headers],[SPPR_1986]:[SPPR_symbolic_full_import_as_DC]], 0)) / INDEX(טבלה2[[SPPR_1986]:[SPPR_symbolic_full_import_as_DC]], MATCH('השוואת פקטורים'!$B81, 'PPRs inner'!$A$2:$A$108, 0), MATCH('השוואת פקטורים'!Q$6, טבלה2[[#Headers],[SPPR_1986]:[SPPR_symbolic_full_import_as_DC]], 0))
)</f>
        <v>1.5417427075326489</v>
      </c>
      <c r="S81" s="9">
        <f>IF($B$4="סהכ",
INDEX(טבלה1[[SPPR_1986]:[SPPR_symbolic_full_import_as_DC]], MATCH('השוואת פקטורים'!$B81, 'PPRs all'!$A$2:$A$108, 0), MATCH('השוואת פקטורים'!S$6, טבלה1[[#Headers],[SPPR_1986]:[SPPR_symbolic_full_import_as_DC]], 0)) / INDEX(טבלה1[[SPPR_1986]:[SPPR_symbolic_full_import_as_DC]], MATCH('השוואת פקטורים'!$B81, 'PPRs all'!$A$2:$A$108, 0), MATCH('השוואת פקטורים'!R$6, טבלה1[[#Headers],[SPPR_1986]:[SPPR_symbolic_full_import_as_DC]], 0)),
INDEX(טבלה2[[SPPR_1986]:[SPPR_symbolic_full_import_as_DC]], MATCH('השוואת פקטורים'!$B81, 'PPRs inner'!$A$2:$A$108, 0), MATCH('השוואת פקטורים'!S$6, טבלה2[[#Headers],[SPPR_1986]:[SPPR_symbolic_full_import_as_DC]], 0)) / INDEX(טבלה2[[SPPR_1986]:[SPPR_symbolic_full_import_as_DC]], MATCH('השוואת פקטורים'!$B81, 'PPRs inner'!$A$2:$A$108, 0), MATCH('השוואת פקטורים'!R$6, טבלה2[[#Headers],[SPPR_1986]:[SPPR_symbolic_full_import_as_DC]], 0))
)</f>
        <v>0.64861665640719324</v>
      </c>
      <c r="T81" s="9">
        <f>IF($B$4="סהכ",
INDEX(טבלה1[[SPPR_1986]:[SPPR_symbolic_full_import_as_DC]], MATCH('השוואת פקטורים'!$B81, 'PPRs all'!$A$2:$A$108, 0), MATCH('השוואת פקטורים'!T$6, טבלה1[[#Headers],[SPPR_1986]:[SPPR_symbolic_full_import_as_DC]], 0)) / INDEX(טבלה1[[SPPR_1986]:[SPPR_symbolic_full_import_as_DC]], MATCH('השוואת פקטורים'!$B81, 'PPRs all'!$A$2:$A$108, 0), MATCH('השוואת פקטורים'!S$6, טבלה1[[#Headers],[SPPR_1986]:[SPPR_symbolic_full_import_as_DC]], 0)),
INDEX(טבלה2[[SPPR_1986]:[SPPR_symbolic_full_import_as_DC]], MATCH('השוואת פקטורים'!$B81, 'PPRs inner'!$A$2:$A$108, 0), MATCH('השוואת פקטורים'!T$6, טבלה2[[#Headers],[SPPR_1986]:[SPPR_symbolic_full_import_as_DC]], 0)) / INDEX(טבלה2[[SPPR_1986]:[SPPR_symbolic_full_import_as_DC]], MATCH('השוואת פקטורים'!$B81, 'PPRs inner'!$A$2:$A$108, 0), MATCH('השוואת פקטורים'!S$6, טבלה2[[#Headers],[SPPR_1986]:[SPPR_symbolic_full_import_as_DC]], 0))
)</f>
        <v>1.5417427075326489</v>
      </c>
      <c r="U81" s="9">
        <f>IF($B$4="סהכ",
INDEX(טבלה1[[SPPR_1986]:[SPPR_symbolic_full_import_as_DC]], MATCH('השוואת פקטורים'!$B81, 'PPRs all'!$A$2:$A$108, 0), MATCH('השוואת פקטורים'!U$6, טבלה1[[#Headers],[SPPR_1986]:[SPPR_symbolic_full_import_as_DC]], 0)) / INDEX(טבלה1[[SPPR_1986]:[SPPR_symbolic_full_import_as_DC]], MATCH('השוואת פקטורים'!$B81, 'PPRs all'!$A$2:$A$108, 0), MATCH('השוואת פקטורים'!T$6, טבלה1[[#Headers],[SPPR_1986]:[SPPR_symbolic_full_import_as_DC]], 0)),
INDEX(טבלה2[[SPPR_1986]:[SPPR_symbolic_full_import_as_DC]], MATCH('השוואת פקטורים'!$B81, 'PPRs inner'!$A$2:$A$108, 0), MATCH('השוואת פקטורים'!U$6, טבלה2[[#Headers],[SPPR_1986]:[SPPR_symbolic_full_import_as_DC]], 0)) / INDEX(טבלה2[[SPPR_1986]:[SPPR_symbolic_full_import_as_DC]], MATCH('השוואת פקטורים'!$B81, 'PPRs inner'!$A$2:$A$108, 0), MATCH('השוואת פקטורים'!T$6, טבלה2[[#Headers],[SPPR_1986]:[SPPR_symbolic_full_import_as_DC]], 0))
)</f>
        <v>0.64861665640719202</v>
      </c>
      <c r="V81" s="9"/>
      <c r="W81" s="9"/>
      <c r="X81" s="14"/>
      <c r="Y81" s="14"/>
      <c r="Z81" s="15">
        <f t="shared" si="6"/>
        <v>2.4281563530825307</v>
      </c>
    </row>
    <row r="82" spans="2:26" x14ac:dyDescent="0.3">
      <c r="B82" s="6" t="s">
        <v>96</v>
      </c>
      <c r="C82" s="12" t="b">
        <v>1</v>
      </c>
      <c r="D82" s="12" t="b">
        <v>0</v>
      </c>
      <c r="E82" s="12" t="b">
        <v>1</v>
      </c>
      <c r="F82" s="12" t="b">
        <f t="shared" si="5"/>
        <v>0</v>
      </c>
      <c r="G82" s="7" t="b">
        <f>ABS(INDEX(טבלה5[[SPPR_1986]:[SPPR_symbolic_full_import_as_DC]],MATCH('השוואת פקטורים'!$B82,טבלה5[עמודה1],0),MATCH($C$4,טבלה5[[#Headers],[SPPR_1986]:[SPPR_symbolic_full_import_as_DC]],0))) &lt; 5</f>
        <v>1</v>
      </c>
      <c r="H82" s="7" t="b">
        <f>INDEX(טבלה3[[SPPR_1986]:[SPPR_symbolic_full_import_as_DC]],MATCH('השוואת פקטורים'!$B82,טבלה3[עמודה1],0),MATCH($C$4,טבלה3[[#Headers],[SPPR_1986]:[SPPR_symbolic_full_import_as_DC]],0))</f>
        <v>1</v>
      </c>
      <c r="I82" s="7" t="b">
        <f t="shared" si="4"/>
        <v>0</v>
      </c>
      <c r="J82" s="13"/>
      <c r="K82" s="9">
        <f>IF($B$4="סהכ",
INDEX(טבלה1[[SPPR_1986]:[SPPR_symbolic_full_import_as_DC]], MATCH('השוואת פקטורים'!$B82, 'PPRs all'!$A$2:$A$108, 0), MATCH('השוואת פקטורים'!K$6, טבלה1[[#Headers],[SPPR_1986]:[SPPR_symbolic_full_import_as_DC]], 0)) / INDEX(טבלה1[[SPPR_1986]:[SPPR_symbolic_full_import_as_DC]], MATCH('השוואת פקטורים'!$B82, 'PPRs all'!$A$2:$A$108, 0), MATCH('השוואת פקטורים'!J$6, טבלה1[[#Headers],[SPPR_1986]:[SPPR_symbolic_full_import_as_DC]], 0)),
INDEX(טבלה2[[SPPR_1986]:[SPPR_symbolic_full_import_as_DC]], MATCH('השוואת פקטורים'!$B82, 'PPRs inner'!$A$2:$A$108, 0), MATCH('השוואת פקטורים'!K$6, טבלה2[[#Headers],[SPPR_1986]:[SPPR_symbolic_full_import_as_DC]], 0)) / INDEX(טבלה2[[SPPR_1986]:[SPPR_symbolic_full_import_as_DC]], MATCH('השוואת פקטורים'!$B82, 'PPRs inner'!$A$2:$A$108, 0), MATCH('השוואת פקטורים'!J$6, טבלה2[[#Headers],[SPPR_1986]:[SPPR_symbolic_full_import_as_DC]], 0))
)</f>
        <v>10.705285039750843</v>
      </c>
      <c r="L82" s="9">
        <f>IF($B$4="סהכ",
INDEX(טבלה1[[SPPR_1986]:[SPPR_symbolic_full_import_as_DC]], MATCH('השוואת פקטורים'!$B82, 'PPRs all'!$A$2:$A$108, 0), MATCH('השוואת פקטורים'!L$6, טבלה1[[#Headers],[SPPR_1986]:[SPPR_symbolic_full_import_as_DC]], 0)) / INDEX(טבלה1[[SPPR_1986]:[SPPR_symbolic_full_import_as_DC]], MATCH('השוואת פקטורים'!$B82, 'PPRs all'!$A$2:$A$108, 0), MATCH('השוואת פקטורים'!K$6, טבלה1[[#Headers],[SPPR_1986]:[SPPR_symbolic_full_import_as_DC]], 0)),
INDEX(טבלה2[[SPPR_1986]:[SPPR_symbolic_full_import_as_DC]], MATCH('השוואת פקטורים'!$B82, 'PPRs inner'!$A$2:$A$108, 0), MATCH('השוואת פקטורים'!L$6, טבלה2[[#Headers],[SPPR_1986]:[SPPR_symbolic_full_import_as_DC]], 0)) / INDEX(טבלה2[[SPPR_1986]:[SPPR_symbolic_full_import_as_DC]], MATCH('השוואת פקטורים'!$B82, 'PPRs inner'!$A$2:$A$108, 0), MATCH('השוואת פקטורים'!K$6, טבלה2[[#Headers],[SPPR_1986]:[SPPR_symbolic_full_import_as_DC]], 0))
)</f>
        <v>35.492124546308695</v>
      </c>
      <c r="M82" s="9">
        <f>IF($B$4="סהכ",
INDEX(טבלה1[[SPPR_1986]:[SPPR_symbolic_full_import_as_DC]], MATCH('השוואת פקטורים'!$B82, 'PPRs all'!$A$2:$A$108, 0), MATCH('השוואת פקטורים'!M$6, טבלה1[[#Headers],[SPPR_1986]:[SPPR_symbolic_full_import_as_DC]], 0)) / INDEX(טבלה1[[SPPR_1986]:[SPPR_symbolic_full_import_as_DC]], MATCH('השוואת פקטורים'!$B82, 'PPRs all'!$A$2:$A$108, 0), MATCH('השוואת פקטורים'!L$6, טבלה1[[#Headers],[SPPR_1986]:[SPPR_symbolic_full_import_as_DC]], 0)),
INDEX(טבלה2[[SPPR_1986]:[SPPR_symbolic_full_import_as_DC]], MATCH('השוואת פקטורים'!$B82, 'PPRs inner'!$A$2:$A$108, 0), MATCH('השוואת פקטורים'!M$6, טבלה2[[#Headers],[SPPR_1986]:[SPPR_symbolic_full_import_as_DC]], 0)) / INDEX(טבלה2[[SPPR_1986]:[SPPR_symbolic_full_import_as_DC]], MATCH('השוואת פקטורים'!$B82, 'PPRs inner'!$A$2:$A$108, 0), MATCH('השוואת פקטורים'!L$6, טבלה2[[#Headers],[SPPR_1986]:[SPPR_symbolic_full_import_as_DC]], 0))
)</f>
        <v>0.29819899848708498</v>
      </c>
      <c r="N82" s="9">
        <f>IF($B$4="סהכ",
INDEX(טבלה1[[SPPR_1986]:[SPPR_symbolic_full_import_as_DC]], MATCH('השוואת פקטורים'!$B82, 'PPRs all'!$A$2:$A$108, 0), MATCH('השוואת פקטורים'!N$6, טבלה1[[#Headers],[SPPR_1986]:[SPPR_symbolic_full_import_as_DC]], 0)) / INDEX(טבלה1[[SPPR_1986]:[SPPR_symbolic_full_import_as_DC]], MATCH('השוואת פקטורים'!$B82, 'PPRs all'!$A$2:$A$108, 0), MATCH('השוואת פקטורים'!M$6, טבלה1[[#Headers],[SPPR_1986]:[SPPR_symbolic_full_import_as_DC]], 0)),
INDEX(טבלה2[[SPPR_1986]:[SPPR_symbolic_full_import_as_DC]], MATCH('השוואת פקטורים'!$B82, 'PPRs inner'!$A$2:$A$108, 0), MATCH('השוואת פקטורים'!N$6, טבלה2[[#Headers],[SPPR_1986]:[SPPR_symbolic_full_import_as_DC]], 0)) / INDEX(טבלה2[[SPPR_1986]:[SPPR_symbolic_full_import_as_DC]], MATCH('השוואת פקטורים'!$B82, 'PPRs inner'!$A$2:$A$108, 0), MATCH('השוואת פקטורים'!M$6, טבלה2[[#Headers],[SPPR_1986]:[SPPR_symbolic_full_import_as_DC]], 0))
)</f>
        <v>1.3830319788234091</v>
      </c>
      <c r="O82" s="9">
        <f>IF($B$4="סהכ",
INDEX(טבלה1[[SPPR_1986]:[SPPR_symbolic_full_import_as_DC]], MATCH('השוואת פקטורים'!$B82, 'PPRs all'!$A$2:$A$108, 0), MATCH('השוואת פקטורים'!O$6, טבלה1[[#Headers],[SPPR_1986]:[SPPR_symbolic_full_import_as_DC]], 0)) / INDEX(טבלה1[[SPPR_1986]:[SPPR_symbolic_full_import_as_DC]], MATCH('השוואת פקטורים'!$B82, 'PPRs all'!$A$2:$A$108, 0), MATCH('השוואת פקטורים'!N$6, טבלה1[[#Headers],[SPPR_1986]:[SPPR_symbolic_full_import_as_DC]], 0)),
INDEX(טבלה2[[SPPR_1986]:[SPPR_symbolic_full_import_as_DC]], MATCH('השוואת פקטורים'!$B82, 'PPRs inner'!$A$2:$A$108, 0), MATCH('השוואת פקטורים'!O$6, טבלה2[[#Headers],[SPPR_1986]:[SPPR_symbolic_full_import_as_DC]], 0)) / INDEX(טבלה2[[SPPR_1986]:[SPPR_symbolic_full_import_as_DC]], MATCH('השוואת פקטורים'!$B82, 'PPRs inner'!$A$2:$A$108, 0), MATCH('השוואת פקטורים'!N$6, טבלה2[[#Headers],[SPPR_1986]:[SPPR_symbolic_full_import_as_DC]], 0))
)</f>
        <v>0.99999999999999845</v>
      </c>
      <c r="P82" s="9">
        <f>IF($B$4="סהכ",
INDEX(טבלה1[[SPPR_1986]:[SPPR_symbolic_full_import_as_DC]], MATCH('השוואת פקטורים'!$B82, 'PPRs all'!$A$2:$A$108, 0), MATCH('השוואת פקטורים'!P$6, טבלה1[[#Headers],[SPPR_1986]:[SPPR_symbolic_full_import_as_DC]], 0)) / INDEX(טבלה1[[SPPR_1986]:[SPPR_symbolic_full_import_as_DC]], MATCH('השוואת פקטורים'!$B82, 'PPRs all'!$A$2:$A$108, 0), MATCH('השוואת פקטורים'!O$6, טבלה1[[#Headers],[SPPR_1986]:[SPPR_symbolic_full_import_as_DC]], 0)),
INDEX(טבלה2[[SPPR_1986]:[SPPR_symbolic_full_import_as_DC]], MATCH('השוואת פקטורים'!$B82, 'PPRs inner'!$A$2:$A$108, 0), MATCH('השוואת פקטורים'!P$6, טבלה2[[#Headers],[SPPR_1986]:[SPPR_symbolic_full_import_as_DC]], 0)) / INDEX(טבלה2[[SPPR_1986]:[SPPR_symbolic_full_import_as_DC]], MATCH('השוואת פקטורים'!$B82, 'PPRs inner'!$A$2:$A$108, 0), MATCH('השוואת פקטורים'!O$6, טבלה2[[#Headers],[SPPR_1986]:[SPPR_symbolic_full_import_as_DC]], 0))
)</f>
        <v>3.1638824699997133E-2</v>
      </c>
      <c r="Q82" s="9">
        <f>IF($B$4="סהכ",
INDEX(טבלה1[[SPPR_1986]:[SPPR_symbolic_full_import_as_DC]], MATCH('השוואת פקטורים'!$B82, 'PPRs all'!$A$2:$A$108, 0), MATCH('השוואת פקטורים'!Q$6, טבלה1[[#Headers],[SPPR_1986]:[SPPR_symbolic_full_import_as_DC]], 0)) / INDEX(טבלה1[[SPPR_1986]:[SPPR_symbolic_full_import_as_DC]], MATCH('השוואת פקטורים'!$B82, 'PPRs all'!$A$2:$A$108, 0), MATCH('השוואת פקטורים'!P$6, טבלה1[[#Headers],[SPPR_1986]:[SPPR_symbolic_full_import_as_DC]], 0)),
INDEX(טבלה2[[SPPR_1986]:[SPPR_symbolic_full_import_as_DC]], MATCH('השוואת פקטורים'!$B82, 'PPRs inner'!$A$2:$A$108, 0), MATCH('השוואת פקטורים'!Q$6, טבלה2[[#Headers],[SPPR_1986]:[SPPR_symbolic_full_import_as_DC]], 0)) / INDEX(טבלה2[[SPPR_1986]:[SPPR_symbolic_full_import_as_DC]], MATCH('השוואת פקטורים'!$B82, 'PPRs inner'!$A$2:$A$108, 0), MATCH('השוואת פקטורים'!P$6, טבלה2[[#Headers],[SPPR_1986]:[SPPR_symbolic_full_import_as_DC]], 0))
)</f>
        <v>0.99999999999999833</v>
      </c>
      <c r="R82" s="9">
        <f>IF($B$4="סהכ",
INDEX(טבלה1[[SPPR_1986]:[SPPR_symbolic_full_import_as_DC]], MATCH('השוואת פקטורים'!$B82, 'PPRs all'!$A$2:$A$108, 0), MATCH('השוואת פקטורים'!R$6, טבלה1[[#Headers],[SPPR_1986]:[SPPR_symbolic_full_import_as_DC]], 0)) / INDEX(טבלה1[[SPPR_1986]:[SPPR_symbolic_full_import_as_DC]], MATCH('השוואת פקטורים'!$B82, 'PPRs all'!$A$2:$A$108, 0), MATCH('השוואת פקטורים'!Q$6, טבלה1[[#Headers],[SPPR_1986]:[SPPR_symbolic_full_import_as_DC]], 0)),
INDEX(טבלה2[[SPPR_1986]:[SPPR_symbolic_full_import_as_DC]], MATCH('השוואת פקטורים'!$B82, 'PPRs inner'!$A$2:$A$108, 0), MATCH('השוואת פקטורים'!R$6, טבלה2[[#Headers],[SPPR_1986]:[SPPR_symbolic_full_import_as_DC]], 0)) / INDEX(טבלה2[[SPPR_1986]:[SPPR_symbolic_full_import_as_DC]], MATCH('השוואת פקטורים'!$B82, 'PPRs inner'!$A$2:$A$108, 0), MATCH('השוואת פקטורים'!Q$6, טבלה2[[#Headers],[SPPR_1986]:[SPPR_symbolic_full_import_as_DC]], 0))
)</f>
        <v>2.7649001519029759</v>
      </c>
      <c r="S82" s="9">
        <f>IF($B$4="סהכ",
INDEX(טבלה1[[SPPR_1986]:[SPPR_symbolic_full_import_as_DC]], MATCH('השוואת פקטורים'!$B82, 'PPRs all'!$A$2:$A$108, 0), MATCH('השוואת פקטורים'!S$6, טבלה1[[#Headers],[SPPR_1986]:[SPPR_symbolic_full_import_as_DC]], 0)) / INDEX(טבלה1[[SPPR_1986]:[SPPR_symbolic_full_import_as_DC]], MATCH('השוואת פקטורים'!$B82, 'PPRs all'!$A$2:$A$108, 0), MATCH('השוואת פקטורים'!R$6, טבלה1[[#Headers],[SPPR_1986]:[SPPR_symbolic_full_import_as_DC]], 0)),
INDEX(טבלה2[[SPPR_1986]:[SPPR_symbolic_full_import_as_DC]], MATCH('השוואת פקטורים'!$B82, 'PPRs inner'!$A$2:$A$108, 0), MATCH('השוואת פקטורים'!S$6, טבלה2[[#Headers],[SPPR_1986]:[SPPR_symbolic_full_import_as_DC]], 0)) / INDEX(טבלה2[[SPPR_1986]:[SPPR_symbolic_full_import_as_DC]], MATCH('השוואת פקטורים'!$B82, 'PPRs inner'!$A$2:$A$108, 0), MATCH('השוואת פקטורים'!R$6, טבלה2[[#Headers],[SPPR_1986]:[SPPR_symbolic_full_import_as_DC]], 0))
)</f>
        <v>0.36167671346530827</v>
      </c>
      <c r="T82" s="9">
        <f>IF($B$4="סהכ",
INDEX(טבלה1[[SPPR_1986]:[SPPR_symbolic_full_import_as_DC]], MATCH('השוואת פקטורים'!$B82, 'PPRs all'!$A$2:$A$108, 0), MATCH('השוואת פקטורים'!T$6, טבלה1[[#Headers],[SPPR_1986]:[SPPR_symbolic_full_import_as_DC]], 0)) / INDEX(טבלה1[[SPPR_1986]:[SPPR_symbolic_full_import_as_DC]], MATCH('השוואת פקטורים'!$B82, 'PPRs all'!$A$2:$A$108, 0), MATCH('השוואת פקטורים'!S$6, טבלה1[[#Headers],[SPPR_1986]:[SPPR_symbolic_full_import_as_DC]], 0)),
INDEX(טבלה2[[SPPR_1986]:[SPPR_symbolic_full_import_as_DC]], MATCH('השוואת פקטורים'!$B82, 'PPRs inner'!$A$2:$A$108, 0), MATCH('השוואת פקטורים'!T$6, טבלה2[[#Headers],[SPPR_1986]:[SPPR_symbolic_full_import_as_DC]], 0)) / INDEX(טבלה2[[SPPR_1986]:[SPPR_symbolic_full_import_as_DC]], MATCH('השוואת פקטורים'!$B82, 'PPRs inner'!$A$2:$A$108, 0), MATCH('השוואת פקטורים'!S$6, טבלה2[[#Headers],[SPPR_1986]:[SPPR_symbolic_full_import_as_DC]], 0))
)</f>
        <v>2.7649001519029759</v>
      </c>
      <c r="U82" s="9">
        <f>IF($B$4="סהכ",
INDEX(טבלה1[[SPPR_1986]:[SPPR_symbolic_full_import_as_DC]], MATCH('השוואת פקטורים'!$B82, 'PPRs all'!$A$2:$A$108, 0), MATCH('השוואת פקטורים'!U$6, טבלה1[[#Headers],[SPPR_1986]:[SPPR_symbolic_full_import_as_DC]], 0)) / INDEX(טבלה1[[SPPR_1986]:[SPPR_symbolic_full_import_as_DC]], MATCH('השוואת פקטורים'!$B82, 'PPRs all'!$A$2:$A$108, 0), MATCH('השוואת פקטורים'!T$6, טבלה1[[#Headers],[SPPR_1986]:[SPPR_symbolic_full_import_as_DC]], 0)),
INDEX(טבלה2[[SPPR_1986]:[SPPR_symbolic_full_import_as_DC]], MATCH('השוואת פקטורים'!$B82, 'PPRs inner'!$A$2:$A$108, 0), MATCH('השוואת פקטורים'!U$6, טבלה2[[#Headers],[SPPR_1986]:[SPPR_symbolic_full_import_as_DC]], 0)) / INDEX(טבלה2[[SPPR_1986]:[SPPR_symbolic_full_import_as_DC]], MATCH('השוואת פקטורים'!$B82, 'PPRs inner'!$A$2:$A$108, 0), MATCH('השוואת פקטורים'!T$6, טבלה2[[#Headers],[SPPR_1986]:[SPPR_symbolic_full_import_as_DC]], 0))
)</f>
        <v>0.36167671346530889</v>
      </c>
      <c r="V82" s="9"/>
      <c r="W82" s="9"/>
      <c r="X82" s="14"/>
      <c r="Y82" s="14"/>
      <c r="Z82" s="15">
        <f t="shared" si="6"/>
        <v>4.957799701832359</v>
      </c>
    </row>
    <row r="83" spans="2:26" x14ac:dyDescent="0.3">
      <c r="B83" s="6" t="s">
        <v>97</v>
      </c>
      <c r="C83" s="12" t="b">
        <v>1</v>
      </c>
      <c r="D83" s="12" t="b">
        <v>0</v>
      </c>
      <c r="E83" s="12" t="b">
        <v>1</v>
      </c>
      <c r="F83" s="12" t="b">
        <f t="shared" si="5"/>
        <v>0</v>
      </c>
      <c r="G83" s="7" t="b">
        <f>ABS(INDEX(טבלה5[[SPPR_1986]:[SPPR_symbolic_full_import_as_DC]],MATCH('השוואת פקטורים'!$B83,טבלה5[עמודה1],0),MATCH($C$4,טבלה5[[#Headers],[SPPR_1986]:[SPPR_symbolic_full_import_as_DC]],0))) &lt; 5</f>
        <v>1</v>
      </c>
      <c r="H83" s="7" t="b">
        <f>INDEX(טבלה3[[SPPR_1986]:[SPPR_symbolic_full_import_as_DC]],MATCH('השוואת פקטורים'!$B83,טבלה3[עמודה1],0),MATCH($C$4,טבלה3[[#Headers],[SPPR_1986]:[SPPR_symbolic_full_import_as_DC]],0))</f>
        <v>1</v>
      </c>
      <c r="I83" s="7" t="b">
        <f t="shared" si="4"/>
        <v>0</v>
      </c>
      <c r="J83" s="13"/>
      <c r="K83" s="9">
        <f>IF($B$4="סהכ",
INDEX(טבלה1[[SPPR_1986]:[SPPR_symbolic_full_import_as_DC]], MATCH('השוואת פקטורים'!$B83, 'PPRs all'!$A$2:$A$108, 0), MATCH('השוואת פקטורים'!K$6, טבלה1[[#Headers],[SPPR_1986]:[SPPR_symbolic_full_import_as_DC]], 0)) / INDEX(טבלה1[[SPPR_1986]:[SPPR_symbolic_full_import_as_DC]], MATCH('השוואת פקטורים'!$B83, 'PPRs all'!$A$2:$A$108, 0), MATCH('השוואת פקטורים'!J$6, טבלה1[[#Headers],[SPPR_1986]:[SPPR_symbolic_full_import_as_DC]], 0)),
INDEX(טבלה2[[SPPR_1986]:[SPPR_symbolic_full_import_as_DC]], MATCH('השוואת פקטורים'!$B83, 'PPRs inner'!$A$2:$A$108, 0), MATCH('השוואת פקטורים'!K$6, טבלה2[[#Headers],[SPPR_1986]:[SPPR_symbolic_full_import_as_DC]], 0)) / INDEX(טבלה2[[SPPR_1986]:[SPPR_symbolic_full_import_as_DC]], MATCH('השוואת פקטורים'!$B83, 'PPRs inner'!$A$2:$A$108, 0), MATCH('השוואת פקטורים'!J$6, טבלה2[[#Headers],[SPPR_1986]:[SPPR_symbolic_full_import_as_DC]], 0))
)</f>
        <v>5135.4144459103936</v>
      </c>
      <c r="L83" s="9">
        <f>IF($B$4="סהכ",
INDEX(טבלה1[[SPPR_1986]:[SPPR_symbolic_full_import_as_DC]], MATCH('השוואת פקטורים'!$B83, 'PPRs all'!$A$2:$A$108, 0), MATCH('השוואת פקטורים'!L$6, טבלה1[[#Headers],[SPPR_1986]:[SPPR_symbolic_full_import_as_DC]], 0)) / INDEX(טבלה1[[SPPR_1986]:[SPPR_symbolic_full_import_as_DC]], MATCH('השוואת פקטורים'!$B83, 'PPRs all'!$A$2:$A$108, 0), MATCH('השוואת פקטורים'!K$6, טבלה1[[#Headers],[SPPR_1986]:[SPPR_symbolic_full_import_as_DC]], 0)),
INDEX(טבלה2[[SPPR_1986]:[SPPR_symbolic_full_import_as_DC]], MATCH('השוואת פקטורים'!$B83, 'PPRs inner'!$A$2:$A$108, 0), MATCH('השוואת פקטורים'!L$6, טבלה2[[#Headers],[SPPR_1986]:[SPPR_symbolic_full_import_as_DC]], 0)) / INDEX(טבלה2[[SPPR_1986]:[SPPR_symbolic_full_import_as_DC]], MATCH('השוואת פקטורים'!$B83, 'PPRs inner'!$A$2:$A$108, 0), MATCH('השוואת פקטורים'!K$6, טבלה2[[#Headers],[SPPR_1986]:[SPPR_symbolic_full_import_as_DC]], 0))
)</f>
        <v>375690.16764280933</v>
      </c>
      <c r="M83" s="9">
        <f>IF($B$4="סהכ",
INDEX(טבלה1[[SPPR_1986]:[SPPR_symbolic_full_import_as_DC]], MATCH('השוואת פקטורים'!$B83, 'PPRs all'!$A$2:$A$108, 0), MATCH('השוואת פקטורים'!M$6, טבלה1[[#Headers],[SPPR_1986]:[SPPR_symbolic_full_import_as_DC]], 0)) / INDEX(טבלה1[[SPPR_1986]:[SPPR_symbolic_full_import_as_DC]], MATCH('השוואת פקטורים'!$B83, 'PPRs all'!$A$2:$A$108, 0), MATCH('השוואת פקטורים'!L$6, טבלה1[[#Headers],[SPPR_1986]:[SPPR_symbolic_full_import_as_DC]], 0)),
INDEX(טבלה2[[SPPR_1986]:[SPPR_symbolic_full_import_as_DC]], MATCH('השוואת פקטורים'!$B83, 'PPRs inner'!$A$2:$A$108, 0), MATCH('השוואת פקטורים'!M$6, טבלה2[[#Headers],[SPPR_1986]:[SPPR_symbolic_full_import_as_DC]], 0)) / INDEX(טבלה2[[SPPR_1986]:[SPPR_symbolic_full_import_as_DC]], MATCH('השוואת פקטורים'!$B83, 'PPRs inner'!$A$2:$A$108, 0), MATCH('השוואת פקטורים'!L$6, טבלה2[[#Headers],[SPPR_1986]:[SPPR_symbolic_full_import_as_DC]], 0))
)</f>
        <v>1.5748947193976101E-8</v>
      </c>
      <c r="N83" s="9">
        <f>IF($B$4="סהכ",
INDEX(טבלה1[[SPPR_1986]:[SPPR_symbolic_full_import_as_DC]], MATCH('השוואת פקטורים'!$B83, 'PPRs all'!$A$2:$A$108, 0), MATCH('השוואת פקטורים'!N$6, טבלה1[[#Headers],[SPPR_1986]:[SPPR_symbolic_full_import_as_DC]], 0)) / INDEX(טבלה1[[SPPR_1986]:[SPPR_symbolic_full_import_as_DC]], MATCH('השוואת פקטורים'!$B83, 'PPRs all'!$A$2:$A$108, 0), MATCH('השוואת פקטורים'!M$6, טבלה1[[#Headers],[SPPR_1986]:[SPPR_symbolic_full_import_as_DC]], 0)),
INDEX(טבלה2[[SPPR_1986]:[SPPR_symbolic_full_import_as_DC]], MATCH('השוואת פקטורים'!$B83, 'PPRs inner'!$A$2:$A$108, 0), MATCH('השוואת פקטורים'!N$6, טבלה2[[#Headers],[SPPR_1986]:[SPPR_symbolic_full_import_as_DC]], 0)) / INDEX(טבלה2[[SPPR_1986]:[SPPR_symbolic_full_import_as_DC]], MATCH('השוואת פקטורים'!$B83, 'PPRs inner'!$A$2:$A$108, 0), MATCH('השוואת פקטורים'!M$6, טבלה2[[#Headers],[SPPR_1986]:[SPPR_symbolic_full_import_as_DC]], 0))
)</f>
        <v>25.270754749239007</v>
      </c>
      <c r="O83" s="9">
        <f>IF($B$4="סהכ",
INDEX(טבלה1[[SPPR_1986]:[SPPR_symbolic_full_import_as_DC]], MATCH('השוואת פקטורים'!$B83, 'PPRs all'!$A$2:$A$108, 0), MATCH('השוואת פקטורים'!O$6, טבלה1[[#Headers],[SPPR_1986]:[SPPR_symbolic_full_import_as_DC]], 0)) / INDEX(טבלה1[[SPPR_1986]:[SPPR_symbolic_full_import_as_DC]], MATCH('השוואת פקטורים'!$B83, 'PPRs all'!$A$2:$A$108, 0), MATCH('השוואת פקטורים'!N$6, טבלה1[[#Headers],[SPPR_1986]:[SPPR_symbolic_full_import_as_DC]], 0)),
INDEX(טבלה2[[SPPR_1986]:[SPPR_symbolic_full_import_as_DC]], MATCH('השוואת פקטורים'!$B83, 'PPRs inner'!$A$2:$A$108, 0), MATCH('השוואת פקטורים'!O$6, טבלה2[[#Headers],[SPPR_1986]:[SPPR_symbolic_full_import_as_DC]], 0)) / INDEX(טבלה2[[SPPR_1986]:[SPPR_symbolic_full_import_as_DC]], MATCH('השוואת פקטורים'!$B83, 'PPRs inner'!$A$2:$A$108, 0), MATCH('השוואת פקטורים'!N$6, טבלה2[[#Headers],[SPPR_1986]:[SPPR_symbolic_full_import_as_DC]], 0))
)</f>
        <v>0.99999999999903977</v>
      </c>
      <c r="P83" s="9">
        <f>IF($B$4="סהכ",
INDEX(טבלה1[[SPPR_1986]:[SPPR_symbolic_full_import_as_DC]], MATCH('השוואת פקטורים'!$B83, 'PPRs all'!$A$2:$A$108, 0), MATCH('השוואת פקטורים'!P$6, טבלה1[[#Headers],[SPPR_1986]:[SPPR_symbolic_full_import_as_DC]], 0)) / INDEX(טבלה1[[SPPR_1986]:[SPPR_symbolic_full_import_as_DC]], MATCH('השוואת פקטורים'!$B83, 'PPRs all'!$A$2:$A$108, 0), MATCH('השוואת פקטורים'!O$6, טבלה1[[#Headers],[SPPR_1986]:[SPPR_symbolic_full_import_as_DC]], 0)),
INDEX(טבלה2[[SPPR_1986]:[SPPR_symbolic_full_import_as_DC]], MATCH('השוואת פקטורים'!$B83, 'PPRs inner'!$A$2:$A$108, 0), MATCH('השוואת פקטורים'!P$6, טבלה2[[#Headers],[SPPR_1986]:[SPPR_symbolic_full_import_as_DC]], 0)) / INDEX(טבלה2[[SPPR_1986]:[SPPR_symbolic_full_import_as_DC]], MATCH('השוואת פקטורים'!$B83, 'PPRs inner'!$A$2:$A$108, 0), MATCH('השוואת פקטורים'!O$6, טבלה2[[#Headers],[SPPR_1986]:[SPPR_symbolic_full_import_as_DC]], 0))
)</f>
        <v>2.1159784506344939</v>
      </c>
      <c r="Q83" s="9">
        <f>IF($B$4="סהכ",
INDEX(טבלה1[[SPPR_1986]:[SPPR_symbolic_full_import_as_DC]], MATCH('השוואת פקטורים'!$B83, 'PPRs all'!$A$2:$A$108, 0), MATCH('השוואת פקטורים'!Q$6, טבלה1[[#Headers],[SPPR_1986]:[SPPR_symbolic_full_import_as_DC]], 0)) / INDEX(טבלה1[[SPPR_1986]:[SPPR_symbolic_full_import_as_DC]], MATCH('השוואת פקטורים'!$B83, 'PPRs all'!$A$2:$A$108, 0), MATCH('השוואת פקטורים'!P$6, טבלה1[[#Headers],[SPPR_1986]:[SPPR_symbolic_full_import_as_DC]], 0)),
INDEX(טבלה2[[SPPR_1986]:[SPPR_symbolic_full_import_as_DC]], MATCH('השוואת פקטורים'!$B83, 'PPRs inner'!$A$2:$A$108, 0), MATCH('השוואת פקטורים'!Q$6, טבלה2[[#Headers],[SPPR_1986]:[SPPR_symbolic_full_import_as_DC]], 0)) / INDEX(טבלה2[[SPPR_1986]:[SPPR_symbolic_full_import_as_DC]], MATCH('השוואת פקטורים'!$B83, 'PPRs inner'!$A$2:$A$108, 0), MATCH('השוואת פקטורים'!P$6, טבלה2[[#Headers],[SPPR_1986]:[SPPR_symbolic_full_import_as_DC]], 0))
)</f>
        <v>0.99999999999542388</v>
      </c>
      <c r="R83" s="9">
        <f>IF($B$4="סהכ",
INDEX(טבלה1[[SPPR_1986]:[SPPR_symbolic_full_import_as_DC]], MATCH('השוואת פקטורים'!$B83, 'PPRs all'!$A$2:$A$108, 0), MATCH('השוואת פקטורים'!R$6, טבלה1[[#Headers],[SPPR_1986]:[SPPR_symbolic_full_import_as_DC]], 0)) / INDEX(טבלה1[[SPPR_1986]:[SPPR_symbolic_full_import_as_DC]], MATCH('השוואת פקטורים'!$B83, 'PPRs all'!$A$2:$A$108, 0), MATCH('השוואת פקטורים'!Q$6, טבלה1[[#Headers],[SPPR_1986]:[SPPR_symbolic_full_import_as_DC]], 0)),
INDEX(טבלה2[[SPPR_1986]:[SPPR_symbolic_full_import_as_DC]], MATCH('השוואת פקטורים'!$B83, 'PPRs inner'!$A$2:$A$108, 0), MATCH('השוואת פקטורים'!R$6, טבלה2[[#Headers],[SPPR_1986]:[SPPR_symbolic_full_import_as_DC]], 0)) / INDEX(טבלה2[[SPPR_1986]:[SPPR_symbolic_full_import_as_DC]], MATCH('השוואת פקטורים'!$B83, 'PPRs inner'!$A$2:$A$108, 0), MATCH('השוואת פקטורים'!Q$6, טבלה2[[#Headers],[SPPR_1986]:[SPPR_symbolic_full_import_as_DC]], 0))
)</f>
        <v>1</v>
      </c>
      <c r="S83" s="9">
        <f>IF($B$4="סהכ",
INDEX(טבלה1[[SPPR_1986]:[SPPR_symbolic_full_import_as_DC]], MATCH('השוואת פקטורים'!$B83, 'PPRs all'!$A$2:$A$108, 0), MATCH('השוואת פקטורים'!S$6, טבלה1[[#Headers],[SPPR_1986]:[SPPR_symbolic_full_import_as_DC]], 0)) / INDEX(טבלה1[[SPPR_1986]:[SPPR_symbolic_full_import_as_DC]], MATCH('השוואת פקטורים'!$B83, 'PPRs all'!$A$2:$A$108, 0), MATCH('השוואת פקטורים'!R$6, טבלה1[[#Headers],[SPPR_1986]:[SPPR_symbolic_full_import_as_DC]], 0)),
INDEX(טבלה2[[SPPR_1986]:[SPPR_symbolic_full_import_as_DC]], MATCH('השוואת פקטורים'!$B83, 'PPRs inner'!$A$2:$A$108, 0), MATCH('השוואת פקטורים'!S$6, טבלה2[[#Headers],[SPPR_1986]:[SPPR_symbolic_full_import_as_DC]], 0)) / INDEX(טבלה2[[SPPR_1986]:[SPPR_symbolic_full_import_as_DC]], MATCH('השוואת פקטורים'!$B83, 'PPRs inner'!$A$2:$A$108, 0), MATCH('השוואת פקטורים'!R$6, טבלה2[[#Headers],[SPPR_1986]:[SPPR_symbolic_full_import_as_DC]], 0))
)</f>
        <v>1</v>
      </c>
      <c r="T83" s="9">
        <f>IF($B$4="סהכ",
INDEX(טבלה1[[SPPR_1986]:[SPPR_symbolic_full_import_as_DC]], MATCH('השוואת פקטורים'!$B83, 'PPRs all'!$A$2:$A$108, 0), MATCH('השוואת פקטורים'!T$6, טבלה1[[#Headers],[SPPR_1986]:[SPPR_symbolic_full_import_as_DC]], 0)) / INDEX(טבלה1[[SPPR_1986]:[SPPR_symbolic_full_import_as_DC]], MATCH('השוואת פקטורים'!$B83, 'PPRs all'!$A$2:$A$108, 0), MATCH('השוואת פקטורים'!S$6, טבלה1[[#Headers],[SPPR_1986]:[SPPR_symbolic_full_import_as_DC]], 0)),
INDEX(טבלה2[[SPPR_1986]:[SPPR_symbolic_full_import_as_DC]], MATCH('השוואת פקטורים'!$B83, 'PPRs inner'!$A$2:$A$108, 0), MATCH('השוואת פקטורים'!T$6, טבלה2[[#Headers],[SPPR_1986]:[SPPR_symbolic_full_import_as_DC]], 0)) / INDEX(טבלה2[[SPPR_1986]:[SPPR_symbolic_full_import_as_DC]], MATCH('השוואת פקטורים'!$B83, 'PPRs inner'!$A$2:$A$108, 0), MATCH('השוואת פקטורים'!S$6, טבלה2[[#Headers],[SPPR_1986]:[SPPR_symbolic_full_import_as_DC]], 0))
)</f>
        <v>1</v>
      </c>
      <c r="U83" s="9">
        <f>IF($B$4="סהכ",
INDEX(טבלה1[[SPPR_1986]:[SPPR_symbolic_full_import_as_DC]], MATCH('השוואת פקטורים'!$B83, 'PPRs all'!$A$2:$A$108, 0), MATCH('השוואת פקטורים'!U$6, טבלה1[[#Headers],[SPPR_1986]:[SPPR_symbolic_full_import_as_DC]], 0)) / INDEX(טבלה1[[SPPR_1986]:[SPPR_symbolic_full_import_as_DC]], MATCH('השוואת פקטורים'!$B83, 'PPRs all'!$A$2:$A$108, 0), MATCH('השוואת פקטורים'!T$6, טבלה1[[#Headers],[SPPR_1986]:[SPPR_symbolic_full_import_as_DC]], 0)),
INDEX(טבלה2[[SPPR_1986]:[SPPR_symbolic_full_import_as_DC]], MATCH('השוואת פקטורים'!$B83, 'PPRs inner'!$A$2:$A$108, 0), MATCH('השוואת פקטורים'!U$6, טבלה2[[#Headers],[SPPR_1986]:[SPPR_symbolic_full_import_as_DC]], 0)) / INDEX(טבלה2[[SPPR_1986]:[SPPR_symbolic_full_import_as_DC]], MATCH('השוואת פקטורים'!$B83, 'PPRs inner'!$A$2:$A$108, 0), MATCH('השוואת פקטורים'!T$6, טבלה2[[#Headers],[SPPR_1986]:[SPPR_symbolic_full_import_as_DC]], 0))
)</f>
        <v>1.0000000000045761</v>
      </c>
      <c r="V83" s="9"/>
      <c r="W83" s="9"/>
      <c r="X83" s="14"/>
      <c r="Y83" s="14"/>
      <c r="Z83" s="15">
        <f t="shared" si="6"/>
        <v>1624.749110203443</v>
      </c>
    </row>
    <row r="84" spans="2:26" x14ac:dyDescent="0.3">
      <c r="B84" s="6" t="s">
        <v>98</v>
      </c>
      <c r="C84" s="12" t="b">
        <v>1</v>
      </c>
      <c r="D84" s="12" t="b">
        <v>1</v>
      </c>
      <c r="E84" s="12" t="b">
        <v>1</v>
      </c>
      <c r="F84" s="12" t="b">
        <f t="shared" si="5"/>
        <v>1</v>
      </c>
      <c r="G84" s="7" t="b">
        <f>ABS(INDEX(טבלה5[[SPPR_1986]:[SPPR_symbolic_full_import_as_DC]],MATCH('השוואת פקטורים'!$B84,טבלה5[עמודה1],0),MATCH($C$4,טבלה5[[#Headers],[SPPR_1986]:[SPPR_symbolic_full_import_as_DC]],0))) &lt; 5</f>
        <v>1</v>
      </c>
      <c r="H84" s="7" t="b">
        <f>INDEX(טבלה3[[SPPR_1986]:[SPPR_symbolic_full_import_as_DC]],MATCH('השוואת פקטורים'!$B84,טבלה3[עמודה1],0),MATCH($C$4,טבלה3[[#Headers],[SPPR_1986]:[SPPR_symbolic_full_import_as_DC]],0))</f>
        <v>1</v>
      </c>
      <c r="I84" s="7" t="b">
        <f t="shared" si="4"/>
        <v>1</v>
      </c>
      <c r="J84" s="13"/>
      <c r="K84" s="9">
        <f>IF($B$4="סהכ",
INDEX(טבלה1[[SPPR_1986]:[SPPR_symbolic_full_import_as_DC]], MATCH('השוואת פקטורים'!$B84, 'PPRs all'!$A$2:$A$108, 0), MATCH('השוואת פקטורים'!K$6, טבלה1[[#Headers],[SPPR_1986]:[SPPR_symbolic_full_import_as_DC]], 0)) / INDEX(טבלה1[[SPPR_1986]:[SPPR_symbolic_full_import_as_DC]], MATCH('השוואת פקטורים'!$B84, 'PPRs all'!$A$2:$A$108, 0), MATCH('השוואת פקטורים'!J$6, טבלה1[[#Headers],[SPPR_1986]:[SPPR_symbolic_full_import_as_DC]], 0)),
INDEX(טבלה2[[SPPR_1986]:[SPPR_symbolic_full_import_as_DC]], MATCH('השוואת פקטורים'!$B84, 'PPRs inner'!$A$2:$A$108, 0), MATCH('השוואת פקטורים'!K$6, טבלה2[[#Headers],[SPPR_1986]:[SPPR_symbolic_full_import_as_DC]], 0)) / INDEX(טבלה2[[SPPR_1986]:[SPPR_symbolic_full_import_as_DC]], MATCH('השוואת פקטורים'!$B84, 'PPRs inner'!$A$2:$A$108, 0), MATCH('השוואת פקטורים'!J$6, טבלה2[[#Headers],[SPPR_1986]:[SPPR_symbolic_full_import_as_DC]], 0))
)</f>
        <v>0.82675908207825288</v>
      </c>
      <c r="L84" s="9">
        <f>IF($B$4="סהכ",
INDEX(טבלה1[[SPPR_1986]:[SPPR_symbolic_full_import_as_DC]], MATCH('השוואת פקטורים'!$B84, 'PPRs all'!$A$2:$A$108, 0), MATCH('השוואת פקטורים'!L$6, טבלה1[[#Headers],[SPPR_1986]:[SPPR_symbolic_full_import_as_DC]], 0)) / INDEX(טבלה1[[SPPR_1986]:[SPPR_symbolic_full_import_as_DC]], MATCH('השוואת פקטורים'!$B84, 'PPRs all'!$A$2:$A$108, 0), MATCH('השוואת פקטורים'!K$6, טבלה1[[#Headers],[SPPR_1986]:[SPPR_symbolic_full_import_as_DC]], 0)),
INDEX(טבלה2[[SPPR_1986]:[SPPR_symbolic_full_import_as_DC]], MATCH('השוואת פקטורים'!$B84, 'PPRs inner'!$A$2:$A$108, 0), MATCH('השוואת פקטורים'!L$6, טבלה2[[#Headers],[SPPR_1986]:[SPPR_symbolic_full_import_as_DC]], 0)) / INDEX(טבלה2[[SPPR_1986]:[SPPR_symbolic_full_import_as_DC]], MATCH('השוואת פקטורים'!$B84, 'PPRs inner'!$A$2:$A$108, 0), MATCH('השוואת פקטורים'!K$6, טבלה2[[#Headers],[SPPR_1986]:[SPPR_symbolic_full_import_as_DC]], 0))
)</f>
        <v>17.657129574660349</v>
      </c>
      <c r="M84" s="9">
        <f>IF($B$4="סהכ",
INDEX(טבלה1[[SPPR_1986]:[SPPR_symbolic_full_import_as_DC]], MATCH('השוואת פקטורים'!$B84, 'PPRs all'!$A$2:$A$108, 0), MATCH('השוואת פקטורים'!M$6, טבלה1[[#Headers],[SPPR_1986]:[SPPR_symbolic_full_import_as_DC]], 0)) / INDEX(טבלה1[[SPPR_1986]:[SPPR_symbolic_full_import_as_DC]], MATCH('השוואת פקטורים'!$B84, 'PPRs all'!$A$2:$A$108, 0), MATCH('השוואת פקטורים'!L$6, טבלה1[[#Headers],[SPPR_1986]:[SPPR_symbolic_full_import_as_DC]], 0)),
INDEX(טבלה2[[SPPR_1986]:[SPPR_symbolic_full_import_as_DC]], MATCH('השוואת פקטורים'!$B84, 'PPRs inner'!$A$2:$A$108, 0), MATCH('השוואת פקטורים'!M$6, טבלה2[[#Headers],[SPPR_1986]:[SPPR_symbolic_full_import_as_DC]], 0)) / INDEX(טבלה2[[SPPR_1986]:[SPPR_symbolic_full_import_as_DC]], MATCH('השוואת פקטורים'!$B84, 'PPRs inner'!$A$2:$A$108, 0), MATCH('השוואת פקטורים'!L$6, טבלה2[[#Headers],[SPPR_1986]:[SPPR_symbolic_full_import_as_DC]], 0))
)</f>
        <v>3.8874587397177585E-2</v>
      </c>
      <c r="N84" s="9">
        <f>IF($B$4="סהכ",
INDEX(טבלה1[[SPPR_1986]:[SPPR_symbolic_full_import_as_DC]], MATCH('השוואת פקטורים'!$B84, 'PPRs all'!$A$2:$A$108, 0), MATCH('השוואת פקטורים'!N$6, טבלה1[[#Headers],[SPPR_1986]:[SPPR_symbolic_full_import_as_DC]], 0)) / INDEX(טבלה1[[SPPR_1986]:[SPPR_symbolic_full_import_as_DC]], MATCH('השוואת פקטורים'!$B84, 'PPRs all'!$A$2:$A$108, 0), MATCH('השוואת פקטורים'!M$6, טבלה1[[#Headers],[SPPR_1986]:[SPPR_symbolic_full_import_as_DC]], 0)),
INDEX(טבלה2[[SPPR_1986]:[SPPR_symbolic_full_import_as_DC]], MATCH('השוואת פקטורים'!$B84, 'PPRs inner'!$A$2:$A$108, 0), MATCH('השוואת פקטורים'!N$6, טבלה2[[#Headers],[SPPR_1986]:[SPPR_symbolic_full_import_as_DC]], 0)) / INDEX(טבלה2[[SPPR_1986]:[SPPR_symbolic_full_import_as_DC]], MATCH('השוואת פקטורים'!$B84, 'PPRs inner'!$A$2:$A$108, 0), MATCH('השוואת פקטורים'!M$6, טבלה2[[#Headers],[SPPR_1986]:[SPPR_symbolic_full_import_as_DC]], 0))
)</f>
        <v>3.6242202441006781</v>
      </c>
      <c r="O84" s="9">
        <f>IF($B$4="סהכ",
INDEX(טבלה1[[SPPR_1986]:[SPPR_symbolic_full_import_as_DC]], MATCH('השוואת פקטורים'!$B84, 'PPRs all'!$A$2:$A$108, 0), MATCH('השוואת פקטורים'!O$6, טבלה1[[#Headers],[SPPR_1986]:[SPPR_symbolic_full_import_as_DC]], 0)) / INDEX(טבלה1[[SPPR_1986]:[SPPR_symbolic_full_import_as_DC]], MATCH('השוואת פקטורים'!$B84, 'PPRs all'!$A$2:$A$108, 0), MATCH('השוואת פקטורים'!N$6, טבלה1[[#Headers],[SPPR_1986]:[SPPR_symbolic_full_import_as_DC]], 0)),
INDEX(טבלה2[[SPPR_1986]:[SPPR_symbolic_full_import_as_DC]], MATCH('השוואת פקטורים'!$B84, 'PPRs inner'!$A$2:$A$108, 0), MATCH('השוואת פקטורים'!O$6, טבלה2[[#Headers],[SPPR_1986]:[SPPR_symbolic_full_import_as_DC]], 0)) / INDEX(טבלה2[[SPPR_1986]:[SPPR_symbolic_full_import_as_DC]], MATCH('השוואת פקטורים'!$B84, 'PPRs inner'!$A$2:$A$108, 0), MATCH('השוואת פקטורים'!N$6, טבלה2[[#Headers],[SPPR_1986]:[SPPR_symbolic_full_import_as_DC]], 0))
)</f>
        <v>1.0000000000000799</v>
      </c>
      <c r="P84" s="9">
        <f>IF($B$4="סהכ",
INDEX(טבלה1[[SPPR_1986]:[SPPR_symbolic_full_import_as_DC]], MATCH('השוואת פקטורים'!$B84, 'PPRs all'!$A$2:$A$108, 0), MATCH('השוואת פקטורים'!P$6, טבלה1[[#Headers],[SPPR_1986]:[SPPR_symbolic_full_import_as_DC]], 0)) / INDEX(טבלה1[[SPPR_1986]:[SPPR_symbolic_full_import_as_DC]], MATCH('השוואת פקטורים'!$B84, 'PPRs all'!$A$2:$A$108, 0), MATCH('השוואת פקטורים'!O$6, טבלה1[[#Headers],[SPPR_1986]:[SPPR_symbolic_full_import_as_DC]], 0)),
INDEX(טבלה2[[SPPR_1986]:[SPPR_symbolic_full_import_as_DC]], MATCH('השוואת פקטורים'!$B84, 'PPRs inner'!$A$2:$A$108, 0), MATCH('השוואת פקטורים'!P$6, טבלה2[[#Headers],[SPPR_1986]:[SPPR_symbolic_full_import_as_DC]], 0)) / INDEX(טבלה2[[SPPR_1986]:[SPPR_symbolic_full_import_as_DC]], MATCH('השוואת פקטורים'!$B84, 'PPRs inner'!$A$2:$A$108, 0), MATCH('השוואת פקטורים'!O$6, טבלה2[[#Headers],[SPPR_1986]:[SPPR_symbolic_full_import_as_DC]], 0))
)</f>
        <v>1.1228333189595956</v>
      </c>
      <c r="Q84" s="9">
        <f>IF($B$4="סהכ",
INDEX(טבלה1[[SPPR_1986]:[SPPR_symbolic_full_import_as_DC]], MATCH('השוואת פקטורים'!$B84, 'PPRs all'!$A$2:$A$108, 0), MATCH('השוואת פקטורים'!Q$6, טבלה1[[#Headers],[SPPR_1986]:[SPPR_symbolic_full_import_as_DC]], 0)) / INDEX(טבלה1[[SPPR_1986]:[SPPR_symbolic_full_import_as_DC]], MATCH('השוואת פקטורים'!$B84, 'PPRs all'!$A$2:$A$108, 0), MATCH('השוואת פקטורים'!P$6, טבלה1[[#Headers],[SPPR_1986]:[SPPR_symbolic_full_import_as_DC]], 0)),
INDEX(טבלה2[[SPPR_1986]:[SPPR_symbolic_full_import_as_DC]], MATCH('השוואת פקטורים'!$B84, 'PPRs inner'!$A$2:$A$108, 0), MATCH('השוואת פקטורים'!Q$6, טבלה2[[#Headers],[SPPR_1986]:[SPPR_symbolic_full_import_as_DC]], 0)) / INDEX(טבלה2[[SPPR_1986]:[SPPR_symbolic_full_import_as_DC]], MATCH('השוואת פקטורים'!$B84, 'PPRs inner'!$A$2:$A$108, 0), MATCH('השוואת פקטורים'!P$6, טבלה2[[#Headers],[SPPR_1986]:[SPPR_symbolic_full_import_as_DC]], 0))
)</f>
        <v>1.0000000000000659</v>
      </c>
      <c r="R84" s="9">
        <f>IF($B$4="סהכ",
INDEX(טבלה1[[SPPR_1986]:[SPPR_symbolic_full_import_as_DC]], MATCH('השוואת פקטורים'!$B84, 'PPRs all'!$A$2:$A$108, 0), MATCH('השוואת פקטורים'!R$6, טבלה1[[#Headers],[SPPR_1986]:[SPPR_symbolic_full_import_as_DC]], 0)) / INDEX(טבלה1[[SPPR_1986]:[SPPR_symbolic_full_import_as_DC]], MATCH('השוואת פקטורים'!$B84, 'PPRs all'!$A$2:$A$108, 0), MATCH('השוואת פקטורים'!Q$6, טבלה1[[#Headers],[SPPR_1986]:[SPPR_symbolic_full_import_as_DC]], 0)),
INDEX(טבלה2[[SPPR_1986]:[SPPR_symbolic_full_import_as_DC]], MATCH('השוואת פקטורים'!$B84, 'PPRs inner'!$A$2:$A$108, 0), MATCH('השוואת פקטורים'!R$6, טבלה2[[#Headers],[SPPR_1986]:[SPPR_symbolic_full_import_as_DC]], 0)) / INDEX(טבלה2[[SPPR_1986]:[SPPR_symbolic_full_import_as_DC]], MATCH('השוואת פקטורים'!$B84, 'PPRs inner'!$A$2:$A$108, 0), MATCH('השוואת פקטורים'!Q$6, טבלה2[[#Headers],[SPPR_1986]:[SPPR_symbolic_full_import_as_DC]], 0))
)</f>
        <v>1</v>
      </c>
      <c r="S84" s="9">
        <f>IF($B$4="סהכ",
INDEX(טבלה1[[SPPR_1986]:[SPPR_symbolic_full_import_as_DC]], MATCH('השוואת פקטורים'!$B84, 'PPRs all'!$A$2:$A$108, 0), MATCH('השוואת פקטורים'!S$6, טבלה1[[#Headers],[SPPR_1986]:[SPPR_symbolic_full_import_as_DC]], 0)) / INDEX(טבלה1[[SPPR_1986]:[SPPR_symbolic_full_import_as_DC]], MATCH('השוואת פקטורים'!$B84, 'PPRs all'!$A$2:$A$108, 0), MATCH('השוואת פקטורים'!R$6, טבלה1[[#Headers],[SPPR_1986]:[SPPR_symbolic_full_import_as_DC]], 0)),
INDEX(טבלה2[[SPPR_1986]:[SPPR_symbolic_full_import_as_DC]], MATCH('השוואת פקטורים'!$B84, 'PPRs inner'!$A$2:$A$108, 0), MATCH('השוואת פקטורים'!S$6, טבלה2[[#Headers],[SPPR_1986]:[SPPR_symbolic_full_import_as_DC]], 0)) / INDEX(טבלה2[[SPPR_1986]:[SPPR_symbolic_full_import_as_DC]], MATCH('השוואת פקטורים'!$B84, 'PPRs inner'!$A$2:$A$108, 0), MATCH('השוואת פקטורים'!R$6, טבלה2[[#Headers],[SPPR_1986]:[SPPR_symbolic_full_import_as_DC]], 0))
)</f>
        <v>1</v>
      </c>
      <c r="T84" s="9">
        <f>IF($B$4="סהכ",
INDEX(טבלה1[[SPPR_1986]:[SPPR_symbolic_full_import_as_DC]], MATCH('השוואת פקטורים'!$B84, 'PPRs all'!$A$2:$A$108, 0), MATCH('השוואת פקטורים'!T$6, טבלה1[[#Headers],[SPPR_1986]:[SPPR_symbolic_full_import_as_DC]], 0)) / INDEX(טבלה1[[SPPR_1986]:[SPPR_symbolic_full_import_as_DC]], MATCH('השוואת פקטורים'!$B84, 'PPRs all'!$A$2:$A$108, 0), MATCH('השוואת פקטורים'!S$6, טבלה1[[#Headers],[SPPR_1986]:[SPPR_symbolic_full_import_as_DC]], 0)),
INDEX(טבלה2[[SPPR_1986]:[SPPR_symbolic_full_import_as_DC]], MATCH('השוואת פקטורים'!$B84, 'PPRs inner'!$A$2:$A$108, 0), MATCH('השוואת פקטורים'!T$6, טבלה2[[#Headers],[SPPR_1986]:[SPPR_symbolic_full_import_as_DC]], 0)) / INDEX(טבלה2[[SPPR_1986]:[SPPR_symbolic_full_import_as_DC]], MATCH('השוואת פקטורים'!$B84, 'PPRs inner'!$A$2:$A$108, 0), MATCH('השוואת פקטורים'!S$6, טבלה2[[#Headers],[SPPR_1986]:[SPPR_symbolic_full_import_as_DC]], 0))
)</f>
        <v>1</v>
      </c>
      <c r="U84" s="9">
        <f>IF($B$4="סהכ",
INDEX(טבלה1[[SPPR_1986]:[SPPR_symbolic_full_import_as_DC]], MATCH('השוואת פקטורים'!$B84, 'PPRs all'!$A$2:$A$108, 0), MATCH('השוואת פקטורים'!U$6, טבלה1[[#Headers],[SPPR_1986]:[SPPR_symbolic_full_import_as_DC]], 0)) / INDEX(טבלה1[[SPPR_1986]:[SPPR_symbolic_full_import_as_DC]], MATCH('השוואת פקטורים'!$B84, 'PPRs all'!$A$2:$A$108, 0), MATCH('השוואת פקטורים'!T$6, טבלה1[[#Headers],[SPPR_1986]:[SPPR_symbolic_full_import_as_DC]], 0)),
INDEX(טבלה2[[SPPR_1986]:[SPPR_symbolic_full_import_as_DC]], MATCH('השוואת פקטורים'!$B84, 'PPRs inner'!$A$2:$A$108, 0), MATCH('השוואת פקטורים'!U$6, טבלה2[[#Headers],[SPPR_1986]:[SPPR_symbolic_full_import_as_DC]], 0)) / INDEX(טבלה2[[SPPR_1986]:[SPPR_symbolic_full_import_as_DC]], MATCH('השוואת פקטורים'!$B84, 'PPRs inner'!$A$2:$A$108, 0), MATCH('השוואת פקטורים'!T$6, טבלה2[[#Headers],[SPPR_1986]:[SPPR_symbolic_full_import_as_DC]], 0))
)</f>
        <v>0.99999999999993416</v>
      </c>
      <c r="V84" s="9"/>
      <c r="W84" s="9"/>
      <c r="X84" s="14"/>
      <c r="Y84" s="14"/>
      <c r="Z84" s="15">
        <f t="shared" si="6"/>
        <v>2.3093765116982725</v>
      </c>
    </row>
    <row r="85" spans="2:26" x14ac:dyDescent="0.3">
      <c r="B85" s="6" t="s">
        <v>99</v>
      </c>
      <c r="C85" s="12" t="b">
        <v>1</v>
      </c>
      <c r="D85" s="12" t="b">
        <v>0</v>
      </c>
      <c r="E85" s="12" t="b">
        <v>1</v>
      </c>
      <c r="F85" s="12" t="b">
        <f t="shared" si="5"/>
        <v>0</v>
      </c>
      <c r="G85" s="7" t="b">
        <f>ABS(INDEX(טבלה5[[SPPR_1986]:[SPPR_symbolic_full_import_as_DC]],MATCH('השוואת פקטורים'!$B85,טבלה5[עמודה1],0),MATCH($C$4,טבלה5[[#Headers],[SPPR_1986]:[SPPR_symbolic_full_import_as_DC]],0))) &lt; 5</f>
        <v>1</v>
      </c>
      <c r="H85" s="7" t="b">
        <f>INDEX(טבלה3[[SPPR_1986]:[SPPR_symbolic_full_import_as_DC]],MATCH('השוואת פקטורים'!$B85,טבלה3[עמודה1],0),MATCH($C$4,טבלה3[[#Headers],[SPPR_1986]:[SPPR_symbolic_full_import_as_DC]],0))</f>
        <v>1</v>
      </c>
      <c r="I85" s="7" t="b">
        <f t="shared" si="4"/>
        <v>0</v>
      </c>
      <c r="J85" s="13"/>
      <c r="K85" s="9">
        <f>IF($B$4="סהכ",
INDEX(טבלה1[[SPPR_1986]:[SPPR_symbolic_full_import_as_DC]], MATCH('השוואת פקטורים'!$B85, 'PPRs all'!$A$2:$A$108, 0), MATCH('השוואת פקטורים'!K$6, טבלה1[[#Headers],[SPPR_1986]:[SPPR_symbolic_full_import_as_DC]], 0)) / INDEX(טבלה1[[SPPR_1986]:[SPPR_symbolic_full_import_as_DC]], MATCH('השוואת פקטורים'!$B85, 'PPRs all'!$A$2:$A$108, 0), MATCH('השוואת פקטורים'!J$6, טבלה1[[#Headers],[SPPR_1986]:[SPPR_symbolic_full_import_as_DC]], 0)),
INDEX(טבלה2[[SPPR_1986]:[SPPR_symbolic_full_import_as_DC]], MATCH('השוואת פקטורים'!$B85, 'PPRs inner'!$A$2:$A$108, 0), MATCH('השוואת פקטורים'!K$6, טבלה2[[#Headers],[SPPR_1986]:[SPPR_symbolic_full_import_as_DC]], 0)) / INDEX(טבלה2[[SPPR_1986]:[SPPR_symbolic_full_import_as_DC]], MATCH('השוואת פקטורים'!$B85, 'PPRs inner'!$A$2:$A$108, 0), MATCH('השוואת פקטורים'!J$6, טבלה2[[#Headers],[SPPR_1986]:[SPPR_symbolic_full_import_as_DC]], 0))
)</f>
        <v>0.74654092624214596</v>
      </c>
      <c r="L85" s="9">
        <f>IF($B$4="סהכ",
INDEX(טבלה1[[SPPR_1986]:[SPPR_symbolic_full_import_as_DC]], MATCH('השוואת פקטורים'!$B85, 'PPRs all'!$A$2:$A$108, 0), MATCH('השוואת פקטורים'!L$6, טבלה1[[#Headers],[SPPR_1986]:[SPPR_symbolic_full_import_as_DC]], 0)) / INDEX(טבלה1[[SPPR_1986]:[SPPR_symbolic_full_import_as_DC]], MATCH('השוואת פקטורים'!$B85, 'PPRs all'!$A$2:$A$108, 0), MATCH('השוואת פקטורים'!K$6, טבלה1[[#Headers],[SPPR_1986]:[SPPR_symbolic_full_import_as_DC]], 0)),
INDEX(טבלה2[[SPPR_1986]:[SPPR_symbolic_full_import_as_DC]], MATCH('השוואת פקטורים'!$B85, 'PPRs inner'!$A$2:$A$108, 0), MATCH('השוואת פקטורים'!L$6, טבלה2[[#Headers],[SPPR_1986]:[SPPR_symbolic_full_import_as_DC]], 0)) / INDEX(טבלה2[[SPPR_1986]:[SPPR_symbolic_full_import_as_DC]], MATCH('השוואת פקטורים'!$B85, 'PPRs inner'!$A$2:$A$108, 0), MATCH('השוואת פקטורים'!K$6, טבלה2[[#Headers],[SPPR_1986]:[SPPR_symbolic_full_import_as_DC]], 0))
)</f>
        <v>10.595137149653061</v>
      </c>
      <c r="M85" s="9">
        <f>IF($B$4="סהכ",
INDEX(טבלה1[[SPPR_1986]:[SPPR_symbolic_full_import_as_DC]], MATCH('השוואת פקטורים'!$B85, 'PPRs all'!$A$2:$A$108, 0), MATCH('השוואת פקטורים'!M$6, טבלה1[[#Headers],[SPPR_1986]:[SPPR_symbolic_full_import_as_DC]], 0)) / INDEX(טבלה1[[SPPR_1986]:[SPPR_symbolic_full_import_as_DC]], MATCH('השוואת פקטורים'!$B85, 'PPRs all'!$A$2:$A$108, 0), MATCH('השוואת פקטורים'!L$6, טבלה1[[#Headers],[SPPR_1986]:[SPPR_symbolic_full_import_as_DC]], 0)),
INDEX(טבלה2[[SPPR_1986]:[SPPR_symbolic_full_import_as_DC]], MATCH('השוואת פקטורים'!$B85, 'PPRs inner'!$A$2:$A$108, 0), MATCH('השוואת פקטורים'!M$6, טבלה2[[#Headers],[SPPR_1986]:[SPPR_symbolic_full_import_as_DC]], 0)) / INDEX(טבלה2[[SPPR_1986]:[SPPR_symbolic_full_import_as_DC]], MATCH('השוואת פקטורים'!$B85, 'PPRs inner'!$A$2:$A$108, 0), MATCH('השוואת פקטורים'!L$6, טבלה2[[#Headers],[SPPR_1986]:[SPPR_symbolic_full_import_as_DC]], 0))
)</f>
        <v>9.7865588524831654E-2</v>
      </c>
      <c r="N85" s="9">
        <f>IF($B$4="סהכ",
INDEX(טבלה1[[SPPR_1986]:[SPPR_symbolic_full_import_as_DC]], MATCH('השוואת פקטורים'!$B85, 'PPRs all'!$A$2:$A$108, 0), MATCH('השוואת פקטורים'!N$6, טבלה1[[#Headers],[SPPR_1986]:[SPPR_symbolic_full_import_as_DC]], 0)) / INDEX(טבלה1[[SPPR_1986]:[SPPR_symbolic_full_import_as_DC]], MATCH('השוואת פקטורים'!$B85, 'PPRs all'!$A$2:$A$108, 0), MATCH('השוואת פקטורים'!M$6, טבלה1[[#Headers],[SPPR_1986]:[SPPR_symbolic_full_import_as_DC]], 0)),
INDEX(טבלה2[[SPPR_1986]:[SPPR_symbolic_full_import_as_DC]], MATCH('השוואת פקטורים'!$B85, 'PPRs inner'!$A$2:$A$108, 0), MATCH('השוואת פקטורים'!N$6, טבלה2[[#Headers],[SPPR_1986]:[SPPR_symbolic_full_import_as_DC]], 0)) / INDEX(טבלה2[[SPPR_1986]:[SPPR_symbolic_full_import_as_DC]], MATCH('השוואת פקטורים'!$B85, 'PPRs inner'!$A$2:$A$108, 0), MATCH('השוואת פקטורים'!M$6, טבלה2[[#Headers],[SPPR_1986]:[SPPR_symbolic_full_import_as_DC]], 0))
)</f>
        <v>3.0816546952383046</v>
      </c>
      <c r="O85" s="9">
        <f>IF($B$4="סהכ",
INDEX(טבלה1[[SPPR_1986]:[SPPR_symbolic_full_import_as_DC]], MATCH('השוואת פקטורים'!$B85, 'PPRs all'!$A$2:$A$108, 0), MATCH('השוואת פקטורים'!O$6, טבלה1[[#Headers],[SPPR_1986]:[SPPR_symbolic_full_import_as_DC]], 0)) / INDEX(טבלה1[[SPPR_1986]:[SPPR_symbolic_full_import_as_DC]], MATCH('השוואת פקטורים'!$B85, 'PPRs all'!$A$2:$A$108, 0), MATCH('השוואת פקטורים'!N$6, טבלה1[[#Headers],[SPPR_1986]:[SPPR_symbolic_full_import_as_DC]], 0)),
INDEX(טבלה2[[SPPR_1986]:[SPPR_symbolic_full_import_as_DC]], MATCH('השוואת פקטורים'!$B85, 'PPRs inner'!$A$2:$A$108, 0), MATCH('השוואת פקטורים'!O$6, טבלה2[[#Headers],[SPPR_1986]:[SPPR_symbolic_full_import_as_DC]], 0)) / INDEX(טבלה2[[SPPR_1986]:[SPPR_symbolic_full_import_as_DC]], MATCH('השוואת פקטורים'!$B85, 'PPRs inner'!$A$2:$A$108, 0), MATCH('השוואת פקטורים'!N$6, טבלה2[[#Headers],[SPPR_1986]:[SPPR_symbolic_full_import_as_DC]], 0))
)</f>
        <v>0.99999999999817202</v>
      </c>
      <c r="P85" s="9">
        <f>IF($B$4="סהכ",
INDEX(טבלה1[[SPPR_1986]:[SPPR_symbolic_full_import_as_DC]], MATCH('השוואת פקטורים'!$B85, 'PPRs all'!$A$2:$A$108, 0), MATCH('השוואת פקטורים'!P$6, טבלה1[[#Headers],[SPPR_1986]:[SPPR_symbolic_full_import_as_DC]], 0)) / INDEX(טבלה1[[SPPR_1986]:[SPPR_symbolic_full_import_as_DC]], MATCH('השוואת פקטורים'!$B85, 'PPRs all'!$A$2:$A$108, 0), MATCH('השוואת פקטורים'!O$6, טבלה1[[#Headers],[SPPR_1986]:[SPPR_symbolic_full_import_as_DC]], 0)),
INDEX(טבלה2[[SPPR_1986]:[SPPR_symbolic_full_import_as_DC]], MATCH('השוואת פקטורים'!$B85, 'PPRs inner'!$A$2:$A$108, 0), MATCH('השוואת פקטורים'!P$6, טבלה2[[#Headers],[SPPR_1986]:[SPPR_symbolic_full_import_as_DC]], 0)) / INDEX(טבלה2[[SPPR_1986]:[SPPR_symbolic_full_import_as_DC]], MATCH('השוואת פקטורים'!$B85, 'PPRs inner'!$A$2:$A$108, 0), MATCH('השוואת פקטורים'!O$6, טבלה2[[#Headers],[SPPR_1986]:[SPPR_symbolic_full_import_as_DC]], 0))
)</f>
        <v>1.020659908542968</v>
      </c>
      <c r="Q85" s="9">
        <f>IF($B$4="סהכ",
INDEX(טבלה1[[SPPR_1986]:[SPPR_symbolic_full_import_as_DC]], MATCH('השוואת פקטורים'!$B85, 'PPRs all'!$A$2:$A$108, 0), MATCH('השוואת פקטורים'!Q$6, טבלה1[[#Headers],[SPPR_1986]:[SPPR_symbolic_full_import_as_DC]], 0)) / INDEX(טבלה1[[SPPR_1986]:[SPPR_symbolic_full_import_as_DC]], MATCH('השוואת פקטורים'!$B85, 'PPRs all'!$A$2:$A$108, 0), MATCH('השוואת פקטורים'!P$6, טבלה1[[#Headers],[SPPR_1986]:[SPPR_symbolic_full_import_as_DC]], 0)),
INDEX(טבלה2[[SPPR_1986]:[SPPR_symbolic_full_import_as_DC]], MATCH('השוואת פקטורים'!$B85, 'PPRs inner'!$A$2:$A$108, 0), MATCH('השוואת פקטורים'!Q$6, טבלה2[[#Headers],[SPPR_1986]:[SPPR_symbolic_full_import_as_DC]], 0)) / INDEX(טבלה2[[SPPR_1986]:[SPPR_symbolic_full_import_as_DC]], MATCH('השוואת פקטורים'!$B85, 'PPRs inner'!$A$2:$A$108, 0), MATCH('השוואת פקטורים'!P$6, טבלה2[[#Headers],[SPPR_1986]:[SPPR_symbolic_full_import_as_DC]], 0))
)</f>
        <v>0.99999999999992484</v>
      </c>
      <c r="R85" s="9">
        <f>IF($B$4="סהכ",
INDEX(טבלה1[[SPPR_1986]:[SPPR_symbolic_full_import_as_DC]], MATCH('השוואת פקטורים'!$B85, 'PPRs all'!$A$2:$A$108, 0), MATCH('השוואת פקטורים'!R$6, טבלה1[[#Headers],[SPPR_1986]:[SPPR_symbolic_full_import_as_DC]], 0)) / INDEX(טבלה1[[SPPR_1986]:[SPPR_symbolic_full_import_as_DC]], MATCH('השוואת פקטורים'!$B85, 'PPRs all'!$A$2:$A$108, 0), MATCH('השוואת פקטורים'!Q$6, טבלה1[[#Headers],[SPPR_1986]:[SPPR_symbolic_full_import_as_DC]], 0)),
INDEX(טבלה2[[SPPR_1986]:[SPPR_symbolic_full_import_as_DC]], MATCH('השוואת פקטורים'!$B85, 'PPRs inner'!$A$2:$A$108, 0), MATCH('השוואת פקטורים'!R$6, טבלה2[[#Headers],[SPPR_1986]:[SPPR_symbolic_full_import_as_DC]], 0)) / INDEX(טבלה2[[SPPR_1986]:[SPPR_symbolic_full_import_as_DC]], MATCH('השוואת פקטורים'!$B85, 'PPRs inner'!$A$2:$A$108, 0), MATCH('השוואת פקטורים'!Q$6, טבלה2[[#Headers],[SPPR_1986]:[SPPR_symbolic_full_import_as_DC]], 0))
)</f>
        <v>1</v>
      </c>
      <c r="S85" s="9">
        <f>IF($B$4="סהכ",
INDEX(טבלה1[[SPPR_1986]:[SPPR_symbolic_full_import_as_DC]], MATCH('השוואת פקטורים'!$B85, 'PPRs all'!$A$2:$A$108, 0), MATCH('השוואת פקטורים'!S$6, טבלה1[[#Headers],[SPPR_1986]:[SPPR_symbolic_full_import_as_DC]], 0)) / INDEX(טבלה1[[SPPR_1986]:[SPPR_symbolic_full_import_as_DC]], MATCH('השוואת פקטורים'!$B85, 'PPRs all'!$A$2:$A$108, 0), MATCH('השוואת פקטורים'!R$6, טבלה1[[#Headers],[SPPR_1986]:[SPPR_symbolic_full_import_as_DC]], 0)),
INDEX(טבלה2[[SPPR_1986]:[SPPR_symbolic_full_import_as_DC]], MATCH('השוואת פקטורים'!$B85, 'PPRs inner'!$A$2:$A$108, 0), MATCH('השוואת פקטורים'!S$6, טבלה2[[#Headers],[SPPR_1986]:[SPPR_symbolic_full_import_as_DC]], 0)) / INDEX(טבלה2[[SPPR_1986]:[SPPR_symbolic_full_import_as_DC]], MATCH('השוואת פקטורים'!$B85, 'PPRs inner'!$A$2:$A$108, 0), MATCH('השוואת פקטורים'!R$6, טבלה2[[#Headers],[SPPR_1986]:[SPPR_symbolic_full_import_as_DC]], 0))
)</f>
        <v>1</v>
      </c>
      <c r="T85" s="9">
        <f>IF($B$4="סהכ",
INDEX(טבלה1[[SPPR_1986]:[SPPR_symbolic_full_import_as_DC]], MATCH('השוואת פקטורים'!$B85, 'PPRs all'!$A$2:$A$108, 0), MATCH('השוואת פקטורים'!T$6, טבלה1[[#Headers],[SPPR_1986]:[SPPR_symbolic_full_import_as_DC]], 0)) / INDEX(טבלה1[[SPPR_1986]:[SPPR_symbolic_full_import_as_DC]], MATCH('השוואת פקטורים'!$B85, 'PPRs all'!$A$2:$A$108, 0), MATCH('השוואת פקטורים'!S$6, טבלה1[[#Headers],[SPPR_1986]:[SPPR_symbolic_full_import_as_DC]], 0)),
INDEX(טבלה2[[SPPR_1986]:[SPPR_symbolic_full_import_as_DC]], MATCH('השוואת פקטורים'!$B85, 'PPRs inner'!$A$2:$A$108, 0), MATCH('השוואת פקטורים'!T$6, טבלה2[[#Headers],[SPPR_1986]:[SPPR_symbolic_full_import_as_DC]], 0)) / INDEX(טבלה2[[SPPR_1986]:[SPPR_symbolic_full_import_as_DC]], MATCH('השוואת פקטורים'!$B85, 'PPRs inner'!$A$2:$A$108, 0), MATCH('השוואת פקטורים'!S$6, טבלה2[[#Headers],[SPPR_1986]:[SPPR_symbolic_full_import_as_DC]], 0))
)</f>
        <v>1</v>
      </c>
      <c r="U85" s="9">
        <f>IF($B$4="סהכ",
INDEX(טבלה1[[SPPR_1986]:[SPPR_symbolic_full_import_as_DC]], MATCH('השוואת פקטורים'!$B85, 'PPRs all'!$A$2:$A$108, 0), MATCH('השוואת פקטורים'!U$6, טבלה1[[#Headers],[SPPR_1986]:[SPPR_symbolic_full_import_as_DC]], 0)) / INDEX(טבלה1[[SPPR_1986]:[SPPR_symbolic_full_import_as_DC]], MATCH('השוואת פקטורים'!$B85, 'PPRs all'!$A$2:$A$108, 0), MATCH('השוואת פקטורים'!T$6, טבלה1[[#Headers],[SPPR_1986]:[SPPR_symbolic_full_import_as_DC]], 0)),
INDEX(טבלה2[[SPPR_1986]:[SPPR_symbolic_full_import_as_DC]], MATCH('השוואת פקטורים'!$B85, 'PPRs inner'!$A$2:$A$108, 0), MATCH('השוואת פקטורים'!U$6, טבלה2[[#Headers],[SPPR_1986]:[SPPR_symbolic_full_import_as_DC]], 0)) / INDEX(טבלה2[[SPPR_1986]:[SPPR_symbolic_full_import_as_DC]], MATCH('השוואת פקטורים'!$B85, 'PPRs inner'!$A$2:$A$108, 0), MATCH('השוואת פקטורים'!T$6, טבלה2[[#Headers],[SPPR_1986]:[SPPR_symbolic_full_import_as_DC]], 0))
)</f>
        <v>1.0000000000000753</v>
      </c>
      <c r="V85" s="9"/>
      <c r="W85" s="9"/>
      <c r="X85" s="14"/>
      <c r="Y85" s="14"/>
      <c r="Z85" s="15">
        <f t="shared" si="6"/>
        <v>2.4347548852940024</v>
      </c>
    </row>
    <row r="86" spans="2:26" x14ac:dyDescent="0.3">
      <c r="B86" s="6" t="s">
        <v>100</v>
      </c>
      <c r="C86" s="12" t="b">
        <v>1</v>
      </c>
      <c r="D86" s="12" t="b">
        <v>0</v>
      </c>
      <c r="E86" s="12" t="b">
        <v>1</v>
      </c>
      <c r="F86" s="12" t="b">
        <f t="shared" si="5"/>
        <v>0</v>
      </c>
      <c r="G86" s="7" t="b">
        <f>ABS(INDEX(טבלה5[[SPPR_1986]:[SPPR_symbolic_full_import_as_DC]],MATCH('השוואת פקטורים'!$B86,טבלה5[עמודה1],0),MATCH($C$4,טבלה5[[#Headers],[SPPR_1986]:[SPPR_symbolic_full_import_as_DC]],0))) &lt; 5</f>
        <v>1</v>
      </c>
      <c r="H86" s="7" t="b">
        <f>INDEX(טבלה3[[SPPR_1986]:[SPPR_symbolic_full_import_as_DC]],MATCH('השוואת פקטורים'!$B86,טבלה3[עמודה1],0),MATCH($C$4,טבלה3[[#Headers],[SPPR_1986]:[SPPR_symbolic_full_import_as_DC]],0))</f>
        <v>1</v>
      </c>
      <c r="I86" s="7" t="b">
        <f t="shared" si="4"/>
        <v>0</v>
      </c>
      <c r="J86" s="13"/>
      <c r="K86" s="9">
        <f>IF($B$4="סהכ",
INDEX(טבלה1[[SPPR_1986]:[SPPR_symbolic_full_import_as_DC]], MATCH('השוואת פקטורים'!$B86, 'PPRs all'!$A$2:$A$108, 0), MATCH('השוואת פקטורים'!K$6, טבלה1[[#Headers],[SPPR_1986]:[SPPR_symbolic_full_import_as_DC]], 0)) / INDEX(טבלה1[[SPPR_1986]:[SPPR_symbolic_full_import_as_DC]], MATCH('השוואת פקטורים'!$B86, 'PPRs all'!$A$2:$A$108, 0), MATCH('השוואת פקטורים'!J$6, טבלה1[[#Headers],[SPPR_1986]:[SPPR_symbolic_full_import_as_DC]], 0)),
INDEX(טבלה2[[SPPR_1986]:[SPPR_symbolic_full_import_as_DC]], MATCH('השוואת פקטורים'!$B86, 'PPRs inner'!$A$2:$A$108, 0), MATCH('השוואת פקטורים'!K$6, טבלה2[[#Headers],[SPPR_1986]:[SPPR_symbolic_full_import_as_DC]], 0)) / INDEX(טבלה2[[SPPR_1986]:[SPPR_symbolic_full_import_as_DC]], MATCH('השוואת פקטורים'!$B86, 'PPRs inner'!$A$2:$A$108, 0), MATCH('השוואת פקטורים'!J$6, טבלה2[[#Headers],[SPPR_1986]:[SPPR_symbolic_full_import_as_DC]], 0))
)</f>
        <v>1.4312249465982052</v>
      </c>
      <c r="L86" s="9">
        <f>IF($B$4="סהכ",
INDEX(טבלה1[[SPPR_1986]:[SPPR_symbolic_full_import_as_DC]], MATCH('השוואת פקטורים'!$B86, 'PPRs all'!$A$2:$A$108, 0), MATCH('השוואת פקטורים'!L$6, טבלה1[[#Headers],[SPPR_1986]:[SPPR_symbolic_full_import_as_DC]], 0)) / INDEX(טבלה1[[SPPR_1986]:[SPPR_symbolic_full_import_as_DC]], MATCH('השוואת פקטורים'!$B86, 'PPRs all'!$A$2:$A$108, 0), MATCH('השוואת פקטורים'!K$6, טבלה1[[#Headers],[SPPR_1986]:[SPPR_symbolic_full_import_as_DC]], 0)),
INDEX(טבלה2[[SPPR_1986]:[SPPR_symbolic_full_import_as_DC]], MATCH('השוואת פקטורים'!$B86, 'PPRs inner'!$A$2:$A$108, 0), MATCH('השוואת פקטורים'!L$6, טבלה2[[#Headers],[SPPR_1986]:[SPPR_symbolic_full_import_as_DC]], 0)) / INDEX(טבלה2[[SPPR_1986]:[SPPR_symbolic_full_import_as_DC]], MATCH('השוואת פקטורים'!$B86, 'PPRs inner'!$A$2:$A$108, 0), MATCH('השוואת פקטורים'!K$6, טבלה2[[#Headers],[SPPR_1986]:[SPPR_symbolic_full_import_as_DC]], 0))
)</f>
        <v>13.079402443282238</v>
      </c>
      <c r="M86" s="9">
        <f>IF($B$4="סהכ",
INDEX(טבלה1[[SPPR_1986]:[SPPR_symbolic_full_import_as_DC]], MATCH('השוואת פקטורים'!$B86, 'PPRs all'!$A$2:$A$108, 0), MATCH('השוואת פקטורים'!M$6, טבלה1[[#Headers],[SPPR_1986]:[SPPR_symbolic_full_import_as_DC]], 0)) / INDEX(טבלה1[[SPPR_1986]:[SPPR_symbolic_full_import_as_DC]], MATCH('השוואת פקטורים'!$B86, 'PPRs all'!$A$2:$A$108, 0), MATCH('השוואת פקטורים'!L$6, טבלה1[[#Headers],[SPPR_1986]:[SPPR_symbolic_full_import_as_DC]], 0)),
INDEX(טבלה2[[SPPR_1986]:[SPPR_symbolic_full_import_as_DC]], MATCH('השוואת פקטורים'!$B86, 'PPRs inner'!$A$2:$A$108, 0), MATCH('השוואת פקטורים'!M$6, טבלה2[[#Headers],[SPPR_1986]:[SPPR_symbolic_full_import_as_DC]], 0)) / INDEX(טבלה2[[SPPR_1986]:[SPPR_symbolic_full_import_as_DC]], MATCH('השוואת פקטורים'!$B86, 'PPRs inner'!$A$2:$A$108, 0), MATCH('השוואת פקטורים'!L$6, טבלה2[[#Headers],[SPPR_1986]:[SPPR_symbolic_full_import_as_DC]], 0))
)</f>
        <v>0.3083521602327477</v>
      </c>
      <c r="N86" s="9">
        <f>IF($B$4="סהכ",
INDEX(טבלה1[[SPPR_1986]:[SPPR_symbolic_full_import_as_DC]], MATCH('השוואת פקטורים'!$B86, 'PPRs all'!$A$2:$A$108, 0), MATCH('השוואת פקטורים'!N$6, טבלה1[[#Headers],[SPPR_1986]:[SPPR_symbolic_full_import_as_DC]], 0)) / INDEX(טבלה1[[SPPR_1986]:[SPPR_symbolic_full_import_as_DC]], MATCH('השוואת פקטורים'!$B86, 'PPRs all'!$A$2:$A$108, 0), MATCH('השוואת פקטורים'!M$6, טבלה1[[#Headers],[SPPR_1986]:[SPPR_symbolic_full_import_as_DC]], 0)),
INDEX(טבלה2[[SPPR_1986]:[SPPR_symbolic_full_import_as_DC]], MATCH('השוואת פקטורים'!$B86, 'PPRs inner'!$A$2:$A$108, 0), MATCH('השוואת פקטורים'!N$6, טבלה2[[#Headers],[SPPR_1986]:[SPPR_symbolic_full_import_as_DC]], 0)) / INDEX(טבלה2[[SPPR_1986]:[SPPR_symbolic_full_import_as_DC]], MATCH('השוואת פקטורים'!$B86, 'PPRs inner'!$A$2:$A$108, 0), MATCH('השוואת פקטורים'!M$6, טבלה2[[#Headers],[SPPR_1986]:[SPPR_symbolic_full_import_as_DC]], 0))
)</f>
        <v>3.020310031928461</v>
      </c>
      <c r="O86" s="9">
        <f>IF($B$4="סהכ",
INDEX(טבלה1[[SPPR_1986]:[SPPR_symbolic_full_import_as_DC]], MATCH('השוואת פקטורים'!$B86, 'PPRs all'!$A$2:$A$108, 0), MATCH('השוואת פקטורים'!O$6, טבלה1[[#Headers],[SPPR_1986]:[SPPR_symbolic_full_import_as_DC]], 0)) / INDEX(טבלה1[[SPPR_1986]:[SPPR_symbolic_full_import_as_DC]], MATCH('השוואת פקטורים'!$B86, 'PPRs all'!$A$2:$A$108, 0), MATCH('השוואת פקטורים'!N$6, טבלה1[[#Headers],[SPPR_1986]:[SPPR_symbolic_full_import_as_DC]], 0)),
INDEX(טבלה2[[SPPR_1986]:[SPPR_symbolic_full_import_as_DC]], MATCH('השוואת פקטורים'!$B86, 'PPRs inner'!$A$2:$A$108, 0), MATCH('השוואת פקטורים'!O$6, טבלה2[[#Headers],[SPPR_1986]:[SPPR_symbolic_full_import_as_DC]], 0)) / INDEX(טבלה2[[SPPR_1986]:[SPPR_symbolic_full_import_as_DC]], MATCH('השוואת פקטורים'!$B86, 'PPRs inner'!$A$2:$A$108, 0), MATCH('השוואת פקטורים'!N$6, טבלה2[[#Headers],[SPPR_1986]:[SPPR_symbolic_full_import_as_DC]], 0))
)</f>
        <v>1.0000000000002831</v>
      </c>
      <c r="P86" s="9">
        <f>IF($B$4="סהכ",
INDEX(טבלה1[[SPPR_1986]:[SPPR_symbolic_full_import_as_DC]], MATCH('השוואת פקטורים'!$B86, 'PPRs all'!$A$2:$A$108, 0), MATCH('השוואת פקטורים'!P$6, טבלה1[[#Headers],[SPPR_1986]:[SPPR_symbolic_full_import_as_DC]], 0)) / INDEX(טבלה1[[SPPR_1986]:[SPPR_symbolic_full_import_as_DC]], MATCH('השוואת פקטורים'!$B86, 'PPRs all'!$A$2:$A$108, 0), MATCH('השוואת פקטורים'!O$6, טבלה1[[#Headers],[SPPR_1986]:[SPPR_symbolic_full_import_as_DC]], 0)),
INDEX(טבלה2[[SPPR_1986]:[SPPR_symbolic_full_import_as_DC]], MATCH('השוואת פקטורים'!$B86, 'PPRs inner'!$A$2:$A$108, 0), MATCH('השוואת פקטורים'!P$6, טבלה2[[#Headers],[SPPR_1986]:[SPPR_symbolic_full_import_as_DC]], 0)) / INDEX(טבלה2[[SPPR_1986]:[SPPR_symbolic_full_import_as_DC]], MATCH('השוואת פקטורים'!$B86, 'PPRs inner'!$A$2:$A$108, 0), MATCH('השוואת פקטורים'!O$6, טבלה2[[#Headers],[SPPR_1986]:[SPPR_symbolic_full_import_as_DC]], 0))
)</f>
        <v>0.12562782547558721</v>
      </c>
      <c r="Q86" s="9">
        <f>IF($B$4="סהכ",
INDEX(טבלה1[[SPPR_1986]:[SPPR_symbolic_full_import_as_DC]], MATCH('השוואת פקטורים'!$B86, 'PPRs all'!$A$2:$A$108, 0), MATCH('השוואת פקטורים'!Q$6, טבלה1[[#Headers],[SPPR_1986]:[SPPR_symbolic_full_import_as_DC]], 0)) / INDEX(טבלה1[[SPPR_1986]:[SPPR_symbolic_full_import_as_DC]], MATCH('השוואת פקטורים'!$B86, 'PPRs all'!$A$2:$A$108, 0), MATCH('השוואת פקטורים'!P$6, טבלה1[[#Headers],[SPPR_1986]:[SPPR_symbolic_full_import_as_DC]], 0)),
INDEX(טבלה2[[SPPR_1986]:[SPPR_symbolic_full_import_as_DC]], MATCH('השוואת פקטורים'!$B86, 'PPRs inner'!$A$2:$A$108, 0), MATCH('השוואת פקטורים'!Q$6, טבלה2[[#Headers],[SPPR_1986]:[SPPR_symbolic_full_import_as_DC]], 0)) / INDEX(טבלה2[[SPPR_1986]:[SPPR_symbolic_full_import_as_DC]], MATCH('השוואת פקטורים'!$B86, 'PPRs inner'!$A$2:$A$108, 0), MATCH('השוואת פקטורים'!P$6, טבלה2[[#Headers],[SPPR_1986]:[SPPR_symbolic_full_import_as_DC]], 0))
)</f>
        <v>0.9999999999996676</v>
      </c>
      <c r="R86" s="9">
        <f>IF($B$4="סהכ",
INDEX(טבלה1[[SPPR_1986]:[SPPR_symbolic_full_import_as_DC]], MATCH('השוואת פקטורים'!$B86, 'PPRs all'!$A$2:$A$108, 0), MATCH('השוואת פקטורים'!R$6, טבלה1[[#Headers],[SPPR_1986]:[SPPR_symbolic_full_import_as_DC]], 0)) / INDEX(טבלה1[[SPPR_1986]:[SPPR_symbolic_full_import_as_DC]], MATCH('השוואת פקטורים'!$B86, 'PPRs all'!$A$2:$A$108, 0), MATCH('השוואת פקטורים'!Q$6, טבלה1[[#Headers],[SPPR_1986]:[SPPR_symbolic_full_import_as_DC]], 0)),
INDEX(טבלה2[[SPPR_1986]:[SPPR_symbolic_full_import_as_DC]], MATCH('השוואת פקטורים'!$B86, 'PPRs inner'!$A$2:$A$108, 0), MATCH('השוואת פקטורים'!R$6, טבלה2[[#Headers],[SPPR_1986]:[SPPR_symbolic_full_import_as_DC]], 0)) / INDEX(טבלה2[[SPPR_1986]:[SPPR_symbolic_full_import_as_DC]], MATCH('השוואת פקטורים'!$B86, 'PPRs inner'!$A$2:$A$108, 0), MATCH('השוואת פקטורים'!Q$6, טבלה2[[#Headers],[SPPR_1986]:[SPPR_symbolic_full_import_as_DC]], 0))
)</f>
        <v>1.0001207584948824</v>
      </c>
      <c r="S86" s="9">
        <f>IF($B$4="סהכ",
INDEX(טבלה1[[SPPR_1986]:[SPPR_symbolic_full_import_as_DC]], MATCH('השוואת פקטורים'!$B86, 'PPRs all'!$A$2:$A$108, 0), MATCH('השוואת פקטורים'!S$6, טבלה1[[#Headers],[SPPR_1986]:[SPPR_symbolic_full_import_as_DC]], 0)) / INDEX(טבלה1[[SPPR_1986]:[SPPR_symbolic_full_import_as_DC]], MATCH('השוואת פקטורים'!$B86, 'PPRs all'!$A$2:$A$108, 0), MATCH('השוואת פקטורים'!R$6, טבלה1[[#Headers],[SPPR_1986]:[SPPR_symbolic_full_import_as_DC]], 0)),
INDEX(טבלה2[[SPPR_1986]:[SPPR_symbolic_full_import_as_DC]], MATCH('השוואת פקטורים'!$B86, 'PPRs inner'!$A$2:$A$108, 0), MATCH('השוואת פקטורים'!S$6, טבלה2[[#Headers],[SPPR_1986]:[SPPR_symbolic_full_import_as_DC]], 0)) / INDEX(טבלה2[[SPPR_1986]:[SPPR_symbolic_full_import_as_DC]], MATCH('השוואת פקטורים'!$B86, 'PPRs inner'!$A$2:$A$108, 0), MATCH('השוואת פקטורים'!R$6, טבלה2[[#Headers],[SPPR_1986]:[SPPR_symbolic_full_import_as_DC]], 0))
)</f>
        <v>0.99987925608597084</v>
      </c>
      <c r="T86" s="9">
        <f>IF($B$4="סהכ",
INDEX(טבלה1[[SPPR_1986]:[SPPR_symbolic_full_import_as_DC]], MATCH('השוואת פקטורים'!$B86, 'PPRs all'!$A$2:$A$108, 0), MATCH('השוואת פקטורים'!T$6, טבלה1[[#Headers],[SPPR_1986]:[SPPR_symbolic_full_import_as_DC]], 0)) / INDEX(טבלה1[[SPPR_1986]:[SPPR_symbolic_full_import_as_DC]], MATCH('השוואת פקטורים'!$B86, 'PPRs all'!$A$2:$A$108, 0), MATCH('השוואת פקטורים'!S$6, טבלה1[[#Headers],[SPPR_1986]:[SPPR_symbolic_full_import_as_DC]], 0)),
INDEX(טבלה2[[SPPR_1986]:[SPPR_symbolic_full_import_as_DC]], MATCH('השוואת פקטורים'!$B86, 'PPRs inner'!$A$2:$A$108, 0), MATCH('השוואת פקטורים'!T$6, טבלה2[[#Headers],[SPPR_1986]:[SPPR_symbolic_full_import_as_DC]], 0)) / INDEX(טבלה2[[SPPR_1986]:[SPPR_symbolic_full_import_as_DC]], MATCH('השוואת פקטורים'!$B86, 'PPRs inner'!$A$2:$A$108, 0), MATCH('השוואת פקטורים'!S$6, טבלה2[[#Headers],[SPPR_1986]:[SPPR_symbolic_full_import_as_DC]], 0))
)</f>
        <v>1.0001207584948824</v>
      </c>
      <c r="U86" s="9">
        <f>IF($B$4="סהכ",
INDEX(טבלה1[[SPPR_1986]:[SPPR_symbolic_full_import_as_DC]], MATCH('השוואת פקטורים'!$B86, 'PPRs all'!$A$2:$A$108, 0), MATCH('השוואת פקטורים'!U$6, טבלה1[[#Headers],[SPPR_1986]:[SPPR_symbolic_full_import_as_DC]], 0)) / INDEX(טבלה1[[SPPR_1986]:[SPPR_symbolic_full_import_as_DC]], MATCH('השוואת פקטורים'!$B86, 'PPRs all'!$A$2:$A$108, 0), MATCH('השוואת פקטורים'!T$6, טבלה1[[#Headers],[SPPR_1986]:[SPPR_symbolic_full_import_as_DC]], 0)),
INDEX(טבלה2[[SPPR_1986]:[SPPR_symbolic_full_import_as_DC]], MATCH('השוואת פקטורים'!$B86, 'PPRs inner'!$A$2:$A$108, 0), MATCH('השוואת פקטורים'!U$6, טבלה2[[#Headers],[SPPR_1986]:[SPPR_symbolic_full_import_as_DC]], 0)) / INDEX(טבלה2[[SPPR_1986]:[SPPR_symbolic_full_import_as_DC]], MATCH('השוואת פקטורים'!$B86, 'PPRs inner'!$A$2:$A$108, 0), MATCH('השוואת פקטורים'!T$6, טבלה2[[#Headers],[SPPR_1986]:[SPPR_symbolic_full_import_as_DC]], 0))
)</f>
        <v>0.99987925608630324</v>
      </c>
      <c r="V86" s="9"/>
      <c r="W86" s="9"/>
      <c r="X86" s="14"/>
      <c r="Y86" s="14"/>
      <c r="Z86" s="15">
        <f t="shared" si="6"/>
        <v>2.190181788133688</v>
      </c>
    </row>
    <row r="87" spans="2:26" x14ac:dyDescent="0.3">
      <c r="B87" s="6" t="s">
        <v>101</v>
      </c>
      <c r="C87" s="12" t="b">
        <v>1</v>
      </c>
      <c r="D87" s="12" t="b">
        <v>0</v>
      </c>
      <c r="E87" s="12" t="b">
        <v>1</v>
      </c>
      <c r="F87" s="12" t="b">
        <f t="shared" si="5"/>
        <v>0</v>
      </c>
      <c r="G87" s="7" t="b">
        <f>ABS(INDEX(טבלה5[[SPPR_1986]:[SPPR_symbolic_full_import_as_DC]],MATCH('השוואת פקטורים'!$B87,טבלה5[עמודה1],0),MATCH($C$4,טבלה5[[#Headers],[SPPR_1986]:[SPPR_symbolic_full_import_as_DC]],0))) &lt; 5</f>
        <v>1</v>
      </c>
      <c r="H87" s="7" t="b">
        <f>INDEX(טבלה3[[SPPR_1986]:[SPPR_symbolic_full_import_as_DC]],MATCH('השוואת פקטורים'!$B87,טבלה3[עמודה1],0),MATCH($C$4,טבלה3[[#Headers],[SPPR_1986]:[SPPR_symbolic_full_import_as_DC]],0))</f>
        <v>1</v>
      </c>
      <c r="I87" s="7" t="b">
        <f t="shared" si="4"/>
        <v>0</v>
      </c>
      <c r="J87" s="13"/>
      <c r="K87" s="9">
        <f>IF($B$4="סהכ",
INDEX(טבלה1[[SPPR_1986]:[SPPR_symbolic_full_import_as_DC]], MATCH('השוואת פקטורים'!$B87, 'PPRs all'!$A$2:$A$108, 0), MATCH('השוואת פקטורים'!K$6, טבלה1[[#Headers],[SPPR_1986]:[SPPR_symbolic_full_import_as_DC]], 0)) / INDEX(טבלה1[[SPPR_1986]:[SPPR_symbolic_full_import_as_DC]], MATCH('השוואת פקטורים'!$B87, 'PPRs all'!$A$2:$A$108, 0), MATCH('השוואת פקטורים'!J$6, טבלה1[[#Headers],[SPPR_1986]:[SPPR_symbolic_full_import_as_DC]], 0)),
INDEX(טבלה2[[SPPR_1986]:[SPPR_symbolic_full_import_as_DC]], MATCH('השוואת פקטורים'!$B87, 'PPRs inner'!$A$2:$A$108, 0), MATCH('השוואת פקטורים'!K$6, טבלה2[[#Headers],[SPPR_1986]:[SPPR_symbolic_full_import_as_DC]], 0)) / INDEX(טבלה2[[SPPR_1986]:[SPPR_symbolic_full_import_as_DC]], MATCH('השוואת פקטורים'!$B87, 'PPRs inner'!$A$2:$A$108, 0), MATCH('השוואת פקטורים'!J$6, טבלה2[[#Headers],[SPPR_1986]:[SPPR_symbolic_full_import_as_DC]], 0))
)</f>
        <v>0.93229829468080438</v>
      </c>
      <c r="L87" s="9">
        <f>IF($B$4="סהכ",
INDEX(טבלה1[[SPPR_1986]:[SPPR_symbolic_full_import_as_DC]], MATCH('השוואת פקטורים'!$B87, 'PPRs all'!$A$2:$A$108, 0), MATCH('השוואת פקטורים'!L$6, טבלה1[[#Headers],[SPPR_1986]:[SPPR_symbolic_full_import_as_DC]], 0)) / INDEX(טבלה1[[SPPR_1986]:[SPPR_symbolic_full_import_as_DC]], MATCH('השוואת פקטורים'!$B87, 'PPRs all'!$A$2:$A$108, 0), MATCH('השוואת פקטורים'!K$6, טבלה1[[#Headers],[SPPR_1986]:[SPPR_symbolic_full_import_as_DC]], 0)),
INDEX(טבלה2[[SPPR_1986]:[SPPR_symbolic_full_import_as_DC]], MATCH('השוואת פקטורים'!$B87, 'PPRs inner'!$A$2:$A$108, 0), MATCH('השוואת פקטורים'!L$6, טבלה2[[#Headers],[SPPR_1986]:[SPPR_symbolic_full_import_as_DC]], 0)) / INDEX(טבלה2[[SPPR_1986]:[SPPR_symbolic_full_import_as_DC]], MATCH('השוואת פקטורים'!$B87, 'PPRs inner'!$A$2:$A$108, 0), MATCH('השוואת פקטורים'!K$6, טבלה2[[#Headers],[SPPR_1986]:[SPPR_symbolic_full_import_as_DC]], 0))
)</f>
        <v>6.8267812552360239</v>
      </c>
      <c r="M87" s="9">
        <f>IF($B$4="סהכ",
INDEX(טבלה1[[SPPR_1986]:[SPPR_symbolic_full_import_as_DC]], MATCH('השוואת פקטורים'!$B87, 'PPRs all'!$A$2:$A$108, 0), MATCH('השוואת פקטורים'!M$6, טבלה1[[#Headers],[SPPR_1986]:[SPPR_symbolic_full_import_as_DC]], 0)) / INDEX(טבלה1[[SPPR_1986]:[SPPR_symbolic_full_import_as_DC]], MATCH('השוואת פקטורים'!$B87, 'PPRs all'!$A$2:$A$108, 0), MATCH('השוואת פקטורים'!L$6, טבלה1[[#Headers],[SPPR_1986]:[SPPR_symbolic_full_import_as_DC]], 0)),
INDEX(טבלה2[[SPPR_1986]:[SPPR_symbolic_full_import_as_DC]], MATCH('השוואת פקטורים'!$B87, 'PPRs inner'!$A$2:$A$108, 0), MATCH('השוואת פקטורים'!M$6, טבלה2[[#Headers],[SPPR_1986]:[SPPR_symbolic_full_import_as_DC]], 0)) / INDEX(טבלה2[[SPPR_1986]:[SPPR_symbolic_full_import_as_DC]], MATCH('השוואת פקטורים'!$B87, 'PPRs inner'!$A$2:$A$108, 0), MATCH('השוואת פקטורים'!L$6, טבלה2[[#Headers],[SPPR_1986]:[SPPR_symbolic_full_import_as_DC]], 0))
)</f>
        <v>5.4776747433867082E-2</v>
      </c>
      <c r="N87" s="9">
        <f>IF($B$4="סהכ",
INDEX(טבלה1[[SPPR_1986]:[SPPR_symbolic_full_import_as_DC]], MATCH('השוואת פקטורים'!$B87, 'PPRs all'!$A$2:$A$108, 0), MATCH('השוואת פקטורים'!N$6, טבלה1[[#Headers],[SPPR_1986]:[SPPR_symbolic_full_import_as_DC]], 0)) / INDEX(טבלה1[[SPPR_1986]:[SPPR_symbolic_full_import_as_DC]], MATCH('השוואת פקטורים'!$B87, 'PPRs all'!$A$2:$A$108, 0), MATCH('השוואת פקטורים'!M$6, טבלה1[[#Headers],[SPPR_1986]:[SPPR_symbolic_full_import_as_DC]], 0)),
INDEX(טבלה2[[SPPR_1986]:[SPPR_symbolic_full_import_as_DC]], MATCH('השוואת פקטורים'!$B87, 'PPRs inner'!$A$2:$A$108, 0), MATCH('השוואת פקטורים'!N$6, טבלה2[[#Headers],[SPPR_1986]:[SPPR_symbolic_full_import_as_DC]], 0)) / INDEX(טבלה2[[SPPR_1986]:[SPPR_symbolic_full_import_as_DC]], MATCH('השוואת פקטורים'!$B87, 'PPRs inner'!$A$2:$A$108, 0), MATCH('השוואת פקטורים'!M$6, טבלה2[[#Headers],[SPPR_1986]:[SPPR_symbolic_full_import_as_DC]], 0))
)</f>
        <v>1.5439067718248789</v>
      </c>
      <c r="O87" s="9">
        <f>IF($B$4="סהכ",
INDEX(טבלה1[[SPPR_1986]:[SPPR_symbolic_full_import_as_DC]], MATCH('השוואת פקטורים'!$B87, 'PPRs all'!$A$2:$A$108, 0), MATCH('השוואת פקטורים'!O$6, טבלה1[[#Headers],[SPPR_1986]:[SPPR_symbolic_full_import_as_DC]], 0)) / INDEX(טבלה1[[SPPR_1986]:[SPPR_symbolic_full_import_as_DC]], MATCH('השוואת פקטורים'!$B87, 'PPRs all'!$A$2:$A$108, 0), MATCH('השוואת פקטורים'!N$6, טבלה1[[#Headers],[SPPR_1986]:[SPPR_symbolic_full_import_as_DC]], 0)),
INDEX(טבלה2[[SPPR_1986]:[SPPR_symbolic_full_import_as_DC]], MATCH('השוואת פקטורים'!$B87, 'PPRs inner'!$A$2:$A$108, 0), MATCH('השוואת פקטורים'!O$6, טבלה2[[#Headers],[SPPR_1986]:[SPPR_symbolic_full_import_as_DC]], 0)) / INDEX(טבלה2[[SPPR_1986]:[SPPR_symbolic_full_import_as_DC]], MATCH('השוואת פקטורים'!$B87, 'PPRs inner'!$A$2:$A$108, 0), MATCH('השוואת פקטורים'!N$6, טבלה2[[#Headers],[SPPR_1986]:[SPPR_symbolic_full_import_as_DC]], 0))
)</f>
        <v>1.000000000000038</v>
      </c>
      <c r="P87" s="9">
        <f>IF($B$4="סהכ",
INDEX(טבלה1[[SPPR_1986]:[SPPR_symbolic_full_import_as_DC]], MATCH('השוואת פקטורים'!$B87, 'PPRs all'!$A$2:$A$108, 0), MATCH('השוואת פקטורים'!P$6, טבלה1[[#Headers],[SPPR_1986]:[SPPR_symbolic_full_import_as_DC]], 0)) / INDEX(טבלה1[[SPPR_1986]:[SPPR_symbolic_full_import_as_DC]], MATCH('השוואת פקטורים'!$B87, 'PPRs all'!$A$2:$A$108, 0), MATCH('השוואת פקטורים'!O$6, טבלה1[[#Headers],[SPPR_1986]:[SPPR_symbolic_full_import_as_DC]], 0)),
INDEX(טבלה2[[SPPR_1986]:[SPPR_symbolic_full_import_as_DC]], MATCH('השוואת פקטורים'!$B87, 'PPRs inner'!$A$2:$A$108, 0), MATCH('השוואת פקטורים'!P$6, טבלה2[[#Headers],[SPPR_1986]:[SPPR_symbolic_full_import_as_DC]], 0)) / INDEX(טבלה2[[SPPR_1986]:[SPPR_symbolic_full_import_as_DC]], MATCH('השוואת פקטורים'!$B87, 'PPRs inner'!$A$2:$A$108, 0), MATCH('השוואת פקטורים'!O$6, טבלה2[[#Headers],[SPPR_1986]:[SPPR_symbolic_full_import_as_DC]], 0))
)</f>
        <v>0.65638104133300679</v>
      </c>
      <c r="Q87" s="9">
        <f>IF($B$4="סהכ",
INDEX(טבלה1[[SPPR_1986]:[SPPR_symbolic_full_import_as_DC]], MATCH('השוואת פקטורים'!$B87, 'PPRs all'!$A$2:$A$108, 0), MATCH('השוואת פקטורים'!Q$6, טבלה1[[#Headers],[SPPR_1986]:[SPPR_symbolic_full_import_as_DC]], 0)) / INDEX(טבלה1[[SPPR_1986]:[SPPR_symbolic_full_import_as_DC]], MATCH('השוואת פקטורים'!$B87, 'PPRs all'!$A$2:$A$108, 0), MATCH('השוואת פקטורים'!P$6, טבלה1[[#Headers],[SPPR_1986]:[SPPR_symbolic_full_import_as_DC]], 0)),
INDEX(טבלה2[[SPPR_1986]:[SPPR_symbolic_full_import_as_DC]], MATCH('השוואת פקטורים'!$B87, 'PPRs inner'!$A$2:$A$108, 0), MATCH('השוואת פקטורים'!Q$6, טבלה2[[#Headers],[SPPR_1986]:[SPPR_symbolic_full_import_as_DC]], 0)) / INDEX(טבלה2[[SPPR_1986]:[SPPR_symbolic_full_import_as_DC]], MATCH('השוואת פקטורים'!$B87, 'PPRs inner'!$A$2:$A$108, 0), MATCH('השוואת פקטורים'!P$6, טבלה2[[#Headers],[SPPR_1986]:[SPPR_symbolic_full_import_as_DC]], 0))
)</f>
        <v>0.99999999999997546</v>
      </c>
      <c r="R87" s="9">
        <f>IF($B$4="סהכ",
INDEX(טבלה1[[SPPR_1986]:[SPPR_symbolic_full_import_as_DC]], MATCH('השוואת פקטורים'!$B87, 'PPRs all'!$A$2:$A$108, 0), MATCH('השוואת פקטורים'!R$6, טבלה1[[#Headers],[SPPR_1986]:[SPPR_symbolic_full_import_as_DC]], 0)) / INDEX(טבלה1[[SPPR_1986]:[SPPR_symbolic_full_import_as_DC]], MATCH('השוואת פקטורים'!$B87, 'PPRs all'!$A$2:$A$108, 0), MATCH('השוואת פקטורים'!Q$6, טבלה1[[#Headers],[SPPR_1986]:[SPPR_symbolic_full_import_as_DC]], 0)),
INDEX(טבלה2[[SPPR_1986]:[SPPR_symbolic_full_import_as_DC]], MATCH('השוואת פקטורים'!$B87, 'PPRs inner'!$A$2:$A$108, 0), MATCH('השוואת פקטורים'!R$6, טבלה2[[#Headers],[SPPR_1986]:[SPPR_symbolic_full_import_as_DC]], 0)) / INDEX(טבלה2[[SPPR_1986]:[SPPR_symbolic_full_import_as_DC]], MATCH('השוואת פקטורים'!$B87, 'PPRs inner'!$A$2:$A$108, 0), MATCH('השוואת פקטורים'!Q$6, טבלה2[[#Headers],[SPPR_1986]:[SPPR_symbolic_full_import_as_DC]], 0))
)</f>
        <v>1.0001029105783958</v>
      </c>
      <c r="S87" s="9">
        <f>IF($B$4="סהכ",
INDEX(טבלה1[[SPPR_1986]:[SPPR_symbolic_full_import_as_DC]], MATCH('השוואת פקטורים'!$B87, 'PPRs all'!$A$2:$A$108, 0), MATCH('השוואת פקטורים'!S$6, טבלה1[[#Headers],[SPPR_1986]:[SPPR_symbolic_full_import_as_DC]], 0)) / INDEX(טבלה1[[SPPR_1986]:[SPPR_symbolic_full_import_as_DC]], MATCH('השוואת פקטורים'!$B87, 'PPRs all'!$A$2:$A$108, 0), MATCH('השוואת פקטורים'!R$6, טבלה1[[#Headers],[SPPR_1986]:[SPPR_symbolic_full_import_as_DC]], 0)),
INDEX(טבלה2[[SPPR_1986]:[SPPR_symbolic_full_import_as_DC]], MATCH('השוואת פקטורים'!$B87, 'PPRs inner'!$A$2:$A$108, 0), MATCH('השוואת פקטורים'!S$6, טבלה2[[#Headers],[SPPR_1986]:[SPPR_symbolic_full_import_as_DC]], 0)) / INDEX(טבלה2[[SPPR_1986]:[SPPR_symbolic_full_import_as_DC]], MATCH('השוואת פקטורים'!$B87, 'PPRs inner'!$A$2:$A$108, 0), MATCH('השוואת פקטורים'!R$6, טבלה2[[#Headers],[SPPR_1986]:[SPPR_symbolic_full_import_as_DC]], 0))
)</f>
        <v>0.99989710001110155</v>
      </c>
      <c r="T87" s="9">
        <f>IF($B$4="סהכ",
INDEX(טבלה1[[SPPR_1986]:[SPPR_symbolic_full_import_as_DC]], MATCH('השוואת פקטורים'!$B87, 'PPRs all'!$A$2:$A$108, 0), MATCH('השוואת פקטורים'!T$6, טבלה1[[#Headers],[SPPR_1986]:[SPPR_symbolic_full_import_as_DC]], 0)) / INDEX(טבלה1[[SPPR_1986]:[SPPR_symbolic_full_import_as_DC]], MATCH('השוואת פקטורים'!$B87, 'PPRs all'!$A$2:$A$108, 0), MATCH('השוואת פקטורים'!S$6, טבלה1[[#Headers],[SPPR_1986]:[SPPR_symbolic_full_import_as_DC]], 0)),
INDEX(טבלה2[[SPPR_1986]:[SPPR_symbolic_full_import_as_DC]], MATCH('השוואת פקטורים'!$B87, 'PPRs inner'!$A$2:$A$108, 0), MATCH('השוואת פקטורים'!T$6, טבלה2[[#Headers],[SPPR_1986]:[SPPR_symbolic_full_import_as_DC]], 0)) / INDEX(טבלה2[[SPPR_1986]:[SPPR_symbolic_full_import_as_DC]], MATCH('השוואת פקטורים'!$B87, 'PPRs inner'!$A$2:$A$108, 0), MATCH('השוואת פקטורים'!S$6, טבלה2[[#Headers],[SPPR_1986]:[SPPR_symbolic_full_import_as_DC]], 0))
)</f>
        <v>1.0001029105783958</v>
      </c>
      <c r="U87" s="9">
        <f>IF($B$4="סהכ",
INDEX(טבלה1[[SPPR_1986]:[SPPR_symbolic_full_import_as_DC]], MATCH('השוואת פקטורים'!$B87, 'PPRs all'!$A$2:$A$108, 0), MATCH('השוואת פקטורים'!U$6, טבלה1[[#Headers],[SPPR_1986]:[SPPR_symbolic_full_import_as_DC]], 0)) / INDEX(טבלה1[[SPPR_1986]:[SPPR_symbolic_full_import_as_DC]], MATCH('השוואת פקטורים'!$B87, 'PPRs all'!$A$2:$A$108, 0), MATCH('השוואת פקטורים'!T$6, טבלה1[[#Headers],[SPPR_1986]:[SPPR_symbolic_full_import_as_DC]], 0)),
INDEX(טבלה2[[SPPR_1986]:[SPPR_symbolic_full_import_as_DC]], MATCH('השוואת פקטורים'!$B87, 'PPRs inner'!$A$2:$A$108, 0), MATCH('השוואת פקטורים'!U$6, טבלה2[[#Headers],[SPPR_1986]:[SPPR_symbolic_full_import_as_DC]], 0)) / INDEX(טבלה2[[SPPR_1986]:[SPPR_symbolic_full_import_as_DC]], MATCH('השוואת פקטורים'!$B87, 'PPRs inner'!$A$2:$A$108, 0), MATCH('השוואת פקטורים'!T$6, טבלה2[[#Headers],[SPPR_1986]:[SPPR_symbolic_full_import_as_DC]], 0))
)</f>
        <v>0.99989710001112619</v>
      </c>
      <c r="V87" s="9"/>
      <c r="W87" s="9"/>
      <c r="X87" s="14"/>
      <c r="Y87" s="14"/>
      <c r="Z87" s="15">
        <f t="shared" si="6"/>
        <v>0.35330047287906607</v>
      </c>
    </row>
    <row r="88" spans="2:26" x14ac:dyDescent="0.3">
      <c r="B88" s="6" t="s">
        <v>102</v>
      </c>
      <c r="C88" s="12" t="b">
        <v>1</v>
      </c>
      <c r="D88" s="12" t="b">
        <v>1</v>
      </c>
      <c r="E88" s="12" t="b">
        <v>1</v>
      </c>
      <c r="F88" s="12" t="b">
        <f t="shared" si="5"/>
        <v>1</v>
      </c>
      <c r="G88" s="7" t="b">
        <f>ABS(INDEX(טבלה5[[SPPR_1986]:[SPPR_symbolic_full_import_as_DC]],MATCH('השוואת פקטורים'!$B88,טבלה5[עמודה1],0),MATCH($C$4,טבלה5[[#Headers],[SPPR_1986]:[SPPR_symbolic_full_import_as_DC]],0))) &lt; 5</f>
        <v>1</v>
      </c>
      <c r="H88" s="7" t="b">
        <f>INDEX(טבלה3[[SPPR_1986]:[SPPR_symbolic_full_import_as_DC]],MATCH('השוואת פקטורים'!$B88,טבלה3[עמודה1],0),MATCH($C$4,טבלה3[[#Headers],[SPPR_1986]:[SPPR_symbolic_full_import_as_DC]],0))</f>
        <v>1</v>
      </c>
      <c r="I88" s="7" t="b">
        <f t="shared" si="4"/>
        <v>1</v>
      </c>
      <c r="J88" s="13"/>
      <c r="K88" s="9">
        <f>IF($B$4="סהכ",
INDEX(טבלה1[[SPPR_1986]:[SPPR_symbolic_full_import_as_DC]], MATCH('השוואת פקטורים'!$B88, 'PPRs all'!$A$2:$A$108, 0), MATCH('השוואת פקטורים'!K$6, טבלה1[[#Headers],[SPPR_1986]:[SPPR_symbolic_full_import_as_DC]], 0)) / INDEX(טבלה1[[SPPR_1986]:[SPPR_symbolic_full_import_as_DC]], MATCH('השוואת פקטורים'!$B88, 'PPRs all'!$A$2:$A$108, 0), MATCH('השוואת פקטורים'!J$6, טבלה1[[#Headers],[SPPR_1986]:[SPPR_symbolic_full_import_as_DC]], 0)),
INDEX(טבלה2[[SPPR_1986]:[SPPR_symbolic_full_import_as_DC]], MATCH('השוואת פקטורים'!$B88, 'PPRs inner'!$A$2:$A$108, 0), MATCH('השוואת פקטורים'!K$6, טבלה2[[#Headers],[SPPR_1986]:[SPPR_symbolic_full_import_as_DC]], 0)) / INDEX(טבלה2[[SPPR_1986]:[SPPR_symbolic_full_import_as_DC]], MATCH('השוואת פקטורים'!$B88, 'PPRs inner'!$A$2:$A$108, 0), MATCH('השוואת פקטורים'!J$6, טבלה2[[#Headers],[SPPR_1986]:[SPPR_symbolic_full_import_as_DC]], 0))
)</f>
        <v>3.5437315364790445E-2</v>
      </c>
      <c r="L88" s="9">
        <f>IF($B$4="סהכ",
INDEX(טבלה1[[SPPR_1986]:[SPPR_symbolic_full_import_as_DC]], MATCH('השוואת פקטורים'!$B88, 'PPRs all'!$A$2:$A$108, 0), MATCH('השוואת פקטורים'!L$6, טבלה1[[#Headers],[SPPR_1986]:[SPPR_symbolic_full_import_as_DC]], 0)) / INDEX(טבלה1[[SPPR_1986]:[SPPR_symbolic_full_import_as_DC]], MATCH('השוואת פקטורים'!$B88, 'PPRs all'!$A$2:$A$108, 0), MATCH('השוואת פקטורים'!K$6, טבלה1[[#Headers],[SPPR_1986]:[SPPR_symbolic_full_import_as_DC]], 0)),
INDEX(טבלה2[[SPPR_1986]:[SPPR_symbolic_full_import_as_DC]], MATCH('השוואת פקטורים'!$B88, 'PPRs inner'!$A$2:$A$108, 0), MATCH('השוואת פקטורים'!L$6, טבלה2[[#Headers],[SPPR_1986]:[SPPR_symbolic_full_import_as_DC]], 0)) / INDEX(טבלה2[[SPPR_1986]:[SPPR_symbolic_full_import_as_DC]], MATCH('השוואת פקטורים'!$B88, 'PPRs inner'!$A$2:$A$108, 0), MATCH('השוואת פקטורים'!K$6, טבלה2[[#Headers],[SPPR_1986]:[SPPR_symbolic_full_import_as_DC]], 0))
)</f>
        <v>1.0850943660632955</v>
      </c>
      <c r="M88" s="9">
        <f>IF($B$4="סהכ",
INDEX(טבלה1[[SPPR_1986]:[SPPR_symbolic_full_import_as_DC]], MATCH('השוואת פקטורים'!$B88, 'PPRs all'!$A$2:$A$108, 0), MATCH('השוואת פקטורים'!M$6, טבלה1[[#Headers],[SPPR_1986]:[SPPR_symbolic_full_import_as_DC]], 0)) / INDEX(טבלה1[[SPPR_1986]:[SPPR_symbolic_full_import_as_DC]], MATCH('השוואת פקטורים'!$B88, 'PPRs all'!$A$2:$A$108, 0), MATCH('השוואת פקטורים'!L$6, טבלה1[[#Headers],[SPPR_1986]:[SPPR_symbolic_full_import_as_DC]], 0)),
INDEX(טבלה2[[SPPR_1986]:[SPPR_symbolic_full_import_as_DC]], MATCH('השוואת פקטורים'!$B88, 'PPRs inner'!$A$2:$A$108, 0), MATCH('השוואת פקטורים'!M$6, טבלה2[[#Headers],[SPPR_1986]:[SPPR_symbolic_full_import_as_DC]], 0)) / INDEX(טבלה2[[SPPR_1986]:[SPPR_symbolic_full_import_as_DC]], MATCH('השוואת פקטורים'!$B88, 'PPRs inner'!$A$2:$A$108, 0), MATCH('השוואת פקטורים'!L$6, טבלה2[[#Headers],[SPPR_1986]:[SPPR_symbolic_full_import_as_DC]], 0))
)</f>
        <v>10.095116383112758</v>
      </c>
      <c r="N88" s="9">
        <f>IF($B$4="סהכ",
INDEX(טבלה1[[SPPR_1986]:[SPPR_symbolic_full_import_as_DC]], MATCH('השוואת פקטורים'!$B88, 'PPRs all'!$A$2:$A$108, 0), MATCH('השוואת פקטורים'!N$6, טבלה1[[#Headers],[SPPR_1986]:[SPPR_symbolic_full_import_as_DC]], 0)) / INDEX(טבלה1[[SPPR_1986]:[SPPR_symbolic_full_import_as_DC]], MATCH('השוואת פקטורים'!$B88, 'PPRs all'!$A$2:$A$108, 0), MATCH('השוואת פקטורים'!M$6, טבלה1[[#Headers],[SPPR_1986]:[SPPR_symbolic_full_import_as_DC]], 0)),
INDEX(טבלה2[[SPPR_1986]:[SPPR_symbolic_full_import_as_DC]], MATCH('השוואת פקטורים'!$B88, 'PPRs inner'!$A$2:$A$108, 0), MATCH('השוואת פקטורים'!N$6, טבלה2[[#Headers],[SPPR_1986]:[SPPR_symbolic_full_import_as_DC]], 0)) / INDEX(טבלה2[[SPPR_1986]:[SPPR_symbolic_full_import_as_DC]], MATCH('השוואת פקטורים'!$B88, 'PPRs inner'!$A$2:$A$108, 0), MATCH('השוואת פקטורים'!M$6, טבלה2[[#Headers],[SPPR_1986]:[SPPR_symbolic_full_import_as_DC]], 0))
)</f>
        <v>1.6249272044635257</v>
      </c>
      <c r="O88" s="9">
        <f>IF($B$4="סהכ",
INDEX(טבלה1[[SPPR_1986]:[SPPR_symbolic_full_import_as_DC]], MATCH('השוואת פקטורים'!$B88, 'PPRs all'!$A$2:$A$108, 0), MATCH('השוואת פקטורים'!O$6, טבלה1[[#Headers],[SPPR_1986]:[SPPR_symbolic_full_import_as_DC]], 0)) / INDEX(טבלה1[[SPPR_1986]:[SPPR_symbolic_full_import_as_DC]], MATCH('השוואת פקטורים'!$B88, 'PPRs all'!$A$2:$A$108, 0), MATCH('השוואת פקטורים'!N$6, טבלה1[[#Headers],[SPPR_1986]:[SPPR_symbolic_full_import_as_DC]], 0)),
INDEX(טבלה2[[SPPR_1986]:[SPPR_symbolic_full_import_as_DC]], MATCH('השוואת פקטורים'!$B88, 'PPRs inner'!$A$2:$A$108, 0), MATCH('השוואת פקטורים'!O$6, טבלה2[[#Headers],[SPPR_1986]:[SPPR_symbolic_full_import_as_DC]], 0)) / INDEX(טבלה2[[SPPR_1986]:[SPPR_symbolic_full_import_as_DC]], MATCH('השוואת פקטורים'!$B88, 'PPRs inner'!$A$2:$A$108, 0), MATCH('השוואת פקטורים'!N$6, טבלה2[[#Headers],[SPPR_1986]:[SPPR_symbolic_full_import_as_DC]], 0))
)</f>
        <v>0.99999999999999845</v>
      </c>
      <c r="P88" s="9">
        <f>IF($B$4="סהכ",
INDEX(טבלה1[[SPPR_1986]:[SPPR_symbolic_full_import_as_DC]], MATCH('השוואת פקטורים'!$B88, 'PPRs all'!$A$2:$A$108, 0), MATCH('השוואת פקטורים'!P$6, טבלה1[[#Headers],[SPPR_1986]:[SPPR_symbolic_full_import_as_DC]], 0)) / INDEX(טבלה1[[SPPR_1986]:[SPPR_symbolic_full_import_as_DC]], MATCH('השוואת פקטורים'!$B88, 'PPRs all'!$A$2:$A$108, 0), MATCH('השוואת פקטורים'!O$6, טבלה1[[#Headers],[SPPR_1986]:[SPPR_symbolic_full_import_as_DC]], 0)),
INDEX(טבלה2[[SPPR_1986]:[SPPR_symbolic_full_import_as_DC]], MATCH('השוואת פקטורים'!$B88, 'PPRs inner'!$A$2:$A$108, 0), MATCH('השוואת פקטורים'!P$6, טבלה2[[#Headers],[SPPR_1986]:[SPPR_symbolic_full_import_as_DC]], 0)) / INDEX(טבלה2[[SPPR_1986]:[SPPR_symbolic_full_import_as_DC]], MATCH('השוואת פקטורים'!$B88, 'PPRs inner'!$A$2:$A$108, 0), MATCH('השוואת פקטורים'!O$6, טבלה2[[#Headers],[SPPR_1986]:[SPPR_symbolic_full_import_as_DC]], 0))
)</f>
        <v>0.31798064194192699</v>
      </c>
      <c r="Q88" s="9">
        <f>IF($B$4="סהכ",
INDEX(טבלה1[[SPPR_1986]:[SPPR_symbolic_full_import_as_DC]], MATCH('השוואת פקטורים'!$B88, 'PPRs all'!$A$2:$A$108, 0), MATCH('השוואת פקטורים'!Q$6, טבלה1[[#Headers],[SPPR_1986]:[SPPR_symbolic_full_import_as_DC]], 0)) / INDEX(טבלה1[[SPPR_1986]:[SPPR_symbolic_full_import_as_DC]], MATCH('השוואת פקטורים'!$B88, 'PPRs all'!$A$2:$A$108, 0), MATCH('השוואת פקטורים'!P$6, טבלה1[[#Headers],[SPPR_1986]:[SPPR_symbolic_full_import_as_DC]], 0)),
INDEX(טבלה2[[SPPR_1986]:[SPPR_symbolic_full_import_as_DC]], MATCH('השוואת פקטורים'!$B88, 'PPRs inner'!$A$2:$A$108, 0), MATCH('השוואת פקטורים'!Q$6, טבלה2[[#Headers],[SPPR_1986]:[SPPR_symbolic_full_import_as_DC]], 0)) / INDEX(טבלה2[[SPPR_1986]:[SPPR_symbolic_full_import_as_DC]], MATCH('השוואת פקטורים'!$B88, 'PPRs inner'!$A$2:$A$108, 0), MATCH('השוואת פקטורים'!P$6, טבלה2[[#Headers],[SPPR_1986]:[SPPR_symbolic_full_import_as_DC]], 0))
)</f>
        <v>1.0000000000000009</v>
      </c>
      <c r="R88" s="9">
        <f>IF($B$4="סהכ",
INDEX(טבלה1[[SPPR_1986]:[SPPR_symbolic_full_import_as_DC]], MATCH('השוואת פקטורים'!$B88, 'PPRs all'!$A$2:$A$108, 0), MATCH('השוואת פקטורים'!R$6, טבלה1[[#Headers],[SPPR_1986]:[SPPR_symbolic_full_import_as_DC]], 0)) / INDEX(טבלה1[[SPPR_1986]:[SPPR_symbolic_full_import_as_DC]], MATCH('השוואת פקטורים'!$B88, 'PPRs all'!$A$2:$A$108, 0), MATCH('השוואת פקטורים'!Q$6, טבלה1[[#Headers],[SPPR_1986]:[SPPR_symbolic_full_import_as_DC]], 0)),
INDEX(טבלה2[[SPPR_1986]:[SPPR_symbolic_full_import_as_DC]], MATCH('השוואת פקטורים'!$B88, 'PPRs inner'!$A$2:$A$108, 0), MATCH('השוואת פקטורים'!R$6, טבלה2[[#Headers],[SPPR_1986]:[SPPR_symbolic_full_import_as_DC]], 0)) / INDEX(טבלה2[[SPPR_1986]:[SPPR_symbolic_full_import_as_DC]], MATCH('השוואת פקטורים'!$B88, 'PPRs inner'!$A$2:$A$108, 0), MATCH('השוואת פקטורים'!Q$6, טבלה2[[#Headers],[SPPR_1986]:[SPPR_symbolic_full_import_as_DC]], 0))
)</f>
        <v>1</v>
      </c>
      <c r="S88" s="9">
        <f>IF($B$4="סהכ",
INDEX(טבלה1[[SPPR_1986]:[SPPR_symbolic_full_import_as_DC]], MATCH('השוואת פקטורים'!$B88, 'PPRs all'!$A$2:$A$108, 0), MATCH('השוואת פקטורים'!S$6, טבלה1[[#Headers],[SPPR_1986]:[SPPR_symbolic_full_import_as_DC]], 0)) / INDEX(טבלה1[[SPPR_1986]:[SPPR_symbolic_full_import_as_DC]], MATCH('השוואת פקטורים'!$B88, 'PPRs all'!$A$2:$A$108, 0), MATCH('השוואת פקטורים'!R$6, טבלה1[[#Headers],[SPPR_1986]:[SPPR_symbolic_full_import_as_DC]], 0)),
INDEX(טבלה2[[SPPR_1986]:[SPPR_symbolic_full_import_as_DC]], MATCH('השוואת פקטורים'!$B88, 'PPRs inner'!$A$2:$A$108, 0), MATCH('השוואת פקטורים'!S$6, טבלה2[[#Headers],[SPPR_1986]:[SPPR_symbolic_full_import_as_DC]], 0)) / INDEX(טבלה2[[SPPR_1986]:[SPPR_symbolic_full_import_as_DC]], MATCH('השוואת פקטורים'!$B88, 'PPRs inner'!$A$2:$A$108, 0), MATCH('השוואת פקטורים'!R$6, טבלה2[[#Headers],[SPPR_1986]:[SPPR_symbolic_full_import_as_DC]], 0))
)</f>
        <v>1</v>
      </c>
      <c r="T88" s="9">
        <f>IF($B$4="סהכ",
INDEX(טבלה1[[SPPR_1986]:[SPPR_symbolic_full_import_as_DC]], MATCH('השוואת פקטורים'!$B88, 'PPRs all'!$A$2:$A$108, 0), MATCH('השוואת פקטורים'!T$6, טבלה1[[#Headers],[SPPR_1986]:[SPPR_symbolic_full_import_as_DC]], 0)) / INDEX(טבלה1[[SPPR_1986]:[SPPR_symbolic_full_import_as_DC]], MATCH('השוואת פקטורים'!$B88, 'PPRs all'!$A$2:$A$108, 0), MATCH('השוואת פקטורים'!S$6, טבלה1[[#Headers],[SPPR_1986]:[SPPR_symbolic_full_import_as_DC]], 0)),
INDEX(טבלה2[[SPPR_1986]:[SPPR_symbolic_full_import_as_DC]], MATCH('השוואת פקטורים'!$B88, 'PPRs inner'!$A$2:$A$108, 0), MATCH('השוואת פקטורים'!T$6, טבלה2[[#Headers],[SPPR_1986]:[SPPR_symbolic_full_import_as_DC]], 0)) / INDEX(טבלה2[[SPPR_1986]:[SPPR_symbolic_full_import_as_DC]], MATCH('השוואת פקטורים'!$B88, 'PPRs inner'!$A$2:$A$108, 0), MATCH('השוואת פקטורים'!S$6, טבלה2[[#Headers],[SPPR_1986]:[SPPR_symbolic_full_import_as_DC]], 0))
)</f>
        <v>1</v>
      </c>
      <c r="U88" s="9">
        <f>IF($B$4="סהכ",
INDEX(טבלה1[[SPPR_1986]:[SPPR_symbolic_full_import_as_DC]], MATCH('השוואת פקטורים'!$B88, 'PPRs all'!$A$2:$A$108, 0), MATCH('השוואת פקטורים'!U$6, טבלה1[[#Headers],[SPPR_1986]:[SPPR_symbolic_full_import_as_DC]], 0)) / INDEX(טבלה1[[SPPR_1986]:[SPPR_symbolic_full_import_as_DC]], MATCH('השוואת פקטורים'!$B88, 'PPRs all'!$A$2:$A$108, 0), MATCH('השוואת פקטורים'!T$6, טבלה1[[#Headers],[SPPR_1986]:[SPPR_symbolic_full_import_as_DC]], 0)),
INDEX(טבלה2[[SPPR_1986]:[SPPR_symbolic_full_import_as_DC]], MATCH('השוואת פקטורים'!$B88, 'PPRs inner'!$A$2:$A$108, 0), MATCH('השוואת פקטורים'!U$6, טבלה2[[#Headers],[SPPR_1986]:[SPPR_symbolic_full_import_as_DC]], 0)) / INDEX(טבלה2[[SPPR_1986]:[SPPR_symbolic_full_import_as_DC]], MATCH('השוואת פקטורים'!$B88, 'PPRs inner'!$A$2:$A$108, 0), MATCH('השוואת פקטורים'!T$6, טבלה2[[#Headers],[SPPR_1986]:[SPPR_symbolic_full_import_as_DC]], 0))
)</f>
        <v>0.99999999999999911</v>
      </c>
      <c r="V88" s="9"/>
      <c r="W88" s="9"/>
      <c r="X88" s="14"/>
      <c r="Y88" s="14"/>
      <c r="Z88" s="15">
        <f t="shared" si="6"/>
        <v>0.20057381897186102</v>
      </c>
    </row>
    <row r="89" spans="2:26" x14ac:dyDescent="0.3">
      <c r="B89" s="6" t="s">
        <v>103</v>
      </c>
      <c r="C89" s="12" t="b">
        <v>1</v>
      </c>
      <c r="D89" s="12" t="b">
        <v>0</v>
      </c>
      <c r="E89" s="12" t="b">
        <v>1</v>
      </c>
      <c r="F89" s="12" t="b">
        <f t="shared" si="5"/>
        <v>0</v>
      </c>
      <c r="G89" s="7" t="b">
        <f>ABS(INDEX(טבלה5[[SPPR_1986]:[SPPR_symbolic_full_import_as_DC]],MATCH('השוואת פקטורים'!$B89,טבלה5[עמודה1],0),MATCH($C$4,טבלה5[[#Headers],[SPPR_1986]:[SPPR_symbolic_full_import_as_DC]],0))) &lt; 5</f>
        <v>1</v>
      </c>
      <c r="H89" s="7" t="b">
        <f>INDEX(טבלה3[[SPPR_1986]:[SPPR_symbolic_full_import_as_DC]],MATCH('השוואת פקטורים'!$B89,טבלה3[עמודה1],0),MATCH($C$4,טבלה3[[#Headers],[SPPR_1986]:[SPPR_symbolic_full_import_as_DC]],0))</f>
        <v>1</v>
      </c>
      <c r="I89" s="7" t="b">
        <f t="shared" si="4"/>
        <v>0</v>
      </c>
      <c r="J89" s="13"/>
      <c r="K89" s="9">
        <f>IF($B$4="סהכ",
INDEX(טבלה1[[SPPR_1986]:[SPPR_symbolic_full_import_as_DC]], MATCH('השוואת פקטורים'!$B89, 'PPRs all'!$A$2:$A$108, 0), MATCH('השוואת פקטורים'!K$6, טבלה1[[#Headers],[SPPR_1986]:[SPPR_symbolic_full_import_as_DC]], 0)) / INDEX(טבלה1[[SPPR_1986]:[SPPR_symbolic_full_import_as_DC]], MATCH('השוואת פקטורים'!$B89, 'PPRs all'!$A$2:$A$108, 0), MATCH('השוואת פקטורים'!J$6, טבלה1[[#Headers],[SPPR_1986]:[SPPR_symbolic_full_import_as_DC]], 0)),
INDEX(טבלה2[[SPPR_1986]:[SPPR_symbolic_full_import_as_DC]], MATCH('השוואת פקטורים'!$B89, 'PPRs inner'!$A$2:$A$108, 0), MATCH('השוואת פקטורים'!K$6, טבלה2[[#Headers],[SPPR_1986]:[SPPR_symbolic_full_import_as_DC]], 0)) / INDEX(טבלה2[[SPPR_1986]:[SPPR_symbolic_full_import_as_DC]], MATCH('השוואת פקטורים'!$B89, 'PPRs inner'!$A$2:$A$108, 0), MATCH('השוואת פקטורים'!J$6, טבלה2[[#Headers],[SPPR_1986]:[SPPR_symbolic_full_import_as_DC]], 0))
)</f>
        <v>3.127592253043896</v>
      </c>
      <c r="L89" s="9">
        <f>IF($B$4="סהכ",
INDEX(טבלה1[[SPPR_1986]:[SPPR_symbolic_full_import_as_DC]], MATCH('השוואת פקטורים'!$B89, 'PPRs all'!$A$2:$A$108, 0), MATCH('השוואת פקטורים'!L$6, טבלה1[[#Headers],[SPPR_1986]:[SPPR_symbolic_full_import_as_DC]], 0)) / INDEX(טבלה1[[SPPR_1986]:[SPPR_symbolic_full_import_as_DC]], MATCH('השוואת פקטורים'!$B89, 'PPRs all'!$A$2:$A$108, 0), MATCH('השוואת פקטורים'!K$6, טבלה1[[#Headers],[SPPR_1986]:[SPPR_symbolic_full_import_as_DC]], 0)),
INDEX(טבלה2[[SPPR_1986]:[SPPR_symbolic_full_import_as_DC]], MATCH('השוואת פקטורים'!$B89, 'PPRs inner'!$A$2:$A$108, 0), MATCH('השוואת פקטורים'!L$6, טבלה2[[#Headers],[SPPR_1986]:[SPPR_symbolic_full_import_as_DC]], 0)) / INDEX(טבלה2[[SPPR_1986]:[SPPR_symbolic_full_import_as_DC]], MATCH('השוואת פקטורים'!$B89, 'PPRs inner'!$A$2:$A$108, 0), MATCH('השוואת פקטורים'!K$6, טבלה2[[#Headers],[SPPR_1986]:[SPPR_symbolic_full_import_as_DC]], 0))
)</f>
        <v>4.1562107668673525</v>
      </c>
      <c r="M89" s="9">
        <f>IF($B$4="סהכ",
INDEX(טבלה1[[SPPR_1986]:[SPPR_symbolic_full_import_as_DC]], MATCH('השוואת פקטורים'!$B89, 'PPRs all'!$A$2:$A$108, 0), MATCH('השוואת פקטורים'!M$6, טבלה1[[#Headers],[SPPR_1986]:[SPPR_symbolic_full_import_as_DC]], 0)) / INDEX(טבלה1[[SPPR_1986]:[SPPR_symbolic_full_import_as_DC]], MATCH('השוואת פקטורים'!$B89, 'PPRs all'!$A$2:$A$108, 0), MATCH('השוואת פקטורים'!L$6, טבלה1[[#Headers],[SPPR_1986]:[SPPR_symbolic_full_import_as_DC]], 0)),
INDEX(טבלה2[[SPPR_1986]:[SPPR_symbolic_full_import_as_DC]], MATCH('השוואת פקטורים'!$B89, 'PPRs inner'!$A$2:$A$108, 0), MATCH('השוואת פקטורים'!M$6, טבלה2[[#Headers],[SPPR_1986]:[SPPR_symbolic_full_import_as_DC]], 0)) / INDEX(טבלה2[[SPPR_1986]:[SPPR_symbolic_full_import_as_DC]], MATCH('השוואת פקטורים'!$B89, 'PPRs inner'!$A$2:$A$108, 0), MATCH('השוואת פקטורים'!L$6, טבלה2[[#Headers],[SPPR_1986]:[SPPR_symbolic_full_import_as_DC]], 0))
)</f>
        <v>0.55791047105230074</v>
      </c>
      <c r="N89" s="9">
        <f>IF($B$4="סהכ",
INDEX(טבלה1[[SPPR_1986]:[SPPR_symbolic_full_import_as_DC]], MATCH('השוואת פקטורים'!$B89, 'PPRs all'!$A$2:$A$108, 0), MATCH('השוואת פקטורים'!N$6, טבלה1[[#Headers],[SPPR_1986]:[SPPR_symbolic_full_import_as_DC]], 0)) / INDEX(טבלה1[[SPPR_1986]:[SPPR_symbolic_full_import_as_DC]], MATCH('השוואת פקטורים'!$B89, 'PPRs all'!$A$2:$A$108, 0), MATCH('השוואת פקטורים'!M$6, טבלה1[[#Headers],[SPPR_1986]:[SPPR_symbolic_full_import_as_DC]], 0)),
INDEX(טבלה2[[SPPR_1986]:[SPPR_symbolic_full_import_as_DC]], MATCH('השוואת פקטורים'!$B89, 'PPRs inner'!$A$2:$A$108, 0), MATCH('השוואת פקטורים'!N$6, טבלה2[[#Headers],[SPPR_1986]:[SPPR_symbolic_full_import_as_DC]], 0)) / INDEX(טבלה2[[SPPR_1986]:[SPPR_symbolic_full_import_as_DC]], MATCH('השוואת פקטורים'!$B89, 'PPRs inner'!$A$2:$A$108, 0), MATCH('השוואת פקטורים'!M$6, טבלה2[[#Headers],[SPPR_1986]:[SPPR_symbolic_full_import_as_DC]], 0))
)</f>
        <v>52.878823664248216</v>
      </c>
      <c r="O89" s="9">
        <f>IF($B$4="סהכ",
INDEX(טבלה1[[SPPR_1986]:[SPPR_symbolic_full_import_as_DC]], MATCH('השוואת פקטורים'!$B89, 'PPRs all'!$A$2:$A$108, 0), MATCH('השוואת פקטורים'!O$6, טבלה1[[#Headers],[SPPR_1986]:[SPPR_symbolic_full_import_as_DC]], 0)) / INDEX(טבלה1[[SPPR_1986]:[SPPR_symbolic_full_import_as_DC]], MATCH('השוואת פקטורים'!$B89, 'PPRs all'!$A$2:$A$108, 0), MATCH('השוואת פקטורים'!N$6, טבלה1[[#Headers],[SPPR_1986]:[SPPR_symbolic_full_import_as_DC]], 0)),
INDEX(טבלה2[[SPPR_1986]:[SPPR_symbolic_full_import_as_DC]], MATCH('השוואת פקטורים'!$B89, 'PPRs inner'!$A$2:$A$108, 0), MATCH('השוואת פקטורים'!O$6, טבלה2[[#Headers],[SPPR_1986]:[SPPR_symbolic_full_import_as_DC]], 0)) / INDEX(טבלה2[[SPPR_1986]:[SPPR_symbolic_full_import_as_DC]], MATCH('השוואת פקטורים'!$B89, 'PPRs inner'!$A$2:$A$108, 0), MATCH('השוואת פקטורים'!N$6, טבלה2[[#Headers],[SPPR_1986]:[SPPR_symbolic_full_import_as_DC]], 0))
)</f>
        <v>0.99999999999999323</v>
      </c>
      <c r="P89" s="9">
        <f>IF($B$4="סהכ",
INDEX(טבלה1[[SPPR_1986]:[SPPR_symbolic_full_import_as_DC]], MATCH('השוואת פקטורים'!$B89, 'PPRs all'!$A$2:$A$108, 0), MATCH('השוואת פקטורים'!P$6, טבלה1[[#Headers],[SPPR_1986]:[SPPR_symbolic_full_import_as_DC]], 0)) / INDEX(טבלה1[[SPPR_1986]:[SPPR_symbolic_full_import_as_DC]], MATCH('השוואת פקטורים'!$B89, 'PPRs all'!$A$2:$A$108, 0), MATCH('השוואת פקטורים'!O$6, טבלה1[[#Headers],[SPPR_1986]:[SPPR_symbolic_full_import_as_DC]], 0)),
INDEX(טבלה2[[SPPR_1986]:[SPPR_symbolic_full_import_as_DC]], MATCH('השוואת פקטורים'!$B89, 'PPRs inner'!$A$2:$A$108, 0), MATCH('השוואת פקטורים'!P$6, טבלה2[[#Headers],[SPPR_1986]:[SPPR_symbolic_full_import_as_DC]], 0)) / INDEX(טבלה2[[SPPR_1986]:[SPPR_symbolic_full_import_as_DC]], MATCH('השוואת פקטורים'!$B89, 'PPRs inner'!$A$2:$A$108, 0), MATCH('השוואת פקטורים'!O$6, טבלה2[[#Headers],[SPPR_1986]:[SPPR_symbolic_full_import_as_DC]], 0))
)</f>
        <v>1.5547635161645226E-3</v>
      </c>
      <c r="Q89" s="9">
        <f>IF($B$4="סהכ",
INDEX(טבלה1[[SPPR_1986]:[SPPR_symbolic_full_import_as_DC]], MATCH('השוואת פקטורים'!$B89, 'PPRs all'!$A$2:$A$108, 0), MATCH('השוואת פקטורים'!Q$6, טבלה1[[#Headers],[SPPR_1986]:[SPPR_symbolic_full_import_as_DC]], 0)) / INDEX(טבלה1[[SPPR_1986]:[SPPR_symbolic_full_import_as_DC]], MATCH('השוואת פקטורים'!$B89, 'PPRs all'!$A$2:$A$108, 0), MATCH('השוואת פקטורים'!P$6, טבלה1[[#Headers],[SPPR_1986]:[SPPR_symbolic_full_import_as_DC]], 0)),
INDEX(טבלה2[[SPPR_1986]:[SPPR_symbolic_full_import_as_DC]], MATCH('השוואת פקטורים'!$B89, 'PPRs inner'!$A$2:$A$108, 0), MATCH('השוואת פקטורים'!Q$6, טבלה2[[#Headers],[SPPR_1986]:[SPPR_symbolic_full_import_as_DC]], 0)) / INDEX(טבלה2[[SPPR_1986]:[SPPR_symbolic_full_import_as_DC]], MATCH('השוואת פקטורים'!$B89, 'PPRs inner'!$A$2:$A$108, 0), MATCH('השוואת פקטורים'!P$6, טבלה2[[#Headers],[SPPR_1986]:[SPPR_symbolic_full_import_as_DC]], 0))
)</f>
        <v>1.0000000000000018</v>
      </c>
      <c r="R89" s="9">
        <f>IF($B$4="סהכ",
INDEX(טבלה1[[SPPR_1986]:[SPPR_symbolic_full_import_as_DC]], MATCH('השוואת פקטורים'!$B89, 'PPRs all'!$A$2:$A$108, 0), MATCH('השוואת פקטורים'!R$6, טבלה1[[#Headers],[SPPR_1986]:[SPPR_symbolic_full_import_as_DC]], 0)) / INDEX(טבלה1[[SPPR_1986]:[SPPR_symbolic_full_import_as_DC]], MATCH('השוואת פקטורים'!$B89, 'PPRs all'!$A$2:$A$108, 0), MATCH('השוואת פקטורים'!Q$6, טבלה1[[#Headers],[SPPR_1986]:[SPPR_symbolic_full_import_as_DC]], 0)),
INDEX(טבלה2[[SPPR_1986]:[SPPR_symbolic_full_import_as_DC]], MATCH('השוואת פקטורים'!$B89, 'PPRs inner'!$A$2:$A$108, 0), MATCH('השוואת פקטורים'!R$6, טבלה2[[#Headers],[SPPR_1986]:[SPPR_symbolic_full_import_as_DC]], 0)) / INDEX(טבלה2[[SPPR_1986]:[SPPR_symbolic_full_import_as_DC]], MATCH('השוואת פקטורים'!$B89, 'PPRs inner'!$A$2:$A$108, 0), MATCH('השוואת פקטורים'!Q$6, טבלה2[[#Headers],[SPPR_1986]:[SPPR_symbolic_full_import_as_DC]], 0))
)</f>
        <v>1</v>
      </c>
      <c r="S89" s="9">
        <f>IF($B$4="סהכ",
INDEX(טבלה1[[SPPR_1986]:[SPPR_symbolic_full_import_as_DC]], MATCH('השוואת פקטורים'!$B89, 'PPRs all'!$A$2:$A$108, 0), MATCH('השוואת פקטורים'!S$6, טבלה1[[#Headers],[SPPR_1986]:[SPPR_symbolic_full_import_as_DC]], 0)) / INDEX(טבלה1[[SPPR_1986]:[SPPR_symbolic_full_import_as_DC]], MATCH('השוואת פקטורים'!$B89, 'PPRs all'!$A$2:$A$108, 0), MATCH('השוואת פקטורים'!R$6, טבלה1[[#Headers],[SPPR_1986]:[SPPR_symbolic_full_import_as_DC]], 0)),
INDEX(טבלה2[[SPPR_1986]:[SPPR_symbolic_full_import_as_DC]], MATCH('השוואת פקטורים'!$B89, 'PPRs inner'!$A$2:$A$108, 0), MATCH('השוואת פקטורים'!S$6, טבלה2[[#Headers],[SPPR_1986]:[SPPR_symbolic_full_import_as_DC]], 0)) / INDEX(טבלה2[[SPPR_1986]:[SPPR_symbolic_full_import_as_DC]], MATCH('השוואת פקטורים'!$B89, 'PPRs inner'!$A$2:$A$108, 0), MATCH('השוואת פקטורים'!R$6, טבלה2[[#Headers],[SPPR_1986]:[SPPR_symbolic_full_import_as_DC]], 0))
)</f>
        <v>1</v>
      </c>
      <c r="T89" s="9">
        <f>IF($B$4="סהכ",
INDEX(טבלה1[[SPPR_1986]:[SPPR_symbolic_full_import_as_DC]], MATCH('השוואת פקטורים'!$B89, 'PPRs all'!$A$2:$A$108, 0), MATCH('השוואת פקטורים'!T$6, טבלה1[[#Headers],[SPPR_1986]:[SPPR_symbolic_full_import_as_DC]], 0)) / INDEX(טבלה1[[SPPR_1986]:[SPPR_symbolic_full_import_as_DC]], MATCH('השוואת פקטורים'!$B89, 'PPRs all'!$A$2:$A$108, 0), MATCH('השוואת פקטורים'!S$6, טבלה1[[#Headers],[SPPR_1986]:[SPPR_symbolic_full_import_as_DC]], 0)),
INDEX(טבלה2[[SPPR_1986]:[SPPR_symbolic_full_import_as_DC]], MATCH('השוואת פקטורים'!$B89, 'PPRs inner'!$A$2:$A$108, 0), MATCH('השוואת פקטורים'!T$6, טבלה2[[#Headers],[SPPR_1986]:[SPPR_symbolic_full_import_as_DC]], 0)) / INDEX(טבלה2[[SPPR_1986]:[SPPR_symbolic_full_import_as_DC]], MATCH('השוואת פקטורים'!$B89, 'PPRs inner'!$A$2:$A$108, 0), MATCH('השוואת פקטורים'!S$6, טבלה2[[#Headers],[SPPR_1986]:[SPPR_symbolic_full_import_as_DC]], 0))
)</f>
        <v>1</v>
      </c>
      <c r="U89" s="9">
        <f>IF($B$4="סהכ",
INDEX(טבלה1[[SPPR_1986]:[SPPR_symbolic_full_import_as_DC]], MATCH('השוואת פקטורים'!$B89, 'PPRs all'!$A$2:$A$108, 0), MATCH('השוואת פקטורים'!U$6, טבלה1[[#Headers],[SPPR_1986]:[SPPR_symbolic_full_import_as_DC]], 0)) / INDEX(טבלה1[[SPPR_1986]:[SPPR_symbolic_full_import_as_DC]], MATCH('השוואת פקטורים'!$B89, 'PPRs all'!$A$2:$A$108, 0), MATCH('השוואת פקטורים'!T$6, טבלה1[[#Headers],[SPPR_1986]:[SPPR_symbolic_full_import_as_DC]], 0)),
INDEX(טבלה2[[SPPR_1986]:[SPPR_symbolic_full_import_as_DC]], MATCH('השוואת פקטורים'!$B89, 'PPRs inner'!$A$2:$A$108, 0), MATCH('השוואת פקטורים'!U$6, טבלה2[[#Headers],[SPPR_1986]:[SPPR_symbolic_full_import_as_DC]], 0)) / INDEX(טבלה2[[SPPR_1986]:[SPPR_symbolic_full_import_as_DC]], MATCH('השוואת פקטורים'!$B89, 'PPRs inner'!$A$2:$A$108, 0), MATCH('השוואת פקטורים'!T$6, טבלה2[[#Headers],[SPPR_1986]:[SPPR_symbolic_full_import_as_DC]], 0))
)</f>
        <v>0.99999999999999822</v>
      </c>
      <c r="V89" s="9"/>
      <c r="W89" s="9"/>
      <c r="X89" s="14"/>
      <c r="Y89" s="14"/>
      <c r="Z89" s="15">
        <f t="shared" si="6"/>
        <v>0.59623618662852196</v>
      </c>
    </row>
    <row r="90" spans="2:26" x14ac:dyDescent="0.3">
      <c r="B90" s="6" t="s">
        <v>104</v>
      </c>
      <c r="C90" s="12" t="b">
        <v>1</v>
      </c>
      <c r="D90" s="12" t="b">
        <v>1</v>
      </c>
      <c r="E90" s="12" t="b">
        <v>1</v>
      </c>
      <c r="F90" s="12" t="b">
        <f t="shared" si="5"/>
        <v>1</v>
      </c>
      <c r="G90" s="7" t="b">
        <f>ABS(INDEX(טבלה5[[SPPR_1986]:[SPPR_symbolic_full_import_as_DC]],MATCH('השוואת פקטורים'!$B90,טבלה5[עמודה1],0),MATCH($C$4,טבלה5[[#Headers],[SPPR_1986]:[SPPR_symbolic_full_import_as_DC]],0))) &lt; 5</f>
        <v>1</v>
      </c>
      <c r="H90" s="7" t="b">
        <f>INDEX(טבלה3[[SPPR_1986]:[SPPR_symbolic_full_import_as_DC]],MATCH('השוואת פקטורים'!$B90,טבלה3[עמודה1],0),MATCH($C$4,טבלה3[[#Headers],[SPPR_1986]:[SPPR_symbolic_full_import_as_DC]],0))</f>
        <v>1</v>
      </c>
      <c r="I90" s="7" t="b">
        <f t="shared" si="4"/>
        <v>1</v>
      </c>
      <c r="J90" s="13"/>
      <c r="K90" s="9">
        <f>IF($B$4="סהכ",
INDEX(טבלה1[[SPPR_1986]:[SPPR_symbolic_full_import_as_DC]], MATCH('השוואת פקטורים'!$B90, 'PPRs all'!$A$2:$A$108, 0), MATCH('השוואת פקטורים'!K$6, טבלה1[[#Headers],[SPPR_1986]:[SPPR_symbolic_full_import_as_DC]], 0)) / INDEX(טבלה1[[SPPR_1986]:[SPPR_symbolic_full_import_as_DC]], MATCH('השוואת פקטורים'!$B90, 'PPRs all'!$A$2:$A$108, 0), MATCH('השוואת פקטורים'!J$6, טבלה1[[#Headers],[SPPR_1986]:[SPPR_symbolic_full_import_as_DC]], 0)),
INDEX(טבלה2[[SPPR_1986]:[SPPR_symbolic_full_import_as_DC]], MATCH('השוואת פקטורים'!$B90, 'PPRs inner'!$A$2:$A$108, 0), MATCH('השוואת פקטורים'!K$6, טבלה2[[#Headers],[SPPR_1986]:[SPPR_symbolic_full_import_as_DC]], 0)) / INDEX(טבלה2[[SPPR_1986]:[SPPR_symbolic_full_import_as_DC]], MATCH('השוואת פקטורים'!$B90, 'PPRs inner'!$A$2:$A$108, 0), MATCH('השוואת פקטורים'!J$6, טבלה2[[#Headers],[SPPR_1986]:[SPPR_symbolic_full_import_as_DC]], 0))
)</f>
        <v>0.68689757433169296</v>
      </c>
      <c r="L90" s="9">
        <f>IF($B$4="סהכ",
INDEX(טבלה1[[SPPR_1986]:[SPPR_symbolic_full_import_as_DC]], MATCH('השוואת פקטורים'!$B90, 'PPRs all'!$A$2:$A$108, 0), MATCH('השוואת פקטורים'!L$6, טבלה1[[#Headers],[SPPR_1986]:[SPPR_symbolic_full_import_as_DC]], 0)) / INDEX(טבלה1[[SPPR_1986]:[SPPR_symbolic_full_import_as_DC]], MATCH('השוואת פקטורים'!$B90, 'PPRs all'!$A$2:$A$108, 0), MATCH('השוואת פקטורים'!K$6, טבלה1[[#Headers],[SPPR_1986]:[SPPR_symbolic_full_import_as_DC]], 0)),
INDEX(טבלה2[[SPPR_1986]:[SPPR_symbolic_full_import_as_DC]], MATCH('השוואת פקטורים'!$B90, 'PPRs inner'!$A$2:$A$108, 0), MATCH('השוואת פקטורים'!L$6, טבלה2[[#Headers],[SPPR_1986]:[SPPR_symbolic_full_import_as_DC]], 0)) / INDEX(טבלה2[[SPPR_1986]:[SPPR_symbolic_full_import_as_DC]], MATCH('השוואת פקטורים'!$B90, 'PPRs inner'!$A$2:$A$108, 0), MATCH('השוואת פקטורים'!K$6, טבלה2[[#Headers],[SPPR_1986]:[SPPR_symbolic_full_import_as_DC]], 0))
)</f>
        <v>1.9216866671393431</v>
      </c>
      <c r="M90" s="9">
        <f>IF($B$4="סהכ",
INDEX(טבלה1[[SPPR_1986]:[SPPR_symbolic_full_import_as_DC]], MATCH('השוואת פקטורים'!$B90, 'PPRs all'!$A$2:$A$108, 0), MATCH('השוואת פקטורים'!M$6, טבלה1[[#Headers],[SPPR_1986]:[SPPR_symbolic_full_import_as_DC]], 0)) / INDEX(טבלה1[[SPPR_1986]:[SPPR_symbolic_full_import_as_DC]], MATCH('השוואת פקטורים'!$B90, 'PPRs all'!$A$2:$A$108, 0), MATCH('השוואת פקטורים'!L$6, טבלה1[[#Headers],[SPPR_1986]:[SPPR_symbolic_full_import_as_DC]], 0)),
INDEX(טבלה2[[SPPR_1986]:[SPPR_symbolic_full_import_as_DC]], MATCH('השוואת פקטורים'!$B90, 'PPRs inner'!$A$2:$A$108, 0), MATCH('השוואת פקטורים'!M$6, טבלה2[[#Headers],[SPPR_1986]:[SPPR_symbolic_full_import_as_DC]], 0)) / INDEX(טבלה2[[SPPR_1986]:[SPPR_symbolic_full_import_as_DC]], MATCH('השוואת פקטורים'!$B90, 'PPRs inner'!$A$2:$A$108, 0), MATCH('השוואת פקטורים'!L$6, טבלה2[[#Headers],[SPPR_1986]:[SPPR_symbolic_full_import_as_DC]], 0))
)</f>
        <v>1.320394825003139</v>
      </c>
      <c r="N90" s="9">
        <f>IF($B$4="סהכ",
INDEX(טבלה1[[SPPR_1986]:[SPPR_symbolic_full_import_as_DC]], MATCH('השוואת פקטורים'!$B90, 'PPRs all'!$A$2:$A$108, 0), MATCH('השוואת פקטורים'!N$6, טבלה1[[#Headers],[SPPR_1986]:[SPPR_symbolic_full_import_as_DC]], 0)) / INDEX(טבלה1[[SPPR_1986]:[SPPR_symbolic_full_import_as_DC]], MATCH('השוואת פקטורים'!$B90, 'PPRs all'!$A$2:$A$108, 0), MATCH('השוואת פקטורים'!M$6, טבלה1[[#Headers],[SPPR_1986]:[SPPR_symbolic_full_import_as_DC]], 0)),
INDEX(טבלה2[[SPPR_1986]:[SPPR_symbolic_full_import_as_DC]], MATCH('השוואת פקטורים'!$B90, 'PPRs inner'!$A$2:$A$108, 0), MATCH('השוואת פקטורים'!N$6, טבלה2[[#Headers],[SPPR_1986]:[SPPR_symbolic_full_import_as_DC]], 0)) / INDEX(טבלה2[[SPPR_1986]:[SPPR_symbolic_full_import_as_DC]], MATCH('השוואת פקטורים'!$B90, 'PPRs inner'!$A$2:$A$108, 0), MATCH('השוואת פקטורים'!M$6, טבלה2[[#Headers],[SPPR_1986]:[SPPR_symbolic_full_import_as_DC]], 0))
)</f>
        <v>0.95534555360945983</v>
      </c>
      <c r="O90" s="9">
        <f>IF($B$4="סהכ",
INDEX(טבלה1[[SPPR_1986]:[SPPR_symbolic_full_import_as_DC]], MATCH('השוואת פקטורים'!$B90, 'PPRs all'!$A$2:$A$108, 0), MATCH('השוואת פקטורים'!O$6, טבלה1[[#Headers],[SPPR_1986]:[SPPR_symbolic_full_import_as_DC]], 0)) / INDEX(טבלה1[[SPPR_1986]:[SPPR_symbolic_full_import_as_DC]], MATCH('השוואת פקטורים'!$B90, 'PPRs all'!$A$2:$A$108, 0), MATCH('השוואת פקטורים'!N$6, טבלה1[[#Headers],[SPPR_1986]:[SPPR_symbolic_full_import_as_DC]], 0)),
INDEX(טבלה2[[SPPR_1986]:[SPPR_symbolic_full_import_as_DC]], MATCH('השוואת פקטורים'!$B90, 'PPRs inner'!$A$2:$A$108, 0), MATCH('השוואת פקטורים'!O$6, טבלה2[[#Headers],[SPPR_1986]:[SPPR_symbolic_full_import_as_DC]], 0)) / INDEX(טבלה2[[SPPR_1986]:[SPPR_symbolic_full_import_as_DC]], MATCH('השוואת פקטורים'!$B90, 'PPRs inner'!$A$2:$A$108, 0), MATCH('השוואת פקטורים'!N$6, טבלה2[[#Headers],[SPPR_1986]:[SPPR_symbolic_full_import_as_DC]], 0))
)</f>
        <v>1</v>
      </c>
      <c r="P90" s="9">
        <f>IF($B$4="סהכ",
INDEX(טבלה1[[SPPR_1986]:[SPPR_symbolic_full_import_as_DC]], MATCH('השוואת פקטורים'!$B90, 'PPRs all'!$A$2:$A$108, 0), MATCH('השוואת פקטורים'!P$6, טבלה1[[#Headers],[SPPR_1986]:[SPPR_symbolic_full_import_as_DC]], 0)) / INDEX(טבלה1[[SPPR_1986]:[SPPR_symbolic_full_import_as_DC]], MATCH('השוואת פקטורים'!$B90, 'PPRs all'!$A$2:$A$108, 0), MATCH('השוואת פקטורים'!O$6, טבלה1[[#Headers],[SPPR_1986]:[SPPR_symbolic_full_import_as_DC]], 0)),
INDEX(טבלה2[[SPPR_1986]:[SPPR_symbolic_full_import_as_DC]], MATCH('השוואת פקטורים'!$B90, 'PPRs inner'!$A$2:$A$108, 0), MATCH('השוואת פקטורים'!P$6, טבלה2[[#Headers],[SPPR_1986]:[SPPR_symbolic_full_import_as_DC]], 0)) / INDEX(טבלה2[[SPPR_1986]:[SPPR_symbolic_full_import_as_DC]], MATCH('השוואת פקטורים'!$B90, 'PPRs inner'!$A$2:$A$108, 0), MATCH('השוואת פקטורים'!O$6, טבלה2[[#Headers],[SPPR_1986]:[SPPR_symbolic_full_import_as_DC]], 0))
)</f>
        <v>0.36116207152543994</v>
      </c>
      <c r="Q90" s="9">
        <f>IF($B$4="סהכ",
INDEX(טבלה1[[SPPR_1986]:[SPPR_symbolic_full_import_as_DC]], MATCH('השוואת פקטורים'!$B90, 'PPRs all'!$A$2:$A$108, 0), MATCH('השוואת פקטורים'!Q$6, טבלה1[[#Headers],[SPPR_1986]:[SPPR_symbolic_full_import_as_DC]], 0)) / INDEX(טבלה1[[SPPR_1986]:[SPPR_symbolic_full_import_as_DC]], MATCH('השוואת פקטורים'!$B90, 'PPRs all'!$A$2:$A$108, 0), MATCH('השוואת פקטורים'!P$6, טבלה1[[#Headers],[SPPR_1986]:[SPPR_symbolic_full_import_as_DC]], 0)),
INDEX(טבלה2[[SPPR_1986]:[SPPR_symbolic_full_import_as_DC]], MATCH('השוואת פקטורים'!$B90, 'PPRs inner'!$A$2:$A$108, 0), MATCH('השוואת פקטורים'!Q$6, טבלה2[[#Headers],[SPPR_1986]:[SPPR_symbolic_full_import_as_DC]], 0)) / INDEX(טבלה2[[SPPR_1986]:[SPPR_symbolic_full_import_as_DC]], MATCH('השוואת פקטורים'!$B90, 'PPRs inner'!$A$2:$A$108, 0), MATCH('השוואת פקטורים'!P$6, טבלה2[[#Headers],[SPPR_1986]:[SPPR_symbolic_full_import_as_DC]], 0))
)</f>
        <v>0.999999999999998</v>
      </c>
      <c r="R90" s="9">
        <f>IF($B$4="סהכ",
INDEX(טבלה1[[SPPR_1986]:[SPPR_symbolic_full_import_as_DC]], MATCH('השוואת פקטורים'!$B90, 'PPRs all'!$A$2:$A$108, 0), MATCH('השוואת פקטורים'!R$6, טבלה1[[#Headers],[SPPR_1986]:[SPPR_symbolic_full_import_as_DC]], 0)) / INDEX(טבלה1[[SPPR_1986]:[SPPR_symbolic_full_import_as_DC]], MATCH('השוואת פקטורים'!$B90, 'PPRs all'!$A$2:$A$108, 0), MATCH('השוואת פקטורים'!Q$6, טבלה1[[#Headers],[SPPR_1986]:[SPPR_symbolic_full_import_as_DC]], 0)),
INDEX(טבלה2[[SPPR_1986]:[SPPR_symbolic_full_import_as_DC]], MATCH('השוואת פקטורים'!$B90, 'PPRs inner'!$A$2:$A$108, 0), MATCH('השוואת פקטורים'!R$6, טבלה2[[#Headers],[SPPR_1986]:[SPPR_symbolic_full_import_as_DC]], 0)) / INDEX(טבלה2[[SPPR_1986]:[SPPR_symbolic_full_import_as_DC]], MATCH('השוואת פקטורים'!$B90, 'PPRs inner'!$A$2:$A$108, 0), MATCH('השוואת פקטורים'!Q$6, טבלה2[[#Headers],[SPPR_1986]:[SPPR_symbolic_full_import_as_DC]], 0))
)</f>
        <v>1</v>
      </c>
      <c r="S90" s="9">
        <f>IF($B$4="סהכ",
INDEX(טבלה1[[SPPR_1986]:[SPPR_symbolic_full_import_as_DC]], MATCH('השוואת פקטורים'!$B90, 'PPRs all'!$A$2:$A$108, 0), MATCH('השוואת פקטורים'!S$6, טבלה1[[#Headers],[SPPR_1986]:[SPPR_symbolic_full_import_as_DC]], 0)) / INDEX(טבלה1[[SPPR_1986]:[SPPR_symbolic_full_import_as_DC]], MATCH('השוואת פקטורים'!$B90, 'PPRs all'!$A$2:$A$108, 0), MATCH('השוואת פקטורים'!R$6, טבלה1[[#Headers],[SPPR_1986]:[SPPR_symbolic_full_import_as_DC]], 0)),
INDEX(טבלה2[[SPPR_1986]:[SPPR_symbolic_full_import_as_DC]], MATCH('השוואת פקטורים'!$B90, 'PPRs inner'!$A$2:$A$108, 0), MATCH('השוואת פקטורים'!S$6, טבלה2[[#Headers],[SPPR_1986]:[SPPR_symbolic_full_import_as_DC]], 0)) / INDEX(טבלה2[[SPPR_1986]:[SPPR_symbolic_full_import_as_DC]], MATCH('השוואת פקטורים'!$B90, 'PPRs inner'!$A$2:$A$108, 0), MATCH('השוואת פקטורים'!R$6, טבלה2[[#Headers],[SPPR_1986]:[SPPR_symbolic_full_import_as_DC]], 0))
)</f>
        <v>1</v>
      </c>
      <c r="T90" s="9">
        <f>IF($B$4="סהכ",
INDEX(טבלה1[[SPPR_1986]:[SPPR_symbolic_full_import_as_DC]], MATCH('השוואת פקטורים'!$B90, 'PPRs all'!$A$2:$A$108, 0), MATCH('השוואת פקטורים'!T$6, טבלה1[[#Headers],[SPPR_1986]:[SPPR_symbolic_full_import_as_DC]], 0)) / INDEX(טבלה1[[SPPR_1986]:[SPPR_symbolic_full_import_as_DC]], MATCH('השוואת פקטורים'!$B90, 'PPRs all'!$A$2:$A$108, 0), MATCH('השוואת פקטורים'!S$6, טבלה1[[#Headers],[SPPR_1986]:[SPPR_symbolic_full_import_as_DC]], 0)),
INDEX(טבלה2[[SPPR_1986]:[SPPR_symbolic_full_import_as_DC]], MATCH('השוואת פקטורים'!$B90, 'PPRs inner'!$A$2:$A$108, 0), MATCH('השוואת פקטורים'!T$6, טבלה2[[#Headers],[SPPR_1986]:[SPPR_symbolic_full_import_as_DC]], 0)) / INDEX(טבלה2[[SPPR_1986]:[SPPR_symbolic_full_import_as_DC]], MATCH('השוואת פקטורים'!$B90, 'PPRs inner'!$A$2:$A$108, 0), MATCH('השוואת פקטורים'!S$6, טבלה2[[#Headers],[SPPR_1986]:[SPPR_symbolic_full_import_as_DC]], 0))
)</f>
        <v>1</v>
      </c>
      <c r="U90" s="9">
        <f>IF($B$4="סהכ",
INDEX(טבלה1[[SPPR_1986]:[SPPR_symbolic_full_import_as_DC]], MATCH('השוואת פקטורים'!$B90, 'PPRs all'!$A$2:$A$108, 0), MATCH('השוואת פקטורים'!U$6, טבלה1[[#Headers],[SPPR_1986]:[SPPR_symbolic_full_import_as_DC]], 0)) / INDEX(טבלה1[[SPPR_1986]:[SPPR_symbolic_full_import_as_DC]], MATCH('השוואת פקטורים'!$B90, 'PPRs all'!$A$2:$A$108, 0), MATCH('השוואת פקטורים'!T$6, טבלה1[[#Headers],[SPPR_1986]:[SPPR_symbolic_full_import_as_DC]], 0)),
INDEX(טבלה2[[SPPR_1986]:[SPPR_symbolic_full_import_as_DC]], MATCH('השוואת פקטורים'!$B90, 'PPRs inner'!$A$2:$A$108, 0), MATCH('השוואת פקטורים'!U$6, טבלה2[[#Headers],[SPPR_1986]:[SPPR_symbolic_full_import_as_DC]], 0)) / INDEX(טבלה2[[SPPR_1986]:[SPPR_symbolic_full_import_as_DC]], MATCH('השוואת פקטורים'!$B90, 'PPRs inner'!$A$2:$A$108, 0), MATCH('השוואת פקטורים'!T$6, טבלה2[[#Headers],[SPPR_1986]:[SPPR_symbolic_full_import_as_DC]], 0))
)</f>
        <v>1.000000000000002</v>
      </c>
      <c r="V90" s="9"/>
      <c r="W90" s="9"/>
      <c r="X90" s="14"/>
      <c r="Y90" s="14"/>
      <c r="Z90" s="15">
        <f t="shared" si="6"/>
        <v>0.60136894235430538</v>
      </c>
    </row>
    <row r="91" spans="2:26" x14ac:dyDescent="0.3">
      <c r="B91" s="6" t="s">
        <v>105</v>
      </c>
      <c r="C91" s="12" t="b">
        <v>1</v>
      </c>
      <c r="D91" s="12" t="b">
        <v>0</v>
      </c>
      <c r="E91" s="12" t="b">
        <v>1</v>
      </c>
      <c r="F91" s="12" t="b">
        <f t="shared" si="5"/>
        <v>0</v>
      </c>
      <c r="G91" s="7" t="b">
        <f>ABS(INDEX(טבלה5[[SPPR_1986]:[SPPR_symbolic_full_import_as_DC]],MATCH('השוואת פקטורים'!$B91,טבלה5[עמודה1],0),MATCH($C$4,טבלה5[[#Headers],[SPPR_1986]:[SPPR_symbolic_full_import_as_DC]],0))) &lt; 5</f>
        <v>1</v>
      </c>
      <c r="H91" s="7" t="b">
        <f>INDEX(טבלה3[[SPPR_1986]:[SPPR_symbolic_full_import_as_DC]],MATCH('השוואת פקטורים'!$B91,טבלה3[עמודה1],0),MATCH($C$4,טבלה3[[#Headers],[SPPR_1986]:[SPPR_symbolic_full_import_as_DC]],0))</f>
        <v>1</v>
      </c>
      <c r="I91" s="7" t="b">
        <f t="shared" si="4"/>
        <v>0</v>
      </c>
      <c r="J91" s="13"/>
      <c r="K91" s="9">
        <f>IF($B$4="סהכ",
INDEX(טבלה1[[SPPR_1986]:[SPPR_symbolic_full_import_as_DC]], MATCH('השוואת פקטורים'!$B91, 'PPRs all'!$A$2:$A$108, 0), MATCH('השוואת פקטורים'!K$6, טבלה1[[#Headers],[SPPR_1986]:[SPPR_symbolic_full_import_as_DC]], 0)) / INDEX(טבלה1[[SPPR_1986]:[SPPR_symbolic_full_import_as_DC]], MATCH('השוואת פקטורים'!$B91, 'PPRs all'!$A$2:$A$108, 0), MATCH('השוואת פקטורים'!J$6, טבלה1[[#Headers],[SPPR_1986]:[SPPR_symbolic_full_import_as_DC]], 0)),
INDEX(טבלה2[[SPPR_1986]:[SPPR_symbolic_full_import_as_DC]], MATCH('השוואת פקטורים'!$B91, 'PPRs inner'!$A$2:$A$108, 0), MATCH('השוואת פקטורים'!K$6, טבלה2[[#Headers],[SPPR_1986]:[SPPR_symbolic_full_import_as_DC]], 0)) / INDEX(טבלה2[[SPPR_1986]:[SPPR_symbolic_full_import_as_DC]], MATCH('השוואת פקטורים'!$B91, 'PPRs inner'!$A$2:$A$108, 0), MATCH('השוואת פקטורים'!J$6, טבלה2[[#Headers],[SPPR_1986]:[SPPR_symbolic_full_import_as_DC]], 0))
)</f>
        <v>2.3675051047857361</v>
      </c>
      <c r="L91" s="9">
        <f>IF($B$4="סהכ",
INDEX(טבלה1[[SPPR_1986]:[SPPR_symbolic_full_import_as_DC]], MATCH('השוואת פקטורים'!$B91, 'PPRs all'!$A$2:$A$108, 0), MATCH('השוואת פקטורים'!L$6, טבלה1[[#Headers],[SPPR_1986]:[SPPR_symbolic_full_import_as_DC]], 0)) / INDEX(טבלה1[[SPPR_1986]:[SPPR_symbolic_full_import_as_DC]], MATCH('השוואת פקטורים'!$B91, 'PPRs all'!$A$2:$A$108, 0), MATCH('השוואת פקטורים'!K$6, טבלה1[[#Headers],[SPPR_1986]:[SPPR_symbolic_full_import_as_DC]], 0)),
INDEX(טבלה2[[SPPR_1986]:[SPPR_symbolic_full_import_as_DC]], MATCH('השוואת פקטורים'!$B91, 'PPRs inner'!$A$2:$A$108, 0), MATCH('השוואת פקטורים'!L$6, טבלה2[[#Headers],[SPPR_1986]:[SPPR_symbolic_full_import_as_DC]], 0)) / INDEX(טבלה2[[SPPR_1986]:[SPPR_symbolic_full_import_as_DC]], MATCH('השוואת פקטורים'!$B91, 'PPRs inner'!$A$2:$A$108, 0), MATCH('השוואת פקטורים'!K$6, טבלה2[[#Headers],[SPPR_1986]:[SPPR_symbolic_full_import_as_DC]], 0))
)</f>
        <v>2.4571703648448957</v>
      </c>
      <c r="M91" s="9">
        <f>IF($B$4="סהכ",
INDEX(טבלה1[[SPPR_1986]:[SPPR_symbolic_full_import_as_DC]], MATCH('השוואת פקטורים'!$B91, 'PPRs all'!$A$2:$A$108, 0), MATCH('השוואת פקטורים'!M$6, טבלה1[[#Headers],[SPPR_1986]:[SPPR_symbolic_full_import_as_DC]], 0)) / INDEX(טבלה1[[SPPR_1986]:[SPPR_symbolic_full_import_as_DC]], MATCH('השוואת פקטורים'!$B91, 'PPRs all'!$A$2:$A$108, 0), MATCH('השוואת פקטורים'!L$6, טבלה1[[#Headers],[SPPR_1986]:[SPPR_symbolic_full_import_as_DC]], 0)),
INDEX(טבלה2[[SPPR_1986]:[SPPR_symbolic_full_import_as_DC]], MATCH('השוואת פקטורים'!$B91, 'PPRs inner'!$A$2:$A$108, 0), MATCH('השוואת פקטורים'!M$6, טבלה2[[#Headers],[SPPR_1986]:[SPPR_symbolic_full_import_as_DC]], 0)) / INDEX(טבלה2[[SPPR_1986]:[SPPR_symbolic_full_import_as_DC]], MATCH('השוואת פקטורים'!$B91, 'PPRs inner'!$A$2:$A$108, 0), MATCH('השוואת פקטורים'!L$6, טבלה2[[#Headers],[SPPR_1986]:[SPPR_symbolic_full_import_as_DC]], 0))
)</f>
        <v>0.36866615924855461</v>
      </c>
      <c r="N91" s="9">
        <f>IF($B$4="סהכ",
INDEX(טבלה1[[SPPR_1986]:[SPPR_symbolic_full_import_as_DC]], MATCH('השוואת פקטורים'!$B91, 'PPRs all'!$A$2:$A$108, 0), MATCH('השוואת פקטורים'!N$6, טבלה1[[#Headers],[SPPR_1986]:[SPPR_symbolic_full_import_as_DC]], 0)) / INDEX(טבלה1[[SPPR_1986]:[SPPR_symbolic_full_import_as_DC]], MATCH('השוואת פקטורים'!$B91, 'PPRs all'!$A$2:$A$108, 0), MATCH('השוואת פקטורים'!M$6, טבלה1[[#Headers],[SPPR_1986]:[SPPR_symbolic_full_import_as_DC]], 0)),
INDEX(טבלה2[[SPPR_1986]:[SPPR_symbolic_full_import_as_DC]], MATCH('השוואת פקטורים'!$B91, 'PPRs inner'!$A$2:$A$108, 0), MATCH('השוואת פקטורים'!N$6, טבלה2[[#Headers],[SPPR_1986]:[SPPR_symbolic_full_import_as_DC]], 0)) / INDEX(טבלה2[[SPPR_1986]:[SPPR_symbolic_full_import_as_DC]], MATCH('השוואת פקטורים'!$B91, 'PPRs inner'!$A$2:$A$108, 0), MATCH('השוואת פקטורים'!M$6, טבלה2[[#Headers],[SPPR_1986]:[SPPR_symbolic_full_import_as_DC]], 0))
)</f>
        <v>0.95664052002785727</v>
      </c>
      <c r="O91" s="9">
        <f>IF($B$4="סהכ",
INDEX(טבלה1[[SPPR_1986]:[SPPR_symbolic_full_import_as_DC]], MATCH('השוואת פקטורים'!$B91, 'PPRs all'!$A$2:$A$108, 0), MATCH('השוואת פקטורים'!O$6, טבלה1[[#Headers],[SPPR_1986]:[SPPR_symbolic_full_import_as_DC]], 0)) / INDEX(טבלה1[[SPPR_1986]:[SPPR_symbolic_full_import_as_DC]], MATCH('השוואת פקטורים'!$B91, 'PPRs all'!$A$2:$A$108, 0), MATCH('השוואת פקטורים'!N$6, טבלה1[[#Headers],[SPPR_1986]:[SPPR_symbolic_full_import_as_DC]], 0)),
INDEX(טבלה2[[SPPR_1986]:[SPPR_symbolic_full_import_as_DC]], MATCH('השוואת פקטורים'!$B91, 'PPRs inner'!$A$2:$A$108, 0), MATCH('השוואת פקטורים'!O$6, טבלה2[[#Headers],[SPPR_1986]:[SPPR_symbolic_full_import_as_DC]], 0)) / INDEX(טבלה2[[SPPR_1986]:[SPPR_symbolic_full_import_as_DC]], MATCH('השוואת פקטורים'!$B91, 'PPRs inner'!$A$2:$A$108, 0), MATCH('השוואת פקטורים'!N$6, טבלה2[[#Headers],[SPPR_1986]:[SPPR_symbolic_full_import_as_DC]], 0))
)</f>
        <v>1.0000000000000027</v>
      </c>
      <c r="P91" s="9">
        <f>IF($B$4="סהכ",
INDEX(טבלה1[[SPPR_1986]:[SPPR_symbolic_full_import_as_DC]], MATCH('השוואת פקטורים'!$B91, 'PPRs all'!$A$2:$A$108, 0), MATCH('השוואת פקטורים'!P$6, טבלה1[[#Headers],[SPPR_1986]:[SPPR_symbolic_full_import_as_DC]], 0)) / INDEX(טבלה1[[SPPR_1986]:[SPPR_symbolic_full_import_as_DC]], MATCH('השוואת פקטורים'!$B91, 'PPRs all'!$A$2:$A$108, 0), MATCH('השוואת פקטורים'!O$6, טבלה1[[#Headers],[SPPR_1986]:[SPPR_symbolic_full_import_as_DC]], 0)),
INDEX(טבלה2[[SPPR_1986]:[SPPR_symbolic_full_import_as_DC]], MATCH('השוואת פקטורים'!$B91, 'PPRs inner'!$A$2:$A$108, 0), MATCH('השוואת פקטורים'!P$6, טבלה2[[#Headers],[SPPR_1986]:[SPPR_symbolic_full_import_as_DC]], 0)) / INDEX(טבלה2[[SPPR_1986]:[SPPR_symbolic_full_import_as_DC]], MATCH('השוואת פקטורים'!$B91, 'PPRs inner'!$A$2:$A$108, 0), MATCH('השוואת פקטורים'!O$6, טבלה2[[#Headers],[SPPR_1986]:[SPPR_symbolic_full_import_as_DC]], 0))
)</f>
        <v>0.16569452473319043</v>
      </c>
      <c r="Q91" s="9">
        <f>IF($B$4="סהכ",
INDEX(טבלה1[[SPPR_1986]:[SPPR_symbolic_full_import_as_DC]], MATCH('השוואת פקטורים'!$B91, 'PPRs all'!$A$2:$A$108, 0), MATCH('השוואת פקטורים'!Q$6, טבלה1[[#Headers],[SPPR_1986]:[SPPR_symbolic_full_import_as_DC]], 0)) / INDEX(טבלה1[[SPPR_1986]:[SPPR_symbolic_full_import_as_DC]], MATCH('השוואת פקטורים'!$B91, 'PPRs all'!$A$2:$A$108, 0), MATCH('השוואת פקטורים'!P$6, טבלה1[[#Headers],[SPPR_1986]:[SPPR_symbolic_full_import_as_DC]], 0)),
INDEX(טבלה2[[SPPR_1986]:[SPPR_symbolic_full_import_as_DC]], MATCH('השוואת פקטורים'!$B91, 'PPRs inner'!$A$2:$A$108, 0), MATCH('השוואת פקטורים'!Q$6, טבלה2[[#Headers],[SPPR_1986]:[SPPR_symbolic_full_import_as_DC]], 0)) / INDEX(טבלה2[[SPPR_1986]:[SPPR_symbolic_full_import_as_DC]], MATCH('השוואת פקטורים'!$B91, 'PPRs inner'!$A$2:$A$108, 0), MATCH('השוואת פקטורים'!P$6, טבלה2[[#Headers],[SPPR_1986]:[SPPR_symbolic_full_import_as_DC]], 0))
)</f>
        <v>0.99999999999999922</v>
      </c>
      <c r="R91" s="9">
        <f>IF($B$4="סהכ",
INDEX(טבלה1[[SPPR_1986]:[SPPR_symbolic_full_import_as_DC]], MATCH('השוואת פקטורים'!$B91, 'PPRs all'!$A$2:$A$108, 0), MATCH('השוואת פקטורים'!R$6, טבלה1[[#Headers],[SPPR_1986]:[SPPR_symbolic_full_import_as_DC]], 0)) / INDEX(טבלה1[[SPPR_1986]:[SPPR_symbolic_full_import_as_DC]], MATCH('השוואת פקטורים'!$B91, 'PPRs all'!$A$2:$A$108, 0), MATCH('השוואת פקטורים'!Q$6, טבלה1[[#Headers],[SPPR_1986]:[SPPR_symbolic_full_import_as_DC]], 0)),
INDEX(טבלה2[[SPPR_1986]:[SPPR_symbolic_full_import_as_DC]], MATCH('השוואת פקטורים'!$B91, 'PPRs inner'!$A$2:$A$108, 0), MATCH('השוואת פקטורים'!R$6, טבלה2[[#Headers],[SPPR_1986]:[SPPR_symbolic_full_import_as_DC]], 0)) / INDEX(טבלה2[[SPPR_1986]:[SPPR_symbolic_full_import_as_DC]], MATCH('השוואת פקטורים'!$B91, 'PPRs inner'!$A$2:$A$108, 0), MATCH('השוואת פקטורים'!Q$6, טבלה2[[#Headers],[SPPR_1986]:[SPPR_symbolic_full_import_as_DC]], 0))
)</f>
        <v>1.0014975408518059</v>
      </c>
      <c r="S91" s="9">
        <f>IF($B$4="סהכ",
INDEX(טבלה1[[SPPR_1986]:[SPPR_symbolic_full_import_as_DC]], MATCH('השוואת פקטורים'!$B91, 'PPRs all'!$A$2:$A$108, 0), MATCH('השוואת פקטורים'!S$6, טבלה1[[#Headers],[SPPR_1986]:[SPPR_symbolic_full_import_as_DC]], 0)) / INDEX(טבלה1[[SPPR_1986]:[SPPR_symbolic_full_import_as_DC]], MATCH('השוואת פקטורים'!$B91, 'PPRs all'!$A$2:$A$108, 0), MATCH('השוואת פקטורים'!R$6, טבלה1[[#Headers],[SPPR_1986]:[SPPR_symbolic_full_import_as_DC]], 0)),
INDEX(טבלה2[[SPPR_1986]:[SPPR_symbolic_full_import_as_DC]], MATCH('השוואת פקטורים'!$B91, 'PPRs inner'!$A$2:$A$108, 0), MATCH('השוואת פקטורים'!S$6, טבלה2[[#Headers],[SPPR_1986]:[SPPR_symbolic_full_import_as_DC]], 0)) / INDEX(טבלה2[[SPPR_1986]:[SPPR_symbolic_full_import_as_DC]], MATCH('השוואת פקטורים'!$B91, 'PPRs inner'!$A$2:$A$108, 0), MATCH('השוואת פקטורים'!R$6, טבלה2[[#Headers],[SPPR_1986]:[SPPR_symbolic_full_import_as_DC]], 0))
)</f>
        <v>0.99850469842339085</v>
      </c>
      <c r="T91" s="9">
        <f>IF($B$4="סהכ",
INDEX(טבלה1[[SPPR_1986]:[SPPR_symbolic_full_import_as_DC]], MATCH('השוואת פקטורים'!$B91, 'PPRs all'!$A$2:$A$108, 0), MATCH('השוואת פקטורים'!T$6, טבלה1[[#Headers],[SPPR_1986]:[SPPR_symbolic_full_import_as_DC]], 0)) / INDEX(טבלה1[[SPPR_1986]:[SPPR_symbolic_full_import_as_DC]], MATCH('השוואת פקטורים'!$B91, 'PPRs all'!$A$2:$A$108, 0), MATCH('השוואת פקטורים'!S$6, טבלה1[[#Headers],[SPPR_1986]:[SPPR_symbolic_full_import_as_DC]], 0)),
INDEX(טבלה2[[SPPR_1986]:[SPPR_symbolic_full_import_as_DC]], MATCH('השוואת פקטורים'!$B91, 'PPRs inner'!$A$2:$A$108, 0), MATCH('השוואת פקטורים'!T$6, טבלה2[[#Headers],[SPPR_1986]:[SPPR_symbolic_full_import_as_DC]], 0)) / INDEX(טבלה2[[SPPR_1986]:[SPPR_symbolic_full_import_as_DC]], MATCH('השוואת פקטורים'!$B91, 'PPRs inner'!$A$2:$A$108, 0), MATCH('השוואת פקטורים'!S$6, טבלה2[[#Headers],[SPPR_1986]:[SPPR_symbolic_full_import_as_DC]], 0))
)</f>
        <v>1.0014975408518059</v>
      </c>
      <c r="U91" s="9">
        <f>IF($B$4="סהכ",
INDEX(טבלה1[[SPPR_1986]:[SPPR_symbolic_full_import_as_DC]], MATCH('השוואת פקטורים'!$B91, 'PPRs all'!$A$2:$A$108, 0), MATCH('השוואת פקטורים'!U$6, טבלה1[[#Headers],[SPPR_1986]:[SPPR_symbolic_full_import_as_DC]], 0)) / INDEX(טבלה1[[SPPR_1986]:[SPPR_symbolic_full_import_as_DC]], MATCH('השוואת פקטורים'!$B91, 'PPRs all'!$A$2:$A$108, 0), MATCH('השוואת פקטורים'!T$6, טבלה1[[#Headers],[SPPR_1986]:[SPPR_symbolic_full_import_as_DC]], 0)),
INDEX(טבלה2[[SPPR_1986]:[SPPR_symbolic_full_import_as_DC]], MATCH('השוואת פקטורים'!$B91, 'PPRs inner'!$A$2:$A$108, 0), MATCH('השוואת פקטורים'!U$6, טבלה2[[#Headers],[SPPR_1986]:[SPPR_symbolic_full_import_as_DC]], 0)) / INDEX(טבלה2[[SPPR_1986]:[SPPR_symbolic_full_import_as_DC]], MATCH('השוואת פקטורים'!$B91, 'PPRs inner'!$A$2:$A$108, 0), MATCH('השוואת פקטורים'!T$6, טבלה2[[#Headers],[SPPR_1986]:[SPPR_symbolic_full_import_as_DC]], 0))
)</f>
        <v>0.99850469842339151</v>
      </c>
      <c r="V91" s="9"/>
      <c r="W91" s="9"/>
      <c r="X91" s="14"/>
      <c r="Y91" s="14"/>
      <c r="Z91" s="15">
        <f t="shared" si="6"/>
        <v>0.33995105807787612</v>
      </c>
    </row>
    <row r="92" spans="2:26" x14ac:dyDescent="0.3">
      <c r="B92" s="6" t="s">
        <v>106</v>
      </c>
      <c r="C92" s="12" t="b">
        <v>1</v>
      </c>
      <c r="D92" s="12" t="b">
        <v>1</v>
      </c>
      <c r="E92" s="12" t="b">
        <v>1</v>
      </c>
      <c r="F92" s="12" t="b">
        <f t="shared" si="5"/>
        <v>1</v>
      </c>
      <c r="G92" s="7" t="b">
        <f>ABS(INDEX(טבלה5[[SPPR_1986]:[SPPR_symbolic_full_import_as_DC]],MATCH('השוואת פקטורים'!$B92,טבלה5[עמודה1],0),MATCH($C$4,טבלה5[[#Headers],[SPPR_1986]:[SPPR_symbolic_full_import_as_DC]],0))) &lt; 5</f>
        <v>1</v>
      </c>
      <c r="H92" s="7" t="b">
        <f>INDEX(טבלה3[[SPPR_1986]:[SPPR_symbolic_full_import_as_DC]],MATCH('השוואת פקטורים'!$B92,טבלה3[עמודה1],0),MATCH($C$4,טבלה3[[#Headers],[SPPR_1986]:[SPPR_symbolic_full_import_as_DC]],0))</f>
        <v>1</v>
      </c>
      <c r="I92" s="7" t="b">
        <f t="shared" si="4"/>
        <v>1</v>
      </c>
      <c r="J92" s="13"/>
      <c r="K92" s="9">
        <f>IF($B$4="סהכ",
INDEX(טבלה1[[SPPR_1986]:[SPPR_symbolic_full_import_as_DC]], MATCH('השוואת פקטורים'!$B92, 'PPRs all'!$A$2:$A$108, 0), MATCH('השוואת פקטורים'!K$6, טבלה1[[#Headers],[SPPR_1986]:[SPPR_symbolic_full_import_as_DC]], 0)) / INDEX(טבלה1[[SPPR_1986]:[SPPR_symbolic_full_import_as_DC]], MATCH('השוואת פקטורים'!$B92, 'PPRs all'!$A$2:$A$108, 0), MATCH('השוואת פקטורים'!J$6, טבלה1[[#Headers],[SPPR_1986]:[SPPR_symbolic_full_import_as_DC]], 0)),
INDEX(טבלה2[[SPPR_1986]:[SPPR_symbolic_full_import_as_DC]], MATCH('השוואת פקטורים'!$B92, 'PPRs inner'!$A$2:$A$108, 0), MATCH('השוואת פקטורים'!K$6, טבלה2[[#Headers],[SPPR_1986]:[SPPR_symbolic_full_import_as_DC]], 0)) / INDEX(טבלה2[[SPPR_1986]:[SPPR_symbolic_full_import_as_DC]], MATCH('השוואת פקטורים'!$B92, 'PPRs inner'!$A$2:$A$108, 0), MATCH('השוואת פקטורים'!J$6, טבלה2[[#Headers],[SPPR_1986]:[SPPR_symbolic_full_import_as_DC]], 0))
)</f>
        <v>1.0464419098101048</v>
      </c>
      <c r="L92" s="9">
        <f>IF($B$4="סהכ",
INDEX(טבלה1[[SPPR_1986]:[SPPR_symbolic_full_import_as_DC]], MATCH('השוואת פקטורים'!$B92, 'PPRs all'!$A$2:$A$108, 0), MATCH('השוואת פקטורים'!L$6, טבלה1[[#Headers],[SPPR_1986]:[SPPR_symbolic_full_import_as_DC]], 0)) / INDEX(טבלה1[[SPPR_1986]:[SPPR_symbolic_full_import_as_DC]], MATCH('השוואת פקטורים'!$B92, 'PPRs all'!$A$2:$A$108, 0), MATCH('השוואת פקטורים'!K$6, טבלה1[[#Headers],[SPPR_1986]:[SPPR_symbolic_full_import_as_DC]], 0)),
INDEX(טבלה2[[SPPR_1986]:[SPPR_symbolic_full_import_as_DC]], MATCH('השוואת פקטורים'!$B92, 'PPRs inner'!$A$2:$A$108, 0), MATCH('השוואת פקטורים'!L$6, טבלה2[[#Headers],[SPPR_1986]:[SPPR_symbolic_full_import_as_DC]], 0)) / INDEX(טבלה2[[SPPR_1986]:[SPPR_symbolic_full_import_as_DC]], MATCH('השוואת פקטורים'!$B92, 'PPRs inner'!$A$2:$A$108, 0), MATCH('השוואת פקטורים'!K$6, טבלה2[[#Headers],[SPPR_1986]:[SPPR_symbolic_full_import_as_DC]], 0))
)</f>
        <v>9.1782905306110916</v>
      </c>
      <c r="M92" s="9">
        <f>IF($B$4="סהכ",
INDEX(טבלה1[[SPPR_1986]:[SPPR_symbolic_full_import_as_DC]], MATCH('השוואת פקטורים'!$B92, 'PPRs all'!$A$2:$A$108, 0), MATCH('השוואת פקטורים'!M$6, טבלה1[[#Headers],[SPPR_1986]:[SPPR_symbolic_full_import_as_DC]], 0)) / INDEX(טבלה1[[SPPR_1986]:[SPPR_symbolic_full_import_as_DC]], MATCH('השוואת פקטורים'!$B92, 'PPRs all'!$A$2:$A$108, 0), MATCH('השוואת פקטורים'!L$6, טבלה1[[#Headers],[SPPR_1986]:[SPPR_symbolic_full_import_as_DC]], 0)),
INDEX(טבלה2[[SPPR_1986]:[SPPR_symbolic_full_import_as_DC]], MATCH('השוואת פקטורים'!$B92, 'PPRs inner'!$A$2:$A$108, 0), MATCH('השוואת פקטורים'!M$6, טבלה2[[#Headers],[SPPR_1986]:[SPPR_symbolic_full_import_as_DC]], 0)) / INDEX(טבלה2[[SPPR_1986]:[SPPR_symbolic_full_import_as_DC]], MATCH('השוואת פקטורים'!$B92, 'PPRs inner'!$A$2:$A$108, 0), MATCH('השוואת פקטורים'!L$6, טבלה2[[#Headers],[SPPR_1986]:[SPPR_symbolic_full_import_as_DC]], 0))
)</f>
        <v>0.35834951998643566</v>
      </c>
      <c r="N92" s="9">
        <f>IF($B$4="סהכ",
INDEX(טבלה1[[SPPR_1986]:[SPPR_symbolic_full_import_as_DC]], MATCH('השוואת פקטורים'!$B92, 'PPRs all'!$A$2:$A$108, 0), MATCH('השוואת פקטורים'!N$6, טבלה1[[#Headers],[SPPR_1986]:[SPPR_symbolic_full_import_as_DC]], 0)) / INDEX(טבלה1[[SPPR_1986]:[SPPR_symbolic_full_import_as_DC]], MATCH('השוואת פקטורים'!$B92, 'PPRs all'!$A$2:$A$108, 0), MATCH('השוואת פקטורים'!M$6, טבלה1[[#Headers],[SPPR_1986]:[SPPR_symbolic_full_import_as_DC]], 0)),
INDEX(טבלה2[[SPPR_1986]:[SPPR_symbolic_full_import_as_DC]], MATCH('השוואת פקטורים'!$B92, 'PPRs inner'!$A$2:$A$108, 0), MATCH('השוואת פקטורים'!N$6, טבלה2[[#Headers],[SPPR_1986]:[SPPR_symbolic_full_import_as_DC]], 0)) / INDEX(טבלה2[[SPPR_1986]:[SPPR_symbolic_full_import_as_DC]], MATCH('השוואת פקטורים'!$B92, 'PPRs inner'!$A$2:$A$108, 0), MATCH('השוואת פקטורים'!M$6, טבלה2[[#Headers],[SPPR_1986]:[SPPR_symbolic_full_import_as_DC]], 0))
)</f>
        <v>1.8321892668982858</v>
      </c>
      <c r="O92" s="9">
        <f>IF($B$4="סהכ",
INDEX(טבלה1[[SPPR_1986]:[SPPR_symbolic_full_import_as_DC]], MATCH('השוואת פקטורים'!$B92, 'PPRs all'!$A$2:$A$108, 0), MATCH('השוואת פקטורים'!O$6, טבלה1[[#Headers],[SPPR_1986]:[SPPR_symbolic_full_import_as_DC]], 0)) / INDEX(טבלה1[[SPPR_1986]:[SPPR_symbolic_full_import_as_DC]], MATCH('השוואת פקטורים'!$B92, 'PPRs all'!$A$2:$A$108, 0), MATCH('השוואת פקטורים'!N$6, טבלה1[[#Headers],[SPPR_1986]:[SPPR_symbolic_full_import_as_DC]], 0)),
INDEX(טבלה2[[SPPR_1986]:[SPPR_symbolic_full_import_as_DC]], MATCH('השוואת פקטורים'!$B92, 'PPRs inner'!$A$2:$A$108, 0), MATCH('השוואת פקטורים'!O$6, טבלה2[[#Headers],[SPPR_1986]:[SPPR_symbolic_full_import_as_DC]], 0)) / INDEX(טבלה2[[SPPR_1986]:[SPPR_symbolic_full_import_as_DC]], MATCH('השוואת פקטורים'!$B92, 'PPRs inner'!$A$2:$A$108, 0), MATCH('השוואת פקטורים'!N$6, טבלה2[[#Headers],[SPPR_1986]:[SPPR_symbolic_full_import_as_DC]], 0))
)</f>
        <v>1.0000000000000018</v>
      </c>
      <c r="P92" s="9">
        <f>IF($B$4="סהכ",
INDEX(טבלה1[[SPPR_1986]:[SPPR_symbolic_full_import_as_DC]], MATCH('השוואת פקטורים'!$B92, 'PPRs all'!$A$2:$A$108, 0), MATCH('השוואת פקטורים'!P$6, טבלה1[[#Headers],[SPPR_1986]:[SPPR_symbolic_full_import_as_DC]], 0)) / INDEX(טבלה1[[SPPR_1986]:[SPPR_symbolic_full_import_as_DC]], MATCH('השוואת פקטורים'!$B92, 'PPRs all'!$A$2:$A$108, 0), MATCH('השוואת פקטורים'!O$6, טבלה1[[#Headers],[SPPR_1986]:[SPPR_symbolic_full_import_as_DC]], 0)),
INDEX(טבלה2[[SPPR_1986]:[SPPR_symbolic_full_import_as_DC]], MATCH('השוואת פקטורים'!$B92, 'PPRs inner'!$A$2:$A$108, 0), MATCH('השוואת פקטורים'!P$6, טבלה2[[#Headers],[SPPR_1986]:[SPPR_symbolic_full_import_as_DC]], 0)) / INDEX(טבלה2[[SPPR_1986]:[SPPR_symbolic_full_import_as_DC]], MATCH('השוואת פקטורים'!$B92, 'PPRs inner'!$A$2:$A$108, 0), MATCH('השוואת פקטורים'!O$6, טבלה2[[#Headers],[SPPR_1986]:[SPPR_symbolic_full_import_as_DC]], 0))
)</f>
        <v>0.53650122041243342</v>
      </c>
      <c r="Q92" s="9">
        <f>IF($B$4="סהכ",
INDEX(טבלה1[[SPPR_1986]:[SPPR_symbolic_full_import_as_DC]], MATCH('השוואת פקטורים'!$B92, 'PPRs all'!$A$2:$A$108, 0), MATCH('השוואת פקטורים'!Q$6, טבלה1[[#Headers],[SPPR_1986]:[SPPR_symbolic_full_import_as_DC]], 0)) / INDEX(טבלה1[[SPPR_1986]:[SPPR_symbolic_full_import_as_DC]], MATCH('השוואת פקטורים'!$B92, 'PPRs all'!$A$2:$A$108, 0), MATCH('השוואת פקטורים'!P$6, טבלה1[[#Headers],[SPPR_1986]:[SPPR_symbolic_full_import_as_DC]], 0)),
INDEX(טבלה2[[SPPR_1986]:[SPPR_symbolic_full_import_as_DC]], MATCH('השוואת פקטורים'!$B92, 'PPRs inner'!$A$2:$A$108, 0), MATCH('השוואת פקטורים'!Q$6, טבלה2[[#Headers],[SPPR_1986]:[SPPR_symbolic_full_import_as_DC]], 0)) / INDEX(טבלה2[[SPPR_1986]:[SPPR_symbolic_full_import_as_DC]], MATCH('השוואת פקטורים'!$B92, 'PPRs inner'!$A$2:$A$108, 0), MATCH('השוואת פקטורים'!P$6, טבלה2[[#Headers],[SPPR_1986]:[SPPR_symbolic_full_import_as_DC]], 0))
)</f>
        <v>0.99999999999999156</v>
      </c>
      <c r="R92" s="9">
        <f>IF($B$4="סהכ",
INDEX(טבלה1[[SPPR_1986]:[SPPR_symbolic_full_import_as_DC]], MATCH('השוואת פקטורים'!$B92, 'PPRs all'!$A$2:$A$108, 0), MATCH('השוואת פקטורים'!R$6, טבלה1[[#Headers],[SPPR_1986]:[SPPR_symbolic_full_import_as_DC]], 0)) / INDEX(טבלה1[[SPPR_1986]:[SPPR_symbolic_full_import_as_DC]], MATCH('השוואת פקטורים'!$B92, 'PPRs all'!$A$2:$A$108, 0), MATCH('השוואת פקטורים'!Q$6, טבלה1[[#Headers],[SPPR_1986]:[SPPR_symbolic_full_import_as_DC]], 0)),
INDEX(טבלה2[[SPPR_1986]:[SPPR_symbolic_full_import_as_DC]], MATCH('השוואת פקטורים'!$B92, 'PPRs inner'!$A$2:$A$108, 0), MATCH('השוואת פקטורים'!R$6, טבלה2[[#Headers],[SPPR_1986]:[SPPR_symbolic_full_import_as_DC]], 0)) / INDEX(טבלה2[[SPPR_1986]:[SPPR_symbolic_full_import_as_DC]], MATCH('השוואת פקטורים'!$B92, 'PPRs inner'!$A$2:$A$108, 0), MATCH('השוואת פקטורים'!Q$6, טבלה2[[#Headers],[SPPR_1986]:[SPPR_symbolic_full_import_as_DC]], 0))
)</f>
        <v>1</v>
      </c>
      <c r="S92" s="9">
        <f>IF($B$4="סהכ",
INDEX(טבלה1[[SPPR_1986]:[SPPR_symbolic_full_import_as_DC]], MATCH('השוואת פקטורים'!$B92, 'PPRs all'!$A$2:$A$108, 0), MATCH('השוואת פקטורים'!S$6, טבלה1[[#Headers],[SPPR_1986]:[SPPR_symbolic_full_import_as_DC]], 0)) / INDEX(טבלה1[[SPPR_1986]:[SPPR_symbolic_full_import_as_DC]], MATCH('השוואת פקטורים'!$B92, 'PPRs all'!$A$2:$A$108, 0), MATCH('השוואת פקטורים'!R$6, טבלה1[[#Headers],[SPPR_1986]:[SPPR_symbolic_full_import_as_DC]], 0)),
INDEX(טבלה2[[SPPR_1986]:[SPPR_symbolic_full_import_as_DC]], MATCH('השוואת פקטורים'!$B92, 'PPRs inner'!$A$2:$A$108, 0), MATCH('השוואת פקטורים'!S$6, טבלה2[[#Headers],[SPPR_1986]:[SPPR_symbolic_full_import_as_DC]], 0)) / INDEX(טבלה2[[SPPR_1986]:[SPPR_symbolic_full_import_as_DC]], MATCH('השוואת פקטורים'!$B92, 'PPRs inner'!$A$2:$A$108, 0), MATCH('השוואת פקטורים'!R$6, טבלה2[[#Headers],[SPPR_1986]:[SPPR_symbolic_full_import_as_DC]], 0))
)</f>
        <v>1</v>
      </c>
      <c r="T92" s="9">
        <f>IF($B$4="סהכ",
INDEX(טבלה1[[SPPR_1986]:[SPPR_symbolic_full_import_as_DC]], MATCH('השוואת פקטורים'!$B92, 'PPRs all'!$A$2:$A$108, 0), MATCH('השוואת פקטורים'!T$6, טבלה1[[#Headers],[SPPR_1986]:[SPPR_symbolic_full_import_as_DC]], 0)) / INDEX(טבלה1[[SPPR_1986]:[SPPR_symbolic_full_import_as_DC]], MATCH('השוואת פקטורים'!$B92, 'PPRs all'!$A$2:$A$108, 0), MATCH('השוואת פקטורים'!S$6, טבלה1[[#Headers],[SPPR_1986]:[SPPR_symbolic_full_import_as_DC]], 0)),
INDEX(טבלה2[[SPPR_1986]:[SPPR_symbolic_full_import_as_DC]], MATCH('השוואת פקטורים'!$B92, 'PPRs inner'!$A$2:$A$108, 0), MATCH('השוואת פקטורים'!T$6, טבלה2[[#Headers],[SPPR_1986]:[SPPR_symbolic_full_import_as_DC]], 0)) / INDEX(טבלה2[[SPPR_1986]:[SPPR_symbolic_full_import_as_DC]], MATCH('השוואת פקטורים'!$B92, 'PPRs inner'!$A$2:$A$108, 0), MATCH('השוואת פקטורים'!S$6, טבלה2[[#Headers],[SPPR_1986]:[SPPR_symbolic_full_import_as_DC]], 0))
)</f>
        <v>1</v>
      </c>
      <c r="U92" s="9">
        <f>IF($B$4="סהכ",
INDEX(טבלה1[[SPPR_1986]:[SPPR_symbolic_full_import_as_DC]], MATCH('השוואת פקטורים'!$B92, 'PPRs all'!$A$2:$A$108, 0), MATCH('השוואת פקטורים'!U$6, טבלה1[[#Headers],[SPPR_1986]:[SPPR_symbolic_full_import_as_DC]], 0)) / INDEX(טבלה1[[SPPR_1986]:[SPPR_symbolic_full_import_as_DC]], MATCH('השוואת פקטורים'!$B92, 'PPRs all'!$A$2:$A$108, 0), MATCH('השוואת פקטורים'!T$6, טבלה1[[#Headers],[SPPR_1986]:[SPPR_symbolic_full_import_as_DC]], 0)),
INDEX(טבלה2[[SPPR_1986]:[SPPR_symbolic_full_import_as_DC]], MATCH('השוואת פקטורים'!$B92, 'PPRs inner'!$A$2:$A$108, 0), MATCH('השוואת פקטורים'!U$6, טבלה2[[#Headers],[SPPR_1986]:[SPPR_symbolic_full_import_as_DC]], 0)) / INDEX(טבלה2[[SPPR_1986]:[SPPR_symbolic_full_import_as_DC]], MATCH('השוואת פקטורים'!$B92, 'PPRs inner'!$A$2:$A$108, 0), MATCH('השוואת פקטורים'!T$6, טבלה2[[#Headers],[SPPR_1986]:[SPPR_symbolic_full_import_as_DC]], 0))
)</f>
        <v>1.0000000000000084</v>
      </c>
      <c r="V92" s="9"/>
      <c r="W92" s="9"/>
      <c r="X92" s="14"/>
      <c r="Y92" s="14"/>
      <c r="Z92" s="15">
        <f t="shared" si="6"/>
        <v>3.3831776374273019</v>
      </c>
    </row>
    <row r="93" spans="2:26" x14ac:dyDescent="0.3">
      <c r="B93" s="6" t="s">
        <v>107</v>
      </c>
      <c r="C93" s="12" t="b">
        <v>1</v>
      </c>
      <c r="D93" s="12" t="b">
        <v>1</v>
      </c>
      <c r="E93" s="12" t="b">
        <v>1</v>
      </c>
      <c r="F93" s="12" t="b">
        <f t="shared" si="5"/>
        <v>1</v>
      </c>
      <c r="G93" s="7" t="b">
        <f>ABS(INDEX(טבלה5[[SPPR_1986]:[SPPR_symbolic_full_import_as_DC]],MATCH('השוואת פקטורים'!$B93,טבלה5[עמודה1],0),MATCH($C$4,טבלה5[[#Headers],[SPPR_1986]:[SPPR_symbolic_full_import_as_DC]],0))) &lt; 5</f>
        <v>1</v>
      </c>
      <c r="H93" s="7" t="b">
        <f>INDEX(טבלה3[[SPPR_1986]:[SPPR_symbolic_full_import_as_DC]],MATCH('השוואת פקטורים'!$B93,טבלה3[עמודה1],0),MATCH($C$4,טבלה3[[#Headers],[SPPR_1986]:[SPPR_symbolic_full_import_as_DC]],0))</f>
        <v>1</v>
      </c>
      <c r="I93" s="7" t="b">
        <f t="shared" si="4"/>
        <v>1</v>
      </c>
      <c r="J93" s="13"/>
      <c r="K93" s="9">
        <f>IF($B$4="סהכ",
INDEX(טבלה1[[SPPR_1986]:[SPPR_symbolic_full_import_as_DC]], MATCH('השוואת פקטורים'!$B93, 'PPRs all'!$A$2:$A$108, 0), MATCH('השוואת פקטורים'!K$6, טבלה1[[#Headers],[SPPR_1986]:[SPPR_symbolic_full_import_as_DC]], 0)) / INDEX(טבלה1[[SPPR_1986]:[SPPR_symbolic_full_import_as_DC]], MATCH('השוואת פקטורים'!$B93, 'PPRs all'!$A$2:$A$108, 0), MATCH('השוואת פקטורים'!J$6, טבלה1[[#Headers],[SPPR_1986]:[SPPR_symbolic_full_import_as_DC]], 0)),
INDEX(טבלה2[[SPPR_1986]:[SPPR_symbolic_full_import_as_DC]], MATCH('השוואת פקטורים'!$B93, 'PPRs inner'!$A$2:$A$108, 0), MATCH('השוואת פקטורים'!K$6, טבלה2[[#Headers],[SPPR_1986]:[SPPR_symbolic_full_import_as_DC]], 0)) / INDEX(טבלה2[[SPPR_1986]:[SPPR_symbolic_full_import_as_DC]], MATCH('השוואת פקטורים'!$B93, 'PPRs inner'!$A$2:$A$108, 0), MATCH('השוואת פקטורים'!J$6, טבלה2[[#Headers],[SPPR_1986]:[SPPR_symbolic_full_import_as_DC]], 0))
)</f>
        <v>1.0697962959275926</v>
      </c>
      <c r="L93" s="9">
        <f>IF($B$4="סהכ",
INDEX(טבלה1[[SPPR_1986]:[SPPR_symbolic_full_import_as_DC]], MATCH('השוואת פקטורים'!$B93, 'PPRs all'!$A$2:$A$108, 0), MATCH('השוואת פקטורים'!L$6, טבלה1[[#Headers],[SPPR_1986]:[SPPR_symbolic_full_import_as_DC]], 0)) / INDEX(טבלה1[[SPPR_1986]:[SPPR_symbolic_full_import_as_DC]], MATCH('השוואת פקטורים'!$B93, 'PPRs all'!$A$2:$A$108, 0), MATCH('השוואת פקטורים'!K$6, טבלה1[[#Headers],[SPPR_1986]:[SPPR_symbolic_full_import_as_DC]], 0)),
INDEX(טבלה2[[SPPR_1986]:[SPPR_symbolic_full_import_as_DC]], MATCH('השוואת פקטורים'!$B93, 'PPRs inner'!$A$2:$A$108, 0), MATCH('השוואת פקטורים'!L$6, טבלה2[[#Headers],[SPPR_1986]:[SPPR_symbolic_full_import_as_DC]], 0)) / INDEX(טבלה2[[SPPR_1986]:[SPPR_symbolic_full_import_as_DC]], MATCH('השוואת פקטורים'!$B93, 'PPRs inner'!$A$2:$A$108, 0), MATCH('השוואת פקטורים'!K$6, טבלה2[[#Headers],[SPPR_1986]:[SPPR_symbolic_full_import_as_DC]], 0))
)</f>
        <v>11.586503749333657</v>
      </c>
      <c r="M93" s="9">
        <f>IF($B$4="סהכ",
INDEX(טבלה1[[SPPR_1986]:[SPPR_symbolic_full_import_as_DC]], MATCH('השוואת פקטורים'!$B93, 'PPRs all'!$A$2:$A$108, 0), MATCH('השוואת פקטורים'!M$6, טבלה1[[#Headers],[SPPR_1986]:[SPPR_symbolic_full_import_as_DC]], 0)) / INDEX(טבלה1[[SPPR_1986]:[SPPR_symbolic_full_import_as_DC]], MATCH('השוואת פקטורים'!$B93, 'PPRs all'!$A$2:$A$108, 0), MATCH('השוואת פקטורים'!L$6, טבלה1[[#Headers],[SPPR_1986]:[SPPR_symbolic_full_import_as_DC]], 0)),
INDEX(טבלה2[[SPPR_1986]:[SPPR_symbolic_full_import_as_DC]], MATCH('השוואת פקטורים'!$B93, 'PPRs inner'!$A$2:$A$108, 0), MATCH('השוואת פקטורים'!M$6, טבלה2[[#Headers],[SPPR_1986]:[SPPR_symbolic_full_import_as_DC]], 0)) / INDEX(טבלה2[[SPPR_1986]:[SPPR_symbolic_full_import_as_DC]], MATCH('השוואת פקטורים'!$B93, 'PPRs inner'!$A$2:$A$108, 0), MATCH('השוואת פקטורים'!L$6, טבלה2[[#Headers],[SPPR_1986]:[SPPR_symbolic_full_import_as_DC]], 0))
)</f>
        <v>0.27077774045004588</v>
      </c>
      <c r="N93" s="9">
        <f>IF($B$4="סהכ",
INDEX(טבלה1[[SPPR_1986]:[SPPR_symbolic_full_import_as_DC]], MATCH('השוואת פקטורים'!$B93, 'PPRs all'!$A$2:$A$108, 0), MATCH('השוואת פקטורים'!N$6, טבלה1[[#Headers],[SPPR_1986]:[SPPR_symbolic_full_import_as_DC]], 0)) / INDEX(טבלה1[[SPPR_1986]:[SPPR_symbolic_full_import_as_DC]], MATCH('השוואת פקטורים'!$B93, 'PPRs all'!$A$2:$A$108, 0), MATCH('השוואת פקטורים'!M$6, טבלה1[[#Headers],[SPPR_1986]:[SPPR_symbolic_full_import_as_DC]], 0)),
INDEX(טבלה2[[SPPR_1986]:[SPPR_symbolic_full_import_as_DC]], MATCH('השוואת פקטורים'!$B93, 'PPRs inner'!$A$2:$A$108, 0), MATCH('השוואת פקטורים'!N$6, טבלה2[[#Headers],[SPPR_1986]:[SPPR_symbolic_full_import_as_DC]], 0)) / INDEX(טבלה2[[SPPR_1986]:[SPPR_symbolic_full_import_as_DC]], MATCH('השוואת פקטורים'!$B93, 'PPRs inner'!$A$2:$A$108, 0), MATCH('השוואת פקטורים'!M$6, טבלה2[[#Headers],[SPPR_1986]:[SPPR_symbolic_full_import_as_DC]], 0))
)</f>
        <v>2.0736885341493059</v>
      </c>
      <c r="O93" s="9">
        <f>IF($B$4="סהכ",
INDEX(טבלה1[[SPPR_1986]:[SPPR_symbolic_full_import_as_DC]], MATCH('השוואת פקטורים'!$B93, 'PPRs all'!$A$2:$A$108, 0), MATCH('השוואת פקטורים'!O$6, טבלה1[[#Headers],[SPPR_1986]:[SPPR_symbolic_full_import_as_DC]], 0)) / INDEX(טבלה1[[SPPR_1986]:[SPPR_symbolic_full_import_as_DC]], MATCH('השוואת פקטורים'!$B93, 'PPRs all'!$A$2:$A$108, 0), MATCH('השוואת פקטורים'!N$6, טבלה1[[#Headers],[SPPR_1986]:[SPPR_symbolic_full_import_as_DC]], 0)),
INDEX(טבלה2[[SPPR_1986]:[SPPR_symbolic_full_import_as_DC]], MATCH('השוואת פקטורים'!$B93, 'PPRs inner'!$A$2:$A$108, 0), MATCH('השוואת פקטורים'!O$6, טבלה2[[#Headers],[SPPR_1986]:[SPPR_symbolic_full_import_as_DC]], 0)) / INDEX(טבלה2[[SPPR_1986]:[SPPR_symbolic_full_import_as_DC]], MATCH('השוואת פקטורים'!$B93, 'PPRs inner'!$A$2:$A$108, 0), MATCH('השוואת פקטורים'!N$6, טבלה2[[#Headers],[SPPR_1986]:[SPPR_symbolic_full_import_as_DC]], 0))
)</f>
        <v>0.99999999999999933</v>
      </c>
      <c r="P93" s="9">
        <f>IF($B$4="סהכ",
INDEX(טבלה1[[SPPR_1986]:[SPPR_symbolic_full_import_as_DC]], MATCH('השוואת פקטורים'!$B93, 'PPRs all'!$A$2:$A$108, 0), MATCH('השוואת פקטורים'!P$6, טבלה1[[#Headers],[SPPR_1986]:[SPPR_symbolic_full_import_as_DC]], 0)) / INDEX(טבלה1[[SPPR_1986]:[SPPR_symbolic_full_import_as_DC]], MATCH('השוואת פקטורים'!$B93, 'PPRs all'!$A$2:$A$108, 0), MATCH('השוואת פקטורים'!O$6, טבלה1[[#Headers],[SPPR_1986]:[SPPR_symbolic_full_import_as_DC]], 0)),
INDEX(טבלה2[[SPPR_1986]:[SPPR_symbolic_full_import_as_DC]], MATCH('השוואת פקטורים'!$B93, 'PPRs inner'!$A$2:$A$108, 0), MATCH('השוואת פקטורים'!P$6, טבלה2[[#Headers],[SPPR_1986]:[SPPR_symbolic_full_import_as_DC]], 0)) / INDEX(טבלה2[[SPPR_1986]:[SPPR_symbolic_full_import_as_DC]], MATCH('השוואת פקטורים'!$B93, 'PPRs inner'!$A$2:$A$108, 0), MATCH('השוואת פקטורים'!O$6, טבלה2[[#Headers],[SPPR_1986]:[SPPR_symbolic_full_import_as_DC]], 0))
)</f>
        <v>0.60083978750526301</v>
      </c>
      <c r="Q93" s="9">
        <f>IF($B$4="סהכ",
INDEX(טבלה1[[SPPR_1986]:[SPPR_symbolic_full_import_as_DC]], MATCH('השוואת פקטורים'!$B93, 'PPRs all'!$A$2:$A$108, 0), MATCH('השוואת פקטורים'!Q$6, טבלה1[[#Headers],[SPPR_1986]:[SPPR_symbolic_full_import_as_DC]], 0)) / INDEX(טבלה1[[SPPR_1986]:[SPPR_symbolic_full_import_as_DC]], MATCH('השוואת פקטורים'!$B93, 'PPRs all'!$A$2:$A$108, 0), MATCH('השוואת פקטורים'!P$6, טבלה1[[#Headers],[SPPR_1986]:[SPPR_symbolic_full_import_as_DC]], 0)),
INDEX(טבלה2[[SPPR_1986]:[SPPR_symbolic_full_import_as_DC]], MATCH('השוואת פקטורים'!$B93, 'PPRs inner'!$A$2:$A$108, 0), MATCH('השוואת פקטורים'!Q$6, טבלה2[[#Headers],[SPPR_1986]:[SPPR_symbolic_full_import_as_DC]], 0)) / INDEX(טבלה2[[SPPR_1986]:[SPPR_symbolic_full_import_as_DC]], MATCH('השוואת פקטורים'!$B93, 'PPRs inner'!$A$2:$A$108, 0), MATCH('השוואת פקטורים'!P$6, טבלה2[[#Headers],[SPPR_1986]:[SPPR_symbolic_full_import_as_DC]], 0))
)</f>
        <v>0.99999999999999944</v>
      </c>
      <c r="R93" s="9">
        <f>IF($B$4="סהכ",
INDEX(טבלה1[[SPPR_1986]:[SPPR_symbolic_full_import_as_DC]], MATCH('השוואת פקטורים'!$B93, 'PPRs all'!$A$2:$A$108, 0), MATCH('השוואת פקטורים'!R$6, טבלה1[[#Headers],[SPPR_1986]:[SPPR_symbolic_full_import_as_DC]], 0)) / INDEX(טבלה1[[SPPR_1986]:[SPPR_symbolic_full_import_as_DC]], MATCH('השוואת פקטורים'!$B93, 'PPRs all'!$A$2:$A$108, 0), MATCH('השוואת פקטורים'!Q$6, טבלה1[[#Headers],[SPPR_1986]:[SPPR_symbolic_full_import_as_DC]], 0)),
INDEX(טבלה2[[SPPR_1986]:[SPPR_symbolic_full_import_as_DC]], MATCH('השוואת פקטורים'!$B93, 'PPRs inner'!$A$2:$A$108, 0), MATCH('השוואת פקטורים'!R$6, טבלה2[[#Headers],[SPPR_1986]:[SPPR_symbolic_full_import_as_DC]], 0)) / INDEX(טבלה2[[SPPR_1986]:[SPPR_symbolic_full_import_as_DC]], MATCH('השוואת פקטורים'!$B93, 'PPRs inner'!$A$2:$A$108, 0), MATCH('השוואת פקטורים'!Q$6, טבלה2[[#Headers],[SPPR_1986]:[SPPR_symbolic_full_import_as_DC]], 0))
)</f>
        <v>1</v>
      </c>
      <c r="S93" s="9">
        <f>IF($B$4="סהכ",
INDEX(טבלה1[[SPPR_1986]:[SPPR_symbolic_full_import_as_DC]], MATCH('השוואת פקטורים'!$B93, 'PPRs all'!$A$2:$A$108, 0), MATCH('השוואת פקטורים'!S$6, טבלה1[[#Headers],[SPPR_1986]:[SPPR_symbolic_full_import_as_DC]], 0)) / INDEX(טבלה1[[SPPR_1986]:[SPPR_symbolic_full_import_as_DC]], MATCH('השוואת פקטורים'!$B93, 'PPRs all'!$A$2:$A$108, 0), MATCH('השוואת פקטורים'!R$6, טבלה1[[#Headers],[SPPR_1986]:[SPPR_symbolic_full_import_as_DC]], 0)),
INDEX(טבלה2[[SPPR_1986]:[SPPR_symbolic_full_import_as_DC]], MATCH('השוואת פקטורים'!$B93, 'PPRs inner'!$A$2:$A$108, 0), MATCH('השוואת פקטורים'!S$6, טבלה2[[#Headers],[SPPR_1986]:[SPPR_symbolic_full_import_as_DC]], 0)) / INDEX(טבלה2[[SPPR_1986]:[SPPR_symbolic_full_import_as_DC]], MATCH('השוואת פקטורים'!$B93, 'PPRs inner'!$A$2:$A$108, 0), MATCH('השוואת פקטורים'!R$6, טבלה2[[#Headers],[SPPR_1986]:[SPPR_symbolic_full_import_as_DC]], 0))
)</f>
        <v>1</v>
      </c>
      <c r="T93" s="9">
        <f>IF($B$4="סהכ",
INDEX(טבלה1[[SPPR_1986]:[SPPR_symbolic_full_import_as_DC]], MATCH('השוואת פקטורים'!$B93, 'PPRs all'!$A$2:$A$108, 0), MATCH('השוואת פקטורים'!T$6, טבלה1[[#Headers],[SPPR_1986]:[SPPR_symbolic_full_import_as_DC]], 0)) / INDEX(טבלה1[[SPPR_1986]:[SPPR_symbolic_full_import_as_DC]], MATCH('השוואת פקטורים'!$B93, 'PPRs all'!$A$2:$A$108, 0), MATCH('השוואת פקטורים'!S$6, טבלה1[[#Headers],[SPPR_1986]:[SPPR_symbolic_full_import_as_DC]], 0)),
INDEX(טבלה2[[SPPR_1986]:[SPPR_symbolic_full_import_as_DC]], MATCH('השוואת פקטורים'!$B93, 'PPRs inner'!$A$2:$A$108, 0), MATCH('השוואת פקטורים'!T$6, טבלה2[[#Headers],[SPPR_1986]:[SPPR_symbolic_full_import_as_DC]], 0)) / INDEX(טבלה2[[SPPR_1986]:[SPPR_symbolic_full_import_as_DC]], MATCH('השוואת פקטורים'!$B93, 'PPRs inner'!$A$2:$A$108, 0), MATCH('השוואת פקטורים'!S$6, טבלה2[[#Headers],[SPPR_1986]:[SPPR_symbolic_full_import_as_DC]], 0))
)</f>
        <v>1</v>
      </c>
      <c r="U93" s="9">
        <f>IF($B$4="סהכ",
INDEX(טבלה1[[SPPR_1986]:[SPPR_symbolic_full_import_as_DC]], MATCH('השוואת פקטורים'!$B93, 'PPRs all'!$A$2:$A$108, 0), MATCH('השוואת פקטורים'!U$6, טבלה1[[#Headers],[SPPR_1986]:[SPPR_symbolic_full_import_as_DC]], 0)) / INDEX(טבלה1[[SPPR_1986]:[SPPR_symbolic_full_import_as_DC]], MATCH('השוואת פקטורים'!$B93, 'PPRs all'!$A$2:$A$108, 0), MATCH('השוואת פקטורים'!T$6, טבלה1[[#Headers],[SPPR_1986]:[SPPR_symbolic_full_import_as_DC]], 0)),
INDEX(טבלה2[[SPPR_1986]:[SPPR_symbolic_full_import_as_DC]], MATCH('השוואת פקטורים'!$B93, 'PPRs inner'!$A$2:$A$108, 0), MATCH('השוואת פקטורים'!U$6, טבלה2[[#Headers],[SPPR_1986]:[SPPR_symbolic_full_import_as_DC]], 0)) / INDEX(טבלה2[[SPPR_1986]:[SPPR_symbolic_full_import_as_DC]], MATCH('השוואת פקטורים'!$B93, 'PPRs inner'!$A$2:$A$108, 0), MATCH('השוואת פקטורים'!T$6, טבלה2[[#Headers],[SPPR_1986]:[SPPR_symbolic_full_import_as_DC]], 0))
)</f>
        <v>1.0000000000000007</v>
      </c>
      <c r="V93" s="9"/>
      <c r="W93" s="9"/>
      <c r="X93" s="14"/>
      <c r="Y93" s="14"/>
      <c r="Z93" s="15">
        <f t="shared" si="6"/>
        <v>4.1818520754291244</v>
      </c>
    </row>
    <row r="94" spans="2:26" x14ac:dyDescent="0.3">
      <c r="B94" s="6" t="s">
        <v>108</v>
      </c>
      <c r="C94" s="12" t="b">
        <v>1</v>
      </c>
      <c r="D94" s="12" t="b">
        <v>0</v>
      </c>
      <c r="E94" s="12" t="b">
        <v>1</v>
      </c>
      <c r="F94" s="12" t="b">
        <f t="shared" si="5"/>
        <v>0</v>
      </c>
      <c r="G94" s="7" t="b">
        <f>ABS(INDEX(טבלה5[[SPPR_1986]:[SPPR_symbolic_full_import_as_DC]],MATCH('השוואת פקטורים'!$B94,טבלה5[עמודה1],0),MATCH($C$4,טבלה5[[#Headers],[SPPR_1986]:[SPPR_symbolic_full_import_as_DC]],0))) &lt; 5</f>
        <v>1</v>
      </c>
      <c r="H94" s="7" t="b">
        <f>INDEX(טבלה3[[SPPR_1986]:[SPPR_symbolic_full_import_as_DC]],MATCH('השוואת פקטורים'!$B94,טבלה3[עמודה1],0),MATCH($C$4,טבלה3[[#Headers],[SPPR_1986]:[SPPR_symbolic_full_import_as_DC]],0))</f>
        <v>1</v>
      </c>
      <c r="I94" s="7" t="b">
        <f t="shared" si="4"/>
        <v>0</v>
      </c>
      <c r="J94" s="13"/>
      <c r="K94" s="9">
        <f>IF($B$4="סהכ",
INDEX(טבלה1[[SPPR_1986]:[SPPR_symbolic_full_import_as_DC]], MATCH('השוואת פקטורים'!$B94, 'PPRs all'!$A$2:$A$108, 0), MATCH('השוואת פקטורים'!K$6, טבלה1[[#Headers],[SPPR_1986]:[SPPR_symbolic_full_import_as_DC]], 0)) / INDEX(טבלה1[[SPPR_1986]:[SPPR_symbolic_full_import_as_DC]], MATCH('השוואת פקטורים'!$B94, 'PPRs all'!$A$2:$A$108, 0), MATCH('השוואת פקטורים'!J$6, טבלה1[[#Headers],[SPPR_1986]:[SPPR_symbolic_full_import_as_DC]], 0)),
INDEX(טבלה2[[SPPR_1986]:[SPPR_symbolic_full_import_as_DC]], MATCH('השוואת פקטורים'!$B94, 'PPRs inner'!$A$2:$A$108, 0), MATCH('השוואת פקטורים'!K$6, טבלה2[[#Headers],[SPPR_1986]:[SPPR_symbolic_full_import_as_DC]], 0)) / INDEX(טבלה2[[SPPR_1986]:[SPPR_symbolic_full_import_as_DC]], MATCH('השוואת פקטורים'!$B94, 'PPRs inner'!$A$2:$A$108, 0), MATCH('השוואת פקטורים'!J$6, טבלה2[[#Headers],[SPPR_1986]:[SPPR_symbolic_full_import_as_DC]], 0))
)</f>
        <v>2.4950936969617965</v>
      </c>
      <c r="L94" s="9">
        <f>IF($B$4="סהכ",
INDEX(טבלה1[[SPPR_1986]:[SPPR_symbolic_full_import_as_DC]], MATCH('השוואת פקטורים'!$B94, 'PPRs all'!$A$2:$A$108, 0), MATCH('השוואת פקטורים'!L$6, טבלה1[[#Headers],[SPPR_1986]:[SPPR_symbolic_full_import_as_DC]], 0)) / INDEX(טבלה1[[SPPR_1986]:[SPPR_symbolic_full_import_as_DC]], MATCH('השוואת פקטורים'!$B94, 'PPRs all'!$A$2:$A$108, 0), MATCH('השוואת פקטורים'!K$6, טבלה1[[#Headers],[SPPR_1986]:[SPPR_symbolic_full_import_as_DC]], 0)),
INDEX(טבלה2[[SPPR_1986]:[SPPR_symbolic_full_import_as_DC]], MATCH('השוואת פקטורים'!$B94, 'PPRs inner'!$A$2:$A$108, 0), MATCH('השוואת פקטורים'!L$6, טבלה2[[#Headers],[SPPR_1986]:[SPPR_symbolic_full_import_as_DC]], 0)) / INDEX(טבלה2[[SPPR_1986]:[SPPR_symbolic_full_import_as_DC]], MATCH('השוואת פקטורים'!$B94, 'PPRs inner'!$A$2:$A$108, 0), MATCH('השוואת פקטורים'!K$6, טבלה2[[#Headers],[SPPR_1986]:[SPPR_symbolic_full_import_as_DC]], 0))
)</f>
        <v>3.008944396322089</v>
      </c>
      <c r="M94" s="9">
        <f>IF($B$4="סהכ",
INDEX(טבלה1[[SPPR_1986]:[SPPR_symbolic_full_import_as_DC]], MATCH('השוואת פקטורים'!$B94, 'PPRs all'!$A$2:$A$108, 0), MATCH('השוואת פקטורים'!M$6, טבלה1[[#Headers],[SPPR_1986]:[SPPR_symbolic_full_import_as_DC]], 0)) / INDEX(טבלה1[[SPPR_1986]:[SPPR_symbolic_full_import_as_DC]], MATCH('השוואת פקטורים'!$B94, 'PPRs all'!$A$2:$A$108, 0), MATCH('השוואת פקטורים'!L$6, טבלה1[[#Headers],[SPPR_1986]:[SPPR_symbolic_full_import_as_DC]], 0)),
INDEX(טבלה2[[SPPR_1986]:[SPPR_symbolic_full_import_as_DC]], MATCH('השוואת פקטורים'!$B94, 'PPRs inner'!$A$2:$A$108, 0), MATCH('השוואת פקטורים'!M$6, טבלה2[[#Headers],[SPPR_1986]:[SPPR_symbolic_full_import_as_DC]], 0)) / INDEX(טבלה2[[SPPR_1986]:[SPPR_symbolic_full_import_as_DC]], MATCH('השוואת פקטורים'!$B94, 'PPRs inner'!$A$2:$A$108, 0), MATCH('השוואת פקטורים'!L$6, טבלה2[[#Headers],[SPPR_1986]:[SPPR_symbolic_full_import_as_DC]], 0))
)</f>
        <v>0.41982850899569601</v>
      </c>
      <c r="N94" s="9">
        <f>IF($B$4="סהכ",
INDEX(טבלה1[[SPPR_1986]:[SPPR_symbolic_full_import_as_DC]], MATCH('השוואת פקטורים'!$B94, 'PPRs all'!$A$2:$A$108, 0), MATCH('השוואת פקטורים'!N$6, טבלה1[[#Headers],[SPPR_1986]:[SPPR_symbolic_full_import_as_DC]], 0)) / INDEX(טבלה1[[SPPR_1986]:[SPPR_symbolic_full_import_as_DC]], MATCH('השוואת פקטורים'!$B94, 'PPRs all'!$A$2:$A$108, 0), MATCH('השוואת פקטורים'!M$6, טבלה1[[#Headers],[SPPR_1986]:[SPPR_symbolic_full_import_as_DC]], 0)),
INDEX(טבלה2[[SPPR_1986]:[SPPR_symbolic_full_import_as_DC]], MATCH('השוואת פקטורים'!$B94, 'PPRs inner'!$A$2:$A$108, 0), MATCH('השוואת פקטורים'!N$6, טבלה2[[#Headers],[SPPR_1986]:[SPPR_symbolic_full_import_as_DC]], 0)) / INDEX(טבלה2[[SPPR_1986]:[SPPR_symbolic_full_import_as_DC]], MATCH('השוואת פקטורים'!$B94, 'PPRs inner'!$A$2:$A$108, 0), MATCH('השוואת פקטורים'!M$6, טבלה2[[#Headers],[SPPR_1986]:[SPPR_symbolic_full_import_as_DC]], 0))
)</f>
        <v>1.7606670374242293</v>
      </c>
      <c r="O94" s="9">
        <f>IF($B$4="סהכ",
INDEX(טבלה1[[SPPR_1986]:[SPPR_symbolic_full_import_as_DC]], MATCH('השוואת פקטורים'!$B94, 'PPRs all'!$A$2:$A$108, 0), MATCH('השוואת פקטורים'!O$6, טבלה1[[#Headers],[SPPR_1986]:[SPPR_symbolic_full_import_as_DC]], 0)) / INDEX(טבלה1[[SPPR_1986]:[SPPR_symbolic_full_import_as_DC]], MATCH('השוואת פקטורים'!$B94, 'PPRs all'!$A$2:$A$108, 0), MATCH('השוואת פקטורים'!N$6, טבלה1[[#Headers],[SPPR_1986]:[SPPR_symbolic_full_import_as_DC]], 0)),
INDEX(טבלה2[[SPPR_1986]:[SPPR_symbolic_full_import_as_DC]], MATCH('השוואת פקטורים'!$B94, 'PPRs inner'!$A$2:$A$108, 0), MATCH('השוואת פקטורים'!O$6, טבלה2[[#Headers],[SPPR_1986]:[SPPR_symbolic_full_import_as_DC]], 0)) / INDEX(טבלה2[[SPPR_1986]:[SPPR_symbolic_full_import_as_DC]], MATCH('השוואת פקטורים'!$B94, 'PPRs inner'!$A$2:$A$108, 0), MATCH('השוואת פקטורים'!N$6, טבלה2[[#Headers],[SPPR_1986]:[SPPR_symbolic_full_import_as_DC]], 0))
)</f>
        <v>1</v>
      </c>
      <c r="P94" s="9">
        <f>IF($B$4="סהכ",
INDEX(טבלה1[[SPPR_1986]:[SPPR_symbolic_full_import_as_DC]], MATCH('השוואת פקטורים'!$B94, 'PPRs all'!$A$2:$A$108, 0), MATCH('השוואת פקטורים'!P$6, טבלה1[[#Headers],[SPPR_1986]:[SPPR_symbolic_full_import_as_DC]], 0)) / INDEX(טבלה1[[SPPR_1986]:[SPPR_symbolic_full_import_as_DC]], MATCH('השוואת פקטורים'!$B94, 'PPRs all'!$A$2:$A$108, 0), MATCH('השוואת פקטורים'!O$6, טבלה1[[#Headers],[SPPR_1986]:[SPPR_symbolic_full_import_as_DC]], 0)),
INDEX(טבלה2[[SPPR_1986]:[SPPR_symbolic_full_import_as_DC]], MATCH('השוואת פקטורים'!$B94, 'PPRs inner'!$A$2:$A$108, 0), MATCH('השוואת פקטורים'!P$6, טבלה2[[#Headers],[SPPR_1986]:[SPPR_symbolic_full_import_as_DC]], 0)) / INDEX(טבלה2[[SPPR_1986]:[SPPR_symbolic_full_import_as_DC]], MATCH('השוואת פקטורים'!$B94, 'PPRs inner'!$A$2:$A$108, 0), MATCH('השוואת פקטורים'!O$6, טבלה2[[#Headers],[SPPR_1986]:[SPPR_symbolic_full_import_as_DC]], 0))
)</f>
        <v>0.31716941531761361</v>
      </c>
      <c r="Q94" s="9">
        <f>IF($B$4="סהכ",
INDEX(טבלה1[[SPPR_1986]:[SPPR_symbolic_full_import_as_DC]], MATCH('השוואת פקטורים'!$B94, 'PPRs all'!$A$2:$A$108, 0), MATCH('השוואת פקטורים'!Q$6, טבלה1[[#Headers],[SPPR_1986]:[SPPR_symbolic_full_import_as_DC]], 0)) / INDEX(טבלה1[[SPPR_1986]:[SPPR_symbolic_full_import_as_DC]], MATCH('השוואת פקטורים'!$B94, 'PPRs all'!$A$2:$A$108, 0), MATCH('השוואת פקטורים'!P$6, טבלה1[[#Headers],[SPPR_1986]:[SPPR_symbolic_full_import_as_DC]], 0)),
INDEX(טבלה2[[SPPR_1986]:[SPPR_symbolic_full_import_as_DC]], MATCH('השוואת פקטורים'!$B94, 'PPRs inner'!$A$2:$A$108, 0), MATCH('השוואת פקטורים'!Q$6, טבלה2[[#Headers],[SPPR_1986]:[SPPR_symbolic_full_import_as_DC]], 0)) / INDEX(טבלה2[[SPPR_1986]:[SPPR_symbolic_full_import_as_DC]], MATCH('השוואת פקטורים'!$B94, 'PPRs inner'!$A$2:$A$108, 0), MATCH('השוואת פקטורים'!P$6, טבלה2[[#Headers],[SPPR_1986]:[SPPR_symbolic_full_import_as_DC]], 0))
)</f>
        <v>1.0000000000000002</v>
      </c>
      <c r="R94" s="9">
        <f>IF($B$4="סהכ",
INDEX(טבלה1[[SPPR_1986]:[SPPR_symbolic_full_import_as_DC]], MATCH('השוואת פקטורים'!$B94, 'PPRs all'!$A$2:$A$108, 0), MATCH('השוואת פקטורים'!R$6, טבלה1[[#Headers],[SPPR_1986]:[SPPR_symbolic_full_import_as_DC]], 0)) / INDEX(טבלה1[[SPPR_1986]:[SPPR_symbolic_full_import_as_DC]], MATCH('השוואת פקטורים'!$B94, 'PPRs all'!$A$2:$A$108, 0), MATCH('השוואת פקטורים'!Q$6, טבלה1[[#Headers],[SPPR_1986]:[SPPR_symbolic_full_import_as_DC]], 0)),
INDEX(טבלה2[[SPPR_1986]:[SPPR_symbolic_full_import_as_DC]], MATCH('השוואת פקטורים'!$B94, 'PPRs inner'!$A$2:$A$108, 0), MATCH('השוואת פקטורים'!R$6, טבלה2[[#Headers],[SPPR_1986]:[SPPR_symbolic_full_import_as_DC]], 0)) / INDEX(טבלה2[[SPPR_1986]:[SPPR_symbolic_full_import_as_DC]], MATCH('השוואת פקטורים'!$B94, 'PPRs inner'!$A$2:$A$108, 0), MATCH('השוואת פקטורים'!Q$6, טבלה2[[#Headers],[SPPR_1986]:[SPPR_symbolic_full_import_as_DC]], 0))
)</f>
        <v>1.0007082175197726</v>
      </c>
      <c r="S94" s="9">
        <f>IF($B$4="סהכ",
INDEX(טבלה1[[SPPR_1986]:[SPPR_symbolic_full_import_as_DC]], MATCH('השוואת פקטורים'!$B94, 'PPRs all'!$A$2:$A$108, 0), MATCH('השוואת פקטורים'!S$6, טבלה1[[#Headers],[SPPR_1986]:[SPPR_symbolic_full_import_as_DC]], 0)) / INDEX(טבלה1[[SPPR_1986]:[SPPR_symbolic_full_import_as_DC]], MATCH('השוואת פקטורים'!$B94, 'PPRs all'!$A$2:$A$108, 0), MATCH('השוואת פקטורים'!R$6, טבלה1[[#Headers],[SPPR_1986]:[SPPR_symbolic_full_import_as_DC]], 0)),
INDEX(טבלה2[[SPPR_1986]:[SPPR_symbolic_full_import_as_DC]], MATCH('השוואת פקטורים'!$B94, 'PPRs inner'!$A$2:$A$108, 0), MATCH('השוואת פקטורים'!S$6, טבלה2[[#Headers],[SPPR_1986]:[SPPR_symbolic_full_import_as_DC]], 0)) / INDEX(טבלה2[[SPPR_1986]:[SPPR_symbolic_full_import_as_DC]], MATCH('השוואת פקטורים'!$B94, 'PPRs inner'!$A$2:$A$108, 0), MATCH('השוואת פקטורים'!R$6, טבלה2[[#Headers],[SPPR_1986]:[SPPR_symbolic_full_import_as_DC]], 0))
)</f>
        <v>0.99929228369731204</v>
      </c>
      <c r="T94" s="9">
        <f>IF($B$4="סהכ",
INDEX(טבלה1[[SPPR_1986]:[SPPR_symbolic_full_import_as_DC]], MATCH('השוואת פקטורים'!$B94, 'PPRs all'!$A$2:$A$108, 0), MATCH('השוואת פקטורים'!T$6, טבלה1[[#Headers],[SPPR_1986]:[SPPR_symbolic_full_import_as_DC]], 0)) / INDEX(טבלה1[[SPPR_1986]:[SPPR_symbolic_full_import_as_DC]], MATCH('השוואת פקטורים'!$B94, 'PPRs all'!$A$2:$A$108, 0), MATCH('השוואת פקטורים'!S$6, טבלה1[[#Headers],[SPPR_1986]:[SPPR_symbolic_full_import_as_DC]], 0)),
INDEX(טבלה2[[SPPR_1986]:[SPPR_symbolic_full_import_as_DC]], MATCH('השוואת פקטורים'!$B94, 'PPRs inner'!$A$2:$A$108, 0), MATCH('השוואת פקטורים'!T$6, טבלה2[[#Headers],[SPPR_1986]:[SPPR_symbolic_full_import_as_DC]], 0)) / INDEX(טבלה2[[SPPR_1986]:[SPPR_symbolic_full_import_as_DC]], MATCH('השוואת פקטורים'!$B94, 'PPRs inner'!$A$2:$A$108, 0), MATCH('השוואת פקטורים'!S$6, טבלה2[[#Headers],[SPPR_1986]:[SPPR_symbolic_full_import_as_DC]], 0))
)</f>
        <v>1.0007082175197726</v>
      </c>
      <c r="U94" s="9">
        <f>IF($B$4="סהכ",
INDEX(טבלה1[[SPPR_1986]:[SPPR_symbolic_full_import_as_DC]], MATCH('השוואת פקטורים'!$B94, 'PPRs all'!$A$2:$A$108, 0), MATCH('השוואת פקטורים'!U$6, טבלה1[[#Headers],[SPPR_1986]:[SPPR_symbolic_full_import_as_DC]], 0)) / INDEX(טבלה1[[SPPR_1986]:[SPPR_symbolic_full_import_as_DC]], MATCH('השוואת פקטורים'!$B94, 'PPRs all'!$A$2:$A$108, 0), MATCH('השוואת פקטורים'!T$6, טבלה1[[#Headers],[SPPR_1986]:[SPPR_symbolic_full_import_as_DC]], 0)),
INDEX(טבלה2[[SPPR_1986]:[SPPR_symbolic_full_import_as_DC]], MATCH('השוואת פקטורים'!$B94, 'PPRs inner'!$A$2:$A$108, 0), MATCH('השוואת פקטורים'!U$6, טבלה2[[#Headers],[SPPR_1986]:[SPPR_symbolic_full_import_as_DC]], 0)) / INDEX(טבלה2[[SPPR_1986]:[SPPR_symbolic_full_import_as_DC]], MATCH('השוואת פקטורים'!$B94, 'PPRs inner'!$A$2:$A$108, 0), MATCH('השוואת פקטורים'!T$6, טבלה2[[#Headers],[SPPR_1986]:[SPPR_symbolic_full_import_as_DC]], 0))
)</f>
        <v>0.99929228369731171</v>
      </c>
      <c r="V94" s="9"/>
      <c r="W94" s="9"/>
      <c r="X94" s="14"/>
      <c r="Y94" s="14"/>
      <c r="Z94" s="15">
        <f t="shared" si="6"/>
        <v>1.7601167795119321</v>
      </c>
    </row>
    <row r="95" spans="2:26" x14ac:dyDescent="0.3">
      <c r="B95" s="6" t="s">
        <v>109</v>
      </c>
      <c r="C95" s="12" t="b">
        <v>1</v>
      </c>
      <c r="D95" s="12" t="b">
        <v>1</v>
      </c>
      <c r="E95" s="12" t="b">
        <v>1</v>
      </c>
      <c r="F95" s="12" t="b">
        <f t="shared" si="5"/>
        <v>1</v>
      </c>
      <c r="G95" s="7" t="b">
        <f>ABS(INDEX(טבלה5[[SPPR_1986]:[SPPR_symbolic_full_import_as_DC]],MATCH('השוואת פקטורים'!$B95,טבלה5[עמודה1],0),MATCH($C$4,טבלה5[[#Headers],[SPPR_1986]:[SPPR_symbolic_full_import_as_DC]],0))) &lt; 5</f>
        <v>1</v>
      </c>
      <c r="H95" s="7" t="b">
        <f>INDEX(טבלה3[[SPPR_1986]:[SPPR_symbolic_full_import_as_DC]],MATCH('השוואת פקטורים'!$B95,טבלה3[עמודה1],0),MATCH($C$4,טבלה3[[#Headers],[SPPR_1986]:[SPPR_symbolic_full_import_as_DC]],0))</f>
        <v>1</v>
      </c>
      <c r="I95" s="7" t="b">
        <f t="shared" si="4"/>
        <v>1</v>
      </c>
      <c r="J95" s="13"/>
      <c r="K95" s="9">
        <f>IF($B$4="סהכ",
INDEX(טבלה1[[SPPR_1986]:[SPPR_symbolic_full_import_as_DC]], MATCH('השוואת פקטורים'!$B95, 'PPRs all'!$A$2:$A$108, 0), MATCH('השוואת פקטורים'!K$6, טבלה1[[#Headers],[SPPR_1986]:[SPPR_symbolic_full_import_as_DC]], 0)) / INDEX(טבלה1[[SPPR_1986]:[SPPR_symbolic_full_import_as_DC]], MATCH('השוואת פקטורים'!$B95, 'PPRs all'!$A$2:$A$108, 0), MATCH('השוואת פקטורים'!J$6, טבלה1[[#Headers],[SPPR_1986]:[SPPR_symbolic_full_import_as_DC]], 0)),
INDEX(טבלה2[[SPPR_1986]:[SPPR_symbolic_full_import_as_DC]], MATCH('השוואת פקטורים'!$B95, 'PPRs inner'!$A$2:$A$108, 0), MATCH('השוואת פקטורים'!K$6, טבלה2[[#Headers],[SPPR_1986]:[SPPR_symbolic_full_import_as_DC]], 0)) / INDEX(טבלה2[[SPPR_1986]:[SPPR_symbolic_full_import_as_DC]], MATCH('השוואת פקטורים'!$B95, 'PPRs inner'!$A$2:$A$108, 0), MATCH('השוואת פקטורים'!J$6, טבלה2[[#Headers],[SPPR_1986]:[SPPR_symbolic_full_import_as_DC]], 0))
)</f>
        <v>0.5763730384853214</v>
      </c>
      <c r="L95" s="9">
        <f>IF($B$4="סהכ",
INDEX(טבלה1[[SPPR_1986]:[SPPR_symbolic_full_import_as_DC]], MATCH('השוואת פקטורים'!$B95, 'PPRs all'!$A$2:$A$108, 0), MATCH('השוואת פקטורים'!L$6, טבלה1[[#Headers],[SPPR_1986]:[SPPR_symbolic_full_import_as_DC]], 0)) / INDEX(טבלה1[[SPPR_1986]:[SPPR_symbolic_full_import_as_DC]], MATCH('השוואת פקטורים'!$B95, 'PPRs all'!$A$2:$A$108, 0), MATCH('השוואת פקטורים'!K$6, טבלה1[[#Headers],[SPPR_1986]:[SPPR_symbolic_full_import_as_DC]], 0)),
INDEX(טבלה2[[SPPR_1986]:[SPPR_symbolic_full_import_as_DC]], MATCH('השוואת פקטורים'!$B95, 'PPRs inner'!$A$2:$A$108, 0), MATCH('השוואת פקטורים'!L$6, טבלה2[[#Headers],[SPPR_1986]:[SPPR_symbolic_full_import_as_DC]], 0)) / INDEX(טבלה2[[SPPR_1986]:[SPPR_symbolic_full_import_as_DC]], MATCH('השוואת פקטורים'!$B95, 'PPRs inner'!$A$2:$A$108, 0), MATCH('השוואת פקטורים'!K$6, טבלה2[[#Headers],[SPPR_1986]:[SPPR_symbolic_full_import_as_DC]], 0))
)</f>
        <v>4.7550790749213263</v>
      </c>
      <c r="M95" s="9">
        <f>IF($B$4="סהכ",
INDEX(טבלה1[[SPPR_1986]:[SPPR_symbolic_full_import_as_DC]], MATCH('השוואת פקטורים'!$B95, 'PPRs all'!$A$2:$A$108, 0), MATCH('השוואת פקטורים'!M$6, טבלה1[[#Headers],[SPPR_1986]:[SPPR_symbolic_full_import_as_DC]], 0)) / INDEX(טבלה1[[SPPR_1986]:[SPPR_symbolic_full_import_as_DC]], MATCH('השוואת פקטורים'!$B95, 'PPRs all'!$A$2:$A$108, 0), MATCH('השוואת פקטורים'!L$6, טבלה1[[#Headers],[SPPR_1986]:[SPPR_symbolic_full_import_as_DC]], 0)),
INDEX(טבלה2[[SPPR_1986]:[SPPR_symbolic_full_import_as_DC]], MATCH('השוואת פקטורים'!$B95, 'PPRs inner'!$A$2:$A$108, 0), MATCH('השוואת פקטורים'!M$6, טבלה2[[#Headers],[SPPR_1986]:[SPPR_symbolic_full_import_as_DC]], 0)) / INDEX(טבלה2[[SPPR_1986]:[SPPR_symbolic_full_import_as_DC]], MATCH('השוואת פקטורים'!$B95, 'PPRs inner'!$A$2:$A$108, 0), MATCH('השוואת פקטורים'!L$6, טבלה2[[#Headers],[SPPR_1986]:[SPPR_symbolic_full_import_as_DC]], 0))
)</f>
        <v>2.0427343659965365</v>
      </c>
      <c r="N95" s="9">
        <f>IF($B$4="סהכ",
INDEX(טבלה1[[SPPR_1986]:[SPPR_symbolic_full_import_as_DC]], MATCH('השוואת פקטורים'!$B95, 'PPRs all'!$A$2:$A$108, 0), MATCH('השוואת פקטורים'!N$6, טבלה1[[#Headers],[SPPR_1986]:[SPPR_symbolic_full_import_as_DC]], 0)) / INDEX(טבלה1[[SPPR_1986]:[SPPR_symbolic_full_import_as_DC]], MATCH('השוואת פקטורים'!$B95, 'PPRs all'!$A$2:$A$108, 0), MATCH('השוואת פקטורים'!M$6, טבלה1[[#Headers],[SPPR_1986]:[SPPR_symbolic_full_import_as_DC]], 0)),
INDEX(טבלה2[[SPPR_1986]:[SPPR_symbolic_full_import_as_DC]], MATCH('השוואת פקטורים'!$B95, 'PPRs inner'!$A$2:$A$108, 0), MATCH('השוואת פקטורים'!N$6, טבלה2[[#Headers],[SPPR_1986]:[SPPR_symbolic_full_import_as_DC]], 0)) / INDEX(טבלה2[[SPPR_1986]:[SPPR_symbolic_full_import_as_DC]], MATCH('השוואת פקטורים'!$B95, 'PPRs inner'!$A$2:$A$108, 0), MATCH('השוואת פקטורים'!M$6, טבלה2[[#Headers],[SPPR_1986]:[SPPR_symbolic_full_import_as_DC]], 0))
)</f>
        <v>1.9462151951339881</v>
      </c>
      <c r="O95" s="9">
        <f>IF($B$4="סהכ",
INDEX(טבלה1[[SPPR_1986]:[SPPR_symbolic_full_import_as_DC]], MATCH('השוואת פקטורים'!$B95, 'PPRs all'!$A$2:$A$108, 0), MATCH('השוואת פקטורים'!O$6, טבלה1[[#Headers],[SPPR_1986]:[SPPR_symbolic_full_import_as_DC]], 0)) / INDEX(טבלה1[[SPPR_1986]:[SPPR_symbolic_full_import_as_DC]], MATCH('השוואת פקטורים'!$B95, 'PPRs all'!$A$2:$A$108, 0), MATCH('השוואת פקטורים'!N$6, טבלה1[[#Headers],[SPPR_1986]:[SPPR_symbolic_full_import_as_DC]], 0)),
INDEX(טבלה2[[SPPR_1986]:[SPPR_symbolic_full_import_as_DC]], MATCH('השוואת פקטורים'!$B95, 'PPRs inner'!$A$2:$A$108, 0), MATCH('השוואת פקטורים'!O$6, טבלה2[[#Headers],[SPPR_1986]:[SPPR_symbolic_full_import_as_DC]], 0)) / INDEX(טבלה2[[SPPR_1986]:[SPPR_symbolic_full_import_as_DC]], MATCH('השוואת פקטורים'!$B95, 'PPRs inner'!$A$2:$A$108, 0), MATCH('השוואת פקטורים'!N$6, טבלה2[[#Headers],[SPPR_1986]:[SPPR_symbolic_full_import_as_DC]], 0))
)</f>
        <v>0.99999999999999822</v>
      </c>
      <c r="P95" s="9">
        <f>IF($B$4="סהכ",
INDEX(טבלה1[[SPPR_1986]:[SPPR_symbolic_full_import_as_DC]], MATCH('השוואת פקטורים'!$B95, 'PPRs all'!$A$2:$A$108, 0), MATCH('השוואת פקטורים'!P$6, טבלה1[[#Headers],[SPPR_1986]:[SPPR_symbolic_full_import_as_DC]], 0)) / INDEX(טבלה1[[SPPR_1986]:[SPPR_symbolic_full_import_as_DC]], MATCH('השוואת פקטורים'!$B95, 'PPRs all'!$A$2:$A$108, 0), MATCH('השוואת פקטורים'!O$6, טבלה1[[#Headers],[SPPR_1986]:[SPPR_symbolic_full_import_as_DC]], 0)),
INDEX(טבלה2[[SPPR_1986]:[SPPR_symbolic_full_import_as_DC]], MATCH('השוואת פקטורים'!$B95, 'PPRs inner'!$A$2:$A$108, 0), MATCH('השוואת פקטורים'!P$6, טבלה2[[#Headers],[SPPR_1986]:[SPPR_symbolic_full_import_as_DC]], 0)) / INDEX(טבלה2[[SPPR_1986]:[SPPR_symbolic_full_import_as_DC]], MATCH('השוואת פקטורים'!$B95, 'PPRs inner'!$A$2:$A$108, 0), MATCH('השוואת פקטורים'!O$6, טבלה2[[#Headers],[SPPR_1986]:[SPPR_symbolic_full_import_as_DC]], 0))
)</f>
        <v>0.33603625667377579</v>
      </c>
      <c r="Q95" s="9">
        <f>IF($B$4="סהכ",
INDEX(טבלה1[[SPPR_1986]:[SPPR_symbolic_full_import_as_DC]], MATCH('השוואת פקטורים'!$B95, 'PPRs all'!$A$2:$A$108, 0), MATCH('השוואת פקטורים'!Q$6, טבלה1[[#Headers],[SPPR_1986]:[SPPR_symbolic_full_import_as_DC]], 0)) / INDEX(טבלה1[[SPPR_1986]:[SPPR_symbolic_full_import_as_DC]], MATCH('השוואת פקטורים'!$B95, 'PPRs all'!$A$2:$A$108, 0), MATCH('השוואת פקטורים'!P$6, טבלה1[[#Headers],[SPPR_1986]:[SPPR_symbolic_full_import_as_DC]], 0)),
INDEX(טבלה2[[SPPR_1986]:[SPPR_symbolic_full_import_as_DC]], MATCH('השוואת פקטורים'!$B95, 'PPRs inner'!$A$2:$A$108, 0), MATCH('השוואת פקטורים'!Q$6, טבלה2[[#Headers],[SPPR_1986]:[SPPR_symbolic_full_import_as_DC]], 0)) / INDEX(טבלה2[[SPPR_1986]:[SPPR_symbolic_full_import_as_DC]], MATCH('השוואת פקטורים'!$B95, 'PPRs inner'!$A$2:$A$108, 0), MATCH('השוואת פקטורים'!P$6, טבלה2[[#Headers],[SPPR_1986]:[SPPR_symbolic_full_import_as_DC]], 0))
)</f>
        <v>0.99999999999999845</v>
      </c>
      <c r="R95" s="9">
        <f>IF($B$4="סהכ",
INDEX(טבלה1[[SPPR_1986]:[SPPR_symbolic_full_import_as_DC]], MATCH('השוואת פקטורים'!$B95, 'PPRs all'!$A$2:$A$108, 0), MATCH('השוואת פקטורים'!R$6, טבלה1[[#Headers],[SPPR_1986]:[SPPR_symbolic_full_import_as_DC]], 0)) / INDEX(טבלה1[[SPPR_1986]:[SPPR_symbolic_full_import_as_DC]], MATCH('השוואת פקטורים'!$B95, 'PPRs all'!$A$2:$A$108, 0), MATCH('השוואת פקטורים'!Q$6, טבלה1[[#Headers],[SPPR_1986]:[SPPR_symbolic_full_import_as_DC]], 0)),
INDEX(טבלה2[[SPPR_1986]:[SPPR_symbolic_full_import_as_DC]], MATCH('השוואת פקטורים'!$B95, 'PPRs inner'!$A$2:$A$108, 0), MATCH('השוואת פקטורים'!R$6, טבלה2[[#Headers],[SPPR_1986]:[SPPR_symbolic_full_import_as_DC]], 0)) / INDEX(טבלה2[[SPPR_1986]:[SPPR_symbolic_full_import_as_DC]], MATCH('השוואת פקטורים'!$B95, 'PPRs inner'!$A$2:$A$108, 0), MATCH('השוואת פקטורים'!Q$6, טבלה2[[#Headers],[SPPR_1986]:[SPPR_symbolic_full_import_as_DC]], 0))
)</f>
        <v>-2.440737819239668</v>
      </c>
      <c r="S95" s="9">
        <f>IF($B$4="סהכ",
INDEX(טבלה1[[SPPR_1986]:[SPPR_symbolic_full_import_as_DC]], MATCH('השוואת פקטורים'!$B95, 'PPRs all'!$A$2:$A$108, 0), MATCH('השוואת פקטורים'!S$6, טבלה1[[#Headers],[SPPR_1986]:[SPPR_symbolic_full_import_as_DC]], 0)) / INDEX(טבלה1[[SPPR_1986]:[SPPR_symbolic_full_import_as_DC]], MATCH('השוואת פקטורים'!$B95, 'PPRs all'!$A$2:$A$108, 0), MATCH('השוואת פקטורים'!R$6, טבלה1[[#Headers],[SPPR_1986]:[SPPR_symbolic_full_import_as_DC]], 0)),
INDEX(טבלה2[[SPPR_1986]:[SPPR_symbolic_full_import_as_DC]], MATCH('השוואת פקטורים'!$B95, 'PPRs inner'!$A$2:$A$108, 0), MATCH('השוואת פקטורים'!S$6, טבלה2[[#Headers],[SPPR_1986]:[SPPR_symbolic_full_import_as_DC]], 0)) / INDEX(טבלה2[[SPPR_1986]:[SPPR_symbolic_full_import_as_DC]], MATCH('השוואת פקטורים'!$B95, 'PPRs inner'!$A$2:$A$108, 0), MATCH('השוואת פקטורים'!R$6, טבלה2[[#Headers],[SPPR_1986]:[SPPR_symbolic_full_import_as_DC]], 0))
)</f>
        <v>-0.40971217478472033</v>
      </c>
      <c r="T95" s="9">
        <f>IF($B$4="סהכ",
INDEX(טבלה1[[SPPR_1986]:[SPPR_symbolic_full_import_as_DC]], MATCH('השוואת פקטורים'!$B95, 'PPRs all'!$A$2:$A$108, 0), MATCH('השוואת פקטורים'!T$6, טבלה1[[#Headers],[SPPR_1986]:[SPPR_symbolic_full_import_as_DC]], 0)) / INDEX(טבלה1[[SPPR_1986]:[SPPR_symbolic_full_import_as_DC]], MATCH('השוואת פקטורים'!$B95, 'PPRs all'!$A$2:$A$108, 0), MATCH('השוואת פקטורים'!S$6, טבלה1[[#Headers],[SPPR_1986]:[SPPR_symbolic_full_import_as_DC]], 0)),
INDEX(טבלה2[[SPPR_1986]:[SPPR_symbolic_full_import_as_DC]], MATCH('השוואת פקטורים'!$B95, 'PPRs inner'!$A$2:$A$108, 0), MATCH('השוואת פקטורים'!T$6, טבלה2[[#Headers],[SPPR_1986]:[SPPR_symbolic_full_import_as_DC]], 0)) / INDEX(טבלה2[[SPPR_1986]:[SPPR_symbolic_full_import_as_DC]], MATCH('השוואת פקטורים'!$B95, 'PPRs inner'!$A$2:$A$108, 0), MATCH('השוואת פקטורים'!S$6, טבלה2[[#Headers],[SPPR_1986]:[SPPR_symbolic_full_import_as_DC]], 0))
)</f>
        <v>-2.440737819239668</v>
      </c>
      <c r="U95" s="9">
        <f>IF($B$4="סהכ",
INDEX(טבלה1[[SPPR_1986]:[SPPR_symbolic_full_import_as_DC]], MATCH('השוואת פקטורים'!$B95, 'PPRs all'!$A$2:$A$108, 0), MATCH('השוואת פקטורים'!U$6, טבלה1[[#Headers],[SPPR_1986]:[SPPR_symbolic_full_import_as_DC]], 0)) / INDEX(טבלה1[[SPPR_1986]:[SPPR_symbolic_full_import_as_DC]], MATCH('השוואת פקטורים'!$B95, 'PPRs all'!$A$2:$A$108, 0), MATCH('השוואת פקטורים'!T$6, טבלה1[[#Headers],[SPPR_1986]:[SPPR_symbolic_full_import_as_DC]], 0)),
INDEX(טבלה2[[SPPR_1986]:[SPPR_symbolic_full_import_as_DC]], MATCH('השוואת פקטורים'!$B95, 'PPRs inner'!$A$2:$A$108, 0), MATCH('השוואת פקטורים'!U$6, טבלה2[[#Headers],[SPPR_1986]:[SPPR_symbolic_full_import_as_DC]], 0)) / INDEX(טבלה2[[SPPR_1986]:[SPPR_symbolic_full_import_as_DC]], MATCH('השוואת פקטורים'!$B95, 'PPRs inner'!$A$2:$A$108, 0), MATCH('השוואת פקטורים'!T$6, טבלה2[[#Headers],[SPPR_1986]:[SPPR_symbolic_full_import_as_DC]], 0))
)</f>
        <v>-0.40971217478472094</v>
      </c>
      <c r="V95" s="9"/>
      <c r="W95" s="9"/>
      <c r="X95" s="14"/>
      <c r="Y95" s="14"/>
      <c r="Z95" s="15">
        <f t="shared" si="6"/>
        <v>3.6614262701072455</v>
      </c>
    </row>
    <row r="96" spans="2:26" x14ac:dyDescent="0.3">
      <c r="B96" s="6" t="s">
        <v>110</v>
      </c>
      <c r="C96" s="12" t="b">
        <v>1</v>
      </c>
      <c r="D96" s="12" t="b">
        <v>1</v>
      </c>
      <c r="E96" s="12" t="b">
        <v>1</v>
      </c>
      <c r="F96" s="12" t="b">
        <f t="shared" si="5"/>
        <v>1</v>
      </c>
      <c r="G96" s="7" t="b">
        <f>ABS(INDEX(טבלה5[[SPPR_1986]:[SPPR_symbolic_full_import_as_DC]],MATCH('השוואת פקטורים'!$B96,טבלה5[עמודה1],0),MATCH($C$4,טבלה5[[#Headers],[SPPR_1986]:[SPPR_symbolic_full_import_as_DC]],0))) &lt; 5</f>
        <v>1</v>
      </c>
      <c r="H96" s="7" t="b">
        <f>INDEX(טבלה3[[SPPR_1986]:[SPPR_symbolic_full_import_as_DC]],MATCH('השוואת פקטורים'!$B96,טבלה3[עמודה1],0),MATCH($C$4,טבלה3[[#Headers],[SPPR_1986]:[SPPR_symbolic_full_import_as_DC]],0))</f>
        <v>1</v>
      </c>
      <c r="I96" s="7" t="b">
        <f t="shared" si="4"/>
        <v>1</v>
      </c>
      <c r="J96" s="13"/>
      <c r="K96" s="9">
        <f>IF($B$4="סהכ",
INDEX(טבלה1[[SPPR_1986]:[SPPR_symbolic_full_import_as_DC]], MATCH('השוואת פקטורים'!$B96, 'PPRs all'!$A$2:$A$108, 0), MATCH('השוואת פקטורים'!K$6, טבלה1[[#Headers],[SPPR_1986]:[SPPR_symbolic_full_import_as_DC]], 0)) / INDEX(טבלה1[[SPPR_1986]:[SPPR_symbolic_full_import_as_DC]], MATCH('השוואת פקטורים'!$B96, 'PPRs all'!$A$2:$A$108, 0), MATCH('השוואת פקטורים'!J$6, טבלה1[[#Headers],[SPPR_1986]:[SPPR_symbolic_full_import_as_DC]], 0)),
INDEX(טבלה2[[SPPR_1986]:[SPPR_symbolic_full_import_as_DC]], MATCH('השוואת פקטורים'!$B96, 'PPRs inner'!$A$2:$A$108, 0), MATCH('השוואת פקטורים'!K$6, טבלה2[[#Headers],[SPPR_1986]:[SPPR_symbolic_full_import_as_DC]], 0)) / INDEX(טבלה2[[SPPR_1986]:[SPPR_symbolic_full_import_as_DC]], MATCH('השוואת פקטורים'!$B96, 'PPRs inner'!$A$2:$A$108, 0), MATCH('השוואת פקטורים'!J$6, טבלה2[[#Headers],[SPPR_1986]:[SPPR_symbolic_full_import_as_DC]], 0))
)</f>
        <v>0.57154553198662961</v>
      </c>
      <c r="L96" s="9">
        <f>IF($B$4="סהכ",
INDEX(טבלה1[[SPPR_1986]:[SPPR_symbolic_full_import_as_DC]], MATCH('השוואת פקטורים'!$B96, 'PPRs all'!$A$2:$A$108, 0), MATCH('השוואת פקטורים'!L$6, טבלה1[[#Headers],[SPPR_1986]:[SPPR_symbolic_full_import_as_DC]], 0)) / INDEX(טבלה1[[SPPR_1986]:[SPPR_symbolic_full_import_as_DC]], MATCH('השוואת פקטורים'!$B96, 'PPRs all'!$A$2:$A$108, 0), MATCH('השוואת פקטורים'!K$6, טבלה1[[#Headers],[SPPR_1986]:[SPPR_symbolic_full_import_as_DC]], 0)),
INDEX(טבלה2[[SPPR_1986]:[SPPR_symbolic_full_import_as_DC]], MATCH('השוואת פקטורים'!$B96, 'PPRs inner'!$A$2:$A$108, 0), MATCH('השוואת פקטורים'!L$6, טבלה2[[#Headers],[SPPR_1986]:[SPPR_symbolic_full_import_as_DC]], 0)) / INDEX(טבלה2[[SPPR_1986]:[SPPR_symbolic_full_import_as_DC]], MATCH('השוואת פקטורים'!$B96, 'PPRs inner'!$A$2:$A$108, 0), MATCH('השוואת פקטורים'!K$6, טבלה2[[#Headers],[SPPR_1986]:[SPPR_symbolic_full_import_as_DC]], 0))
)</f>
        <v>2.9973383062403478</v>
      </c>
      <c r="M96" s="9">
        <f>IF($B$4="סהכ",
INDEX(טבלה1[[SPPR_1986]:[SPPR_symbolic_full_import_as_DC]], MATCH('השוואת פקטורים'!$B96, 'PPRs all'!$A$2:$A$108, 0), MATCH('השוואת פקטורים'!M$6, טבלה1[[#Headers],[SPPR_1986]:[SPPR_symbolic_full_import_as_DC]], 0)) / INDEX(טבלה1[[SPPR_1986]:[SPPR_symbolic_full_import_as_DC]], MATCH('השוואת פקטורים'!$B96, 'PPRs all'!$A$2:$A$108, 0), MATCH('השוואת פקטורים'!L$6, טבלה1[[#Headers],[SPPR_1986]:[SPPR_symbolic_full_import_as_DC]], 0)),
INDEX(טבלה2[[SPPR_1986]:[SPPR_symbolic_full_import_as_DC]], MATCH('השוואת פקטורים'!$B96, 'PPRs inner'!$A$2:$A$108, 0), MATCH('השוואת פקטורים'!M$6, טבלה2[[#Headers],[SPPR_1986]:[SPPR_symbolic_full_import_as_DC]], 0)) / INDEX(טבלה2[[SPPR_1986]:[SPPR_symbolic_full_import_as_DC]], MATCH('השוואת פקטורים'!$B96, 'PPRs inner'!$A$2:$A$108, 0), MATCH('השוואת פקטורים'!L$6, טבלה2[[#Headers],[SPPR_1986]:[SPPR_symbolic_full_import_as_DC]], 0))
)</f>
        <v>0.97338940961175513</v>
      </c>
      <c r="N96" s="9">
        <f>IF($B$4="סהכ",
INDEX(טבלה1[[SPPR_1986]:[SPPR_symbolic_full_import_as_DC]], MATCH('השוואת פקטורים'!$B96, 'PPRs all'!$A$2:$A$108, 0), MATCH('השוואת פקטורים'!N$6, טבלה1[[#Headers],[SPPR_1986]:[SPPR_symbolic_full_import_as_DC]], 0)) / INDEX(טבלה1[[SPPR_1986]:[SPPR_symbolic_full_import_as_DC]], MATCH('השוואת פקטורים'!$B96, 'PPRs all'!$A$2:$A$108, 0), MATCH('השוואת פקטורים'!M$6, טבלה1[[#Headers],[SPPR_1986]:[SPPR_symbolic_full_import_as_DC]], 0)),
INDEX(טבלה2[[SPPR_1986]:[SPPR_symbolic_full_import_as_DC]], MATCH('השוואת פקטורים'!$B96, 'PPRs inner'!$A$2:$A$108, 0), MATCH('השוואת פקטורים'!N$6, טבלה2[[#Headers],[SPPR_1986]:[SPPR_symbolic_full_import_as_DC]], 0)) / INDEX(טבלה2[[SPPR_1986]:[SPPR_symbolic_full_import_as_DC]], MATCH('השוואת פקטורים'!$B96, 'PPRs inner'!$A$2:$A$108, 0), MATCH('השוואת פקטורים'!M$6, טבלה2[[#Headers],[SPPR_1986]:[SPPR_symbolic_full_import_as_DC]], 0))
)</f>
        <v>1.5265580990612413</v>
      </c>
      <c r="O96" s="9">
        <f>IF($B$4="סהכ",
INDEX(טבלה1[[SPPR_1986]:[SPPR_symbolic_full_import_as_DC]], MATCH('השוואת פקטורים'!$B96, 'PPRs all'!$A$2:$A$108, 0), MATCH('השוואת פקטורים'!O$6, טבלה1[[#Headers],[SPPR_1986]:[SPPR_symbolic_full_import_as_DC]], 0)) / INDEX(טבלה1[[SPPR_1986]:[SPPR_symbolic_full_import_as_DC]], MATCH('השוואת פקטורים'!$B96, 'PPRs all'!$A$2:$A$108, 0), MATCH('השוואת פקטורים'!N$6, טבלה1[[#Headers],[SPPR_1986]:[SPPR_symbolic_full_import_as_DC]], 0)),
INDEX(טבלה2[[SPPR_1986]:[SPPR_symbolic_full_import_as_DC]], MATCH('השוואת פקטורים'!$B96, 'PPRs inner'!$A$2:$A$108, 0), MATCH('השוואת פקטורים'!O$6, טבלה2[[#Headers],[SPPR_1986]:[SPPR_symbolic_full_import_as_DC]], 0)) / INDEX(טבלה2[[SPPR_1986]:[SPPR_symbolic_full_import_as_DC]], MATCH('השוואת פקטורים'!$B96, 'PPRs inner'!$A$2:$A$108, 0), MATCH('השוואת פקטורים'!N$6, טבלה2[[#Headers],[SPPR_1986]:[SPPR_symbolic_full_import_as_DC]], 0))
)</f>
        <v>1.0000000000000004</v>
      </c>
      <c r="P96" s="9">
        <f>IF($B$4="סהכ",
INDEX(טבלה1[[SPPR_1986]:[SPPR_symbolic_full_import_as_DC]], MATCH('השוואת פקטורים'!$B96, 'PPRs all'!$A$2:$A$108, 0), MATCH('השוואת פקטורים'!P$6, טבלה1[[#Headers],[SPPR_1986]:[SPPR_symbolic_full_import_as_DC]], 0)) / INDEX(טבלה1[[SPPR_1986]:[SPPR_symbolic_full_import_as_DC]], MATCH('השוואת פקטורים'!$B96, 'PPRs all'!$A$2:$A$108, 0), MATCH('השוואת פקטורים'!O$6, טבלה1[[#Headers],[SPPR_1986]:[SPPR_symbolic_full_import_as_DC]], 0)),
INDEX(טבלה2[[SPPR_1986]:[SPPR_symbolic_full_import_as_DC]], MATCH('השוואת פקטורים'!$B96, 'PPRs inner'!$A$2:$A$108, 0), MATCH('השוואת פקטורים'!P$6, טבלה2[[#Headers],[SPPR_1986]:[SPPR_symbolic_full_import_as_DC]], 0)) / INDEX(טבלה2[[SPPR_1986]:[SPPR_symbolic_full_import_as_DC]], MATCH('השוואת פקטורים'!$B96, 'PPRs inner'!$A$2:$A$108, 0), MATCH('השוואת פקטורים'!O$6, טבלה2[[#Headers],[SPPR_1986]:[SPPR_symbolic_full_import_as_DC]], 0))
)</f>
        <v>0.45110400854242017</v>
      </c>
      <c r="Q96" s="9">
        <f>IF($B$4="סהכ",
INDEX(טבלה1[[SPPR_1986]:[SPPR_symbolic_full_import_as_DC]], MATCH('השוואת פקטורים'!$B96, 'PPRs all'!$A$2:$A$108, 0), MATCH('השוואת פקטורים'!Q$6, טבלה1[[#Headers],[SPPR_1986]:[SPPR_symbolic_full_import_as_DC]], 0)) / INDEX(טבלה1[[SPPR_1986]:[SPPR_symbolic_full_import_as_DC]], MATCH('השוואת פקטורים'!$B96, 'PPRs all'!$A$2:$A$108, 0), MATCH('השוואת פקטורים'!P$6, טבלה1[[#Headers],[SPPR_1986]:[SPPR_symbolic_full_import_as_DC]], 0)),
INDEX(טבלה2[[SPPR_1986]:[SPPR_symbolic_full_import_as_DC]], MATCH('השוואת פקטורים'!$B96, 'PPRs inner'!$A$2:$A$108, 0), MATCH('השוואת פקטורים'!Q$6, טבלה2[[#Headers],[SPPR_1986]:[SPPR_symbolic_full_import_as_DC]], 0)) / INDEX(טבלה2[[SPPR_1986]:[SPPR_symbolic_full_import_as_DC]], MATCH('השוואת פקטורים'!$B96, 'PPRs inner'!$A$2:$A$108, 0), MATCH('השוואת פקטורים'!P$6, טבלה2[[#Headers],[SPPR_1986]:[SPPR_symbolic_full_import_as_DC]], 0))
)</f>
        <v>0.99999999999999833</v>
      </c>
      <c r="R96" s="9">
        <f>IF($B$4="סהכ",
INDEX(טבלה1[[SPPR_1986]:[SPPR_symbolic_full_import_as_DC]], MATCH('השוואת פקטורים'!$B96, 'PPRs all'!$A$2:$A$108, 0), MATCH('השוואת פקטורים'!R$6, טבלה1[[#Headers],[SPPR_1986]:[SPPR_symbolic_full_import_as_DC]], 0)) / INDEX(טבלה1[[SPPR_1986]:[SPPR_symbolic_full_import_as_DC]], MATCH('השוואת פקטורים'!$B96, 'PPRs all'!$A$2:$A$108, 0), MATCH('השוואת פקטורים'!Q$6, טבלה1[[#Headers],[SPPR_1986]:[SPPR_symbolic_full_import_as_DC]], 0)),
INDEX(טבלה2[[SPPR_1986]:[SPPR_symbolic_full_import_as_DC]], MATCH('השוואת פקטורים'!$B96, 'PPRs inner'!$A$2:$A$108, 0), MATCH('השוואת פקטורים'!R$6, טבלה2[[#Headers],[SPPR_1986]:[SPPR_symbolic_full_import_as_DC]], 0)) / INDEX(טבלה2[[SPPR_1986]:[SPPR_symbolic_full_import_as_DC]], MATCH('השוואת פקטורים'!$B96, 'PPRs inner'!$A$2:$A$108, 0), MATCH('השוואת פקטורים'!Q$6, טבלה2[[#Headers],[SPPR_1986]:[SPPR_symbolic_full_import_as_DC]], 0))
)</f>
        <v>1</v>
      </c>
      <c r="S96" s="9">
        <f>IF($B$4="סהכ",
INDEX(טבלה1[[SPPR_1986]:[SPPR_symbolic_full_import_as_DC]], MATCH('השוואת פקטורים'!$B96, 'PPRs all'!$A$2:$A$108, 0), MATCH('השוואת פקטורים'!S$6, טבלה1[[#Headers],[SPPR_1986]:[SPPR_symbolic_full_import_as_DC]], 0)) / INDEX(טבלה1[[SPPR_1986]:[SPPR_symbolic_full_import_as_DC]], MATCH('השוואת פקטורים'!$B96, 'PPRs all'!$A$2:$A$108, 0), MATCH('השוואת פקטורים'!R$6, טבלה1[[#Headers],[SPPR_1986]:[SPPR_symbolic_full_import_as_DC]], 0)),
INDEX(טבלה2[[SPPR_1986]:[SPPR_symbolic_full_import_as_DC]], MATCH('השוואת פקטורים'!$B96, 'PPRs inner'!$A$2:$A$108, 0), MATCH('השוואת פקטורים'!S$6, טבלה2[[#Headers],[SPPR_1986]:[SPPR_symbolic_full_import_as_DC]], 0)) / INDEX(טבלה2[[SPPR_1986]:[SPPR_symbolic_full_import_as_DC]], MATCH('השוואת פקטורים'!$B96, 'PPRs inner'!$A$2:$A$108, 0), MATCH('השוואת פקטורים'!R$6, טבלה2[[#Headers],[SPPR_1986]:[SPPR_symbolic_full_import_as_DC]], 0))
)</f>
        <v>1</v>
      </c>
      <c r="T96" s="9">
        <f>IF($B$4="סהכ",
INDEX(טבלה1[[SPPR_1986]:[SPPR_symbolic_full_import_as_DC]], MATCH('השוואת פקטורים'!$B96, 'PPRs all'!$A$2:$A$108, 0), MATCH('השוואת פקטורים'!T$6, טבלה1[[#Headers],[SPPR_1986]:[SPPR_symbolic_full_import_as_DC]], 0)) / INDEX(טבלה1[[SPPR_1986]:[SPPR_symbolic_full_import_as_DC]], MATCH('השוואת פקטורים'!$B96, 'PPRs all'!$A$2:$A$108, 0), MATCH('השוואת פקטורים'!S$6, טבלה1[[#Headers],[SPPR_1986]:[SPPR_symbolic_full_import_as_DC]], 0)),
INDEX(טבלה2[[SPPR_1986]:[SPPR_symbolic_full_import_as_DC]], MATCH('השוואת פקטורים'!$B96, 'PPRs inner'!$A$2:$A$108, 0), MATCH('השוואת פקטורים'!T$6, טבלה2[[#Headers],[SPPR_1986]:[SPPR_symbolic_full_import_as_DC]], 0)) / INDEX(טבלה2[[SPPR_1986]:[SPPR_symbolic_full_import_as_DC]], MATCH('השוואת פקטורים'!$B96, 'PPRs inner'!$A$2:$A$108, 0), MATCH('השוואת פקטורים'!S$6, טבלה2[[#Headers],[SPPR_1986]:[SPPR_symbolic_full_import_as_DC]], 0))
)</f>
        <v>1</v>
      </c>
      <c r="U96" s="9">
        <f>IF($B$4="סהכ",
INDEX(טבלה1[[SPPR_1986]:[SPPR_symbolic_full_import_as_DC]], MATCH('השוואת פקטורים'!$B96, 'PPRs all'!$A$2:$A$108, 0), MATCH('השוואת פקטורים'!U$6, טבלה1[[#Headers],[SPPR_1986]:[SPPR_symbolic_full_import_as_DC]], 0)) / INDEX(טבלה1[[SPPR_1986]:[SPPR_symbolic_full_import_as_DC]], MATCH('השוואת פקטורים'!$B96, 'PPRs all'!$A$2:$A$108, 0), MATCH('השוואת פקטורים'!T$6, טבלה1[[#Headers],[SPPR_1986]:[SPPR_symbolic_full_import_as_DC]], 0)),
INDEX(טבלה2[[SPPR_1986]:[SPPR_symbolic_full_import_as_DC]], MATCH('השוואת פקטורים'!$B96, 'PPRs inner'!$A$2:$A$108, 0), MATCH('השוואת פקטורים'!U$6, טבלה2[[#Headers],[SPPR_1986]:[SPPR_symbolic_full_import_as_DC]], 0)) / INDEX(טבלה2[[SPPR_1986]:[SPPR_symbolic_full_import_as_DC]], MATCH('השוואת פקטורים'!$B96, 'PPRs inner'!$A$2:$A$108, 0), MATCH('השוואת פקטורים'!T$6, טבלה2[[#Headers],[SPPR_1986]:[SPPR_symbolic_full_import_as_DC]], 0))
)</f>
        <v>1.0000000000000016</v>
      </c>
      <c r="V96" s="9"/>
      <c r="W96" s="9"/>
      <c r="X96" s="14"/>
      <c r="Y96" s="14"/>
      <c r="Z96" s="15">
        <f t="shared" si="6"/>
        <v>1.1483208197597643</v>
      </c>
    </row>
    <row r="97" spans="2:26" x14ac:dyDescent="0.3">
      <c r="B97" s="6" t="s">
        <v>111</v>
      </c>
      <c r="C97" s="12" t="b">
        <v>1</v>
      </c>
      <c r="D97" s="12" t="b">
        <v>1</v>
      </c>
      <c r="E97" s="12" t="b">
        <v>1</v>
      </c>
      <c r="F97" s="12" t="b">
        <f t="shared" si="5"/>
        <v>1</v>
      </c>
      <c r="G97" s="7" t="b">
        <f>ABS(INDEX(טבלה5[[SPPR_1986]:[SPPR_symbolic_full_import_as_DC]],MATCH('השוואת פקטורים'!$B97,טבלה5[עמודה1],0),MATCH($C$4,טבלה5[[#Headers],[SPPR_1986]:[SPPR_symbolic_full_import_as_DC]],0))) &lt; 5</f>
        <v>1</v>
      </c>
      <c r="H97" s="7" t="b">
        <f>INDEX(טבלה3[[SPPR_1986]:[SPPR_symbolic_full_import_as_DC]],MATCH('השוואת פקטורים'!$B97,טבלה3[עמודה1],0),MATCH($C$4,טבלה3[[#Headers],[SPPR_1986]:[SPPR_symbolic_full_import_as_DC]],0))</f>
        <v>1</v>
      </c>
      <c r="I97" s="7" t="b">
        <f t="shared" si="4"/>
        <v>1</v>
      </c>
      <c r="J97" s="13"/>
      <c r="K97" s="9">
        <f>IF($B$4="סהכ",
INDEX(טבלה1[[SPPR_1986]:[SPPR_symbolic_full_import_as_DC]], MATCH('השוואת פקטורים'!$B97, 'PPRs all'!$A$2:$A$108, 0), MATCH('השוואת פקטורים'!K$6, טבלה1[[#Headers],[SPPR_1986]:[SPPR_symbolic_full_import_as_DC]], 0)) / INDEX(טבלה1[[SPPR_1986]:[SPPR_symbolic_full_import_as_DC]], MATCH('השוואת פקטורים'!$B97, 'PPRs all'!$A$2:$A$108, 0), MATCH('השוואת פקטורים'!J$6, טבלה1[[#Headers],[SPPR_1986]:[SPPR_symbolic_full_import_as_DC]], 0)),
INDEX(טבלה2[[SPPR_1986]:[SPPR_symbolic_full_import_as_DC]], MATCH('השוואת פקטורים'!$B97, 'PPRs inner'!$A$2:$A$108, 0), MATCH('השוואת פקטורים'!K$6, טבלה2[[#Headers],[SPPR_1986]:[SPPR_symbolic_full_import_as_DC]], 0)) / INDEX(טבלה2[[SPPR_1986]:[SPPR_symbolic_full_import_as_DC]], MATCH('השוואת פקטורים'!$B97, 'PPRs inner'!$A$2:$A$108, 0), MATCH('השוואת פקטורים'!J$6, טבלה2[[#Headers],[SPPR_1986]:[SPPR_symbolic_full_import_as_DC]], 0))
)</f>
        <v>2.2978039389062901</v>
      </c>
      <c r="L97" s="9">
        <f>IF($B$4="סהכ",
INDEX(טבלה1[[SPPR_1986]:[SPPR_symbolic_full_import_as_DC]], MATCH('השוואת פקטורים'!$B97, 'PPRs all'!$A$2:$A$108, 0), MATCH('השוואת פקטורים'!L$6, טבלה1[[#Headers],[SPPR_1986]:[SPPR_symbolic_full_import_as_DC]], 0)) / INDEX(טבלה1[[SPPR_1986]:[SPPR_symbolic_full_import_as_DC]], MATCH('השוואת פקטורים'!$B97, 'PPRs all'!$A$2:$A$108, 0), MATCH('השוואת פקטורים'!K$6, טבלה1[[#Headers],[SPPR_1986]:[SPPR_symbolic_full_import_as_DC]], 0)),
INDEX(טבלה2[[SPPR_1986]:[SPPR_symbolic_full_import_as_DC]], MATCH('השוואת פקטורים'!$B97, 'PPRs inner'!$A$2:$A$108, 0), MATCH('השוואת פקטורים'!L$6, טבלה2[[#Headers],[SPPR_1986]:[SPPR_symbolic_full_import_as_DC]], 0)) / INDEX(טבלה2[[SPPR_1986]:[SPPR_symbolic_full_import_as_DC]], MATCH('השוואת פקטורים'!$B97, 'PPRs inner'!$A$2:$A$108, 0), MATCH('השוואת פקטורים'!K$6, טבלה2[[#Headers],[SPPR_1986]:[SPPR_symbolic_full_import_as_DC]], 0))
)</f>
        <v>8.3531867056712343</v>
      </c>
      <c r="M97" s="9">
        <f>IF($B$4="סהכ",
INDEX(טבלה1[[SPPR_1986]:[SPPR_symbolic_full_import_as_DC]], MATCH('השוואת פקטורים'!$B97, 'PPRs all'!$A$2:$A$108, 0), MATCH('השוואת פקטורים'!M$6, טבלה1[[#Headers],[SPPR_1986]:[SPPR_symbolic_full_import_as_DC]], 0)) / INDEX(טבלה1[[SPPR_1986]:[SPPR_symbolic_full_import_as_DC]], MATCH('השוואת פקטורים'!$B97, 'PPRs all'!$A$2:$A$108, 0), MATCH('השוואת פקטורים'!L$6, טבלה1[[#Headers],[SPPR_1986]:[SPPR_symbolic_full_import_as_DC]], 0)),
INDEX(טבלה2[[SPPR_1986]:[SPPR_symbolic_full_import_as_DC]], MATCH('השוואת פקטורים'!$B97, 'PPRs inner'!$A$2:$A$108, 0), MATCH('השוואת פקטורים'!M$6, טבלה2[[#Headers],[SPPR_1986]:[SPPR_symbolic_full_import_as_DC]], 0)) / INDEX(טבלה2[[SPPR_1986]:[SPPR_symbolic_full_import_as_DC]], MATCH('השוואת פקטורים'!$B97, 'PPRs inner'!$A$2:$A$108, 0), MATCH('השוואת פקטורים'!L$6, טבלה2[[#Headers],[SPPR_1986]:[SPPR_symbolic_full_import_as_DC]], 0))
)</f>
        <v>0.14586273596189303</v>
      </c>
      <c r="N97" s="9">
        <f>IF($B$4="סהכ",
INDEX(טבלה1[[SPPR_1986]:[SPPR_symbolic_full_import_as_DC]], MATCH('השוואת פקטורים'!$B97, 'PPRs all'!$A$2:$A$108, 0), MATCH('השוואת פקטורים'!N$6, טבלה1[[#Headers],[SPPR_1986]:[SPPR_symbolic_full_import_as_DC]], 0)) / INDEX(טבלה1[[SPPR_1986]:[SPPR_symbolic_full_import_as_DC]], MATCH('השוואת פקטורים'!$B97, 'PPRs all'!$A$2:$A$108, 0), MATCH('השוואת פקטורים'!M$6, טבלה1[[#Headers],[SPPR_1986]:[SPPR_symbolic_full_import_as_DC]], 0)),
INDEX(טבלה2[[SPPR_1986]:[SPPR_symbolic_full_import_as_DC]], MATCH('השוואת פקטורים'!$B97, 'PPRs inner'!$A$2:$A$108, 0), MATCH('השוואת פקטורים'!N$6, טבלה2[[#Headers],[SPPR_1986]:[SPPR_symbolic_full_import_as_DC]], 0)) / INDEX(טבלה2[[SPPR_1986]:[SPPR_symbolic_full_import_as_DC]], MATCH('השוואת פקטורים'!$B97, 'PPRs inner'!$A$2:$A$108, 0), MATCH('השוואת פקטורים'!M$6, טבלה2[[#Headers],[SPPR_1986]:[SPPR_symbolic_full_import_as_DC]], 0))
)</f>
        <v>1.4914291267351711</v>
      </c>
      <c r="O97" s="9">
        <f>IF($B$4="סהכ",
INDEX(טבלה1[[SPPR_1986]:[SPPR_symbolic_full_import_as_DC]], MATCH('השוואת פקטורים'!$B97, 'PPRs all'!$A$2:$A$108, 0), MATCH('השוואת פקטורים'!O$6, טבלה1[[#Headers],[SPPR_1986]:[SPPR_symbolic_full_import_as_DC]], 0)) / INDEX(טבלה1[[SPPR_1986]:[SPPR_symbolic_full_import_as_DC]], MATCH('השוואת פקטורים'!$B97, 'PPRs all'!$A$2:$A$108, 0), MATCH('השוואת פקטורים'!N$6, טבלה1[[#Headers],[SPPR_1986]:[SPPR_symbolic_full_import_as_DC]], 0)),
INDEX(טבלה2[[SPPR_1986]:[SPPR_symbolic_full_import_as_DC]], MATCH('השוואת פקטורים'!$B97, 'PPRs inner'!$A$2:$A$108, 0), MATCH('השוואת פקטורים'!O$6, טבלה2[[#Headers],[SPPR_1986]:[SPPR_symbolic_full_import_as_DC]], 0)) / INDEX(טבלה2[[SPPR_1986]:[SPPR_symbolic_full_import_as_DC]], MATCH('השוואת פקטורים'!$B97, 'PPRs inner'!$A$2:$A$108, 0), MATCH('השוואת פקטורים'!N$6, טבלה2[[#Headers],[SPPR_1986]:[SPPR_symbolic_full_import_as_DC]], 0))
)</f>
        <v>0.99999999999999967</v>
      </c>
      <c r="P97" s="9">
        <f>IF($B$4="סהכ",
INDEX(טבלה1[[SPPR_1986]:[SPPR_symbolic_full_import_as_DC]], MATCH('השוואת פקטורים'!$B97, 'PPRs all'!$A$2:$A$108, 0), MATCH('השוואת פקטורים'!P$6, טבלה1[[#Headers],[SPPR_1986]:[SPPR_symbolic_full_import_as_DC]], 0)) / INDEX(טבלה1[[SPPR_1986]:[SPPR_symbolic_full_import_as_DC]], MATCH('השוואת פקטורים'!$B97, 'PPRs all'!$A$2:$A$108, 0), MATCH('השוואת פקטורים'!O$6, טבלה1[[#Headers],[SPPR_1986]:[SPPR_symbolic_full_import_as_DC]], 0)),
INDEX(טבלה2[[SPPR_1986]:[SPPR_symbolic_full_import_as_DC]], MATCH('השוואת פקטורים'!$B97, 'PPRs inner'!$A$2:$A$108, 0), MATCH('השוואת פקטורים'!P$6, טבלה2[[#Headers],[SPPR_1986]:[SPPR_symbolic_full_import_as_DC]], 0)) / INDEX(טבלה2[[SPPR_1986]:[SPPR_symbolic_full_import_as_DC]], MATCH('השוואת פקטורים'!$B97, 'PPRs inner'!$A$2:$A$108, 0), MATCH('השוואת פקטורים'!O$6, טבלה2[[#Headers],[SPPR_1986]:[SPPR_symbolic_full_import_as_DC]], 0))
)</f>
        <v>0.25189358954188767</v>
      </c>
      <c r="Q97" s="9">
        <f>IF($B$4="סהכ",
INDEX(טבלה1[[SPPR_1986]:[SPPR_symbolic_full_import_as_DC]], MATCH('השוואת פקטורים'!$B97, 'PPRs all'!$A$2:$A$108, 0), MATCH('השוואת פקטורים'!Q$6, טבלה1[[#Headers],[SPPR_1986]:[SPPR_symbolic_full_import_as_DC]], 0)) / INDEX(טבלה1[[SPPR_1986]:[SPPR_symbolic_full_import_as_DC]], MATCH('השוואת פקטורים'!$B97, 'PPRs all'!$A$2:$A$108, 0), MATCH('השוואת פקטורים'!P$6, טבלה1[[#Headers],[SPPR_1986]:[SPPR_symbolic_full_import_as_DC]], 0)),
INDEX(טבלה2[[SPPR_1986]:[SPPR_symbolic_full_import_as_DC]], MATCH('השוואת פקטורים'!$B97, 'PPRs inner'!$A$2:$A$108, 0), MATCH('השוואת פקטורים'!Q$6, טבלה2[[#Headers],[SPPR_1986]:[SPPR_symbolic_full_import_as_DC]], 0)) / INDEX(טבלה2[[SPPR_1986]:[SPPR_symbolic_full_import_as_DC]], MATCH('השוואת פקטורים'!$B97, 'PPRs inner'!$A$2:$A$108, 0), MATCH('השוואת פקטורים'!P$6, טבלה2[[#Headers],[SPPR_1986]:[SPPR_symbolic_full_import_as_DC]], 0))
)</f>
        <v>1.0000000000000027</v>
      </c>
      <c r="R97" s="9">
        <f>IF($B$4="סהכ",
INDEX(טבלה1[[SPPR_1986]:[SPPR_symbolic_full_import_as_DC]], MATCH('השוואת פקטורים'!$B97, 'PPRs all'!$A$2:$A$108, 0), MATCH('השוואת פקטורים'!R$6, טבלה1[[#Headers],[SPPR_1986]:[SPPR_symbolic_full_import_as_DC]], 0)) / INDEX(טבלה1[[SPPR_1986]:[SPPR_symbolic_full_import_as_DC]], MATCH('השוואת פקטורים'!$B97, 'PPRs all'!$A$2:$A$108, 0), MATCH('השוואת פקטורים'!Q$6, טבלה1[[#Headers],[SPPR_1986]:[SPPR_symbolic_full_import_as_DC]], 0)),
INDEX(טבלה2[[SPPR_1986]:[SPPR_symbolic_full_import_as_DC]], MATCH('השוואת פקטורים'!$B97, 'PPRs inner'!$A$2:$A$108, 0), MATCH('השוואת פקטורים'!R$6, טבלה2[[#Headers],[SPPR_1986]:[SPPR_symbolic_full_import_as_DC]], 0)) / INDEX(טבלה2[[SPPR_1986]:[SPPR_symbolic_full_import_as_DC]], MATCH('השוואת פקטורים'!$B97, 'PPRs inner'!$A$2:$A$108, 0), MATCH('השוואת פקטורים'!Q$6, טבלה2[[#Headers],[SPPR_1986]:[SPPR_symbolic_full_import_as_DC]], 0))
)</f>
        <v>1</v>
      </c>
      <c r="S97" s="9">
        <f>IF($B$4="סהכ",
INDEX(טבלה1[[SPPR_1986]:[SPPR_symbolic_full_import_as_DC]], MATCH('השוואת פקטורים'!$B97, 'PPRs all'!$A$2:$A$108, 0), MATCH('השוואת פקטורים'!S$6, טבלה1[[#Headers],[SPPR_1986]:[SPPR_symbolic_full_import_as_DC]], 0)) / INDEX(טבלה1[[SPPR_1986]:[SPPR_symbolic_full_import_as_DC]], MATCH('השוואת פקטורים'!$B97, 'PPRs all'!$A$2:$A$108, 0), MATCH('השוואת פקטורים'!R$6, טבלה1[[#Headers],[SPPR_1986]:[SPPR_symbolic_full_import_as_DC]], 0)),
INDEX(טבלה2[[SPPR_1986]:[SPPR_symbolic_full_import_as_DC]], MATCH('השוואת פקטורים'!$B97, 'PPRs inner'!$A$2:$A$108, 0), MATCH('השוואת פקטורים'!S$6, טבלה2[[#Headers],[SPPR_1986]:[SPPR_symbolic_full_import_as_DC]], 0)) / INDEX(טבלה2[[SPPR_1986]:[SPPR_symbolic_full_import_as_DC]], MATCH('השוואת פקטורים'!$B97, 'PPRs inner'!$A$2:$A$108, 0), MATCH('השוואת פקטורים'!R$6, טבלה2[[#Headers],[SPPR_1986]:[SPPR_symbolic_full_import_as_DC]], 0))
)</f>
        <v>1</v>
      </c>
      <c r="T97" s="9">
        <f>IF($B$4="סהכ",
INDEX(טבלה1[[SPPR_1986]:[SPPR_symbolic_full_import_as_DC]], MATCH('השוואת פקטורים'!$B97, 'PPRs all'!$A$2:$A$108, 0), MATCH('השוואת פקטורים'!T$6, טבלה1[[#Headers],[SPPR_1986]:[SPPR_symbolic_full_import_as_DC]], 0)) / INDEX(טבלה1[[SPPR_1986]:[SPPR_symbolic_full_import_as_DC]], MATCH('השוואת פקטורים'!$B97, 'PPRs all'!$A$2:$A$108, 0), MATCH('השוואת פקטורים'!S$6, טבלה1[[#Headers],[SPPR_1986]:[SPPR_symbolic_full_import_as_DC]], 0)),
INDEX(טבלה2[[SPPR_1986]:[SPPR_symbolic_full_import_as_DC]], MATCH('השוואת פקטורים'!$B97, 'PPRs inner'!$A$2:$A$108, 0), MATCH('השוואת פקטורים'!T$6, טבלה2[[#Headers],[SPPR_1986]:[SPPR_symbolic_full_import_as_DC]], 0)) / INDEX(טבלה2[[SPPR_1986]:[SPPR_symbolic_full_import_as_DC]], MATCH('השוואת פקטורים'!$B97, 'PPRs inner'!$A$2:$A$108, 0), MATCH('השוואת פקטורים'!S$6, טבלה2[[#Headers],[SPPR_1986]:[SPPR_symbolic_full_import_as_DC]], 0))
)</f>
        <v>1</v>
      </c>
      <c r="U97" s="9">
        <f>IF($B$4="סהכ",
INDEX(טבלה1[[SPPR_1986]:[SPPR_symbolic_full_import_as_DC]], MATCH('השוואת פקטורים'!$B97, 'PPRs all'!$A$2:$A$108, 0), MATCH('השוואת פקטורים'!U$6, טבלה1[[#Headers],[SPPR_1986]:[SPPR_symbolic_full_import_as_DC]], 0)) / INDEX(טבלה1[[SPPR_1986]:[SPPR_symbolic_full_import_as_DC]], MATCH('השוואת פקטורים'!$B97, 'PPRs all'!$A$2:$A$108, 0), MATCH('השוואת פקטורים'!T$6, טבלה1[[#Headers],[SPPR_1986]:[SPPR_symbolic_full_import_as_DC]], 0)),
INDEX(טבלה2[[SPPR_1986]:[SPPR_symbolic_full_import_as_DC]], MATCH('השוואת פקטורים'!$B97, 'PPRs inner'!$A$2:$A$108, 0), MATCH('השוואת פקטורים'!U$6, טבלה2[[#Headers],[SPPR_1986]:[SPPR_symbolic_full_import_as_DC]], 0)) / INDEX(טבלה2[[SPPR_1986]:[SPPR_symbolic_full_import_as_DC]], MATCH('השוואת פקטורים'!$B97, 'PPRs inner'!$A$2:$A$108, 0), MATCH('השוואת פקטורים'!T$6, טבלה2[[#Headers],[SPPR_1986]:[SPPR_symbolic_full_import_as_DC]], 0))
)</f>
        <v>0.99999999999999734</v>
      </c>
      <c r="V97" s="9"/>
      <c r="W97" s="9"/>
      <c r="X97" s="14"/>
      <c r="Y97" s="14"/>
      <c r="Z97" s="15">
        <f t="shared" si="6"/>
        <v>1.0517905129467802</v>
      </c>
    </row>
    <row r="98" spans="2:26" x14ac:dyDescent="0.3">
      <c r="B98" s="6" t="s">
        <v>112</v>
      </c>
      <c r="C98" s="12" t="b">
        <v>1</v>
      </c>
      <c r="D98" s="12" t="b">
        <v>1</v>
      </c>
      <c r="E98" s="12" t="b">
        <v>1</v>
      </c>
      <c r="F98" s="12" t="b">
        <f t="shared" si="5"/>
        <v>1</v>
      </c>
      <c r="G98" s="7" t="b">
        <f>ABS(INDEX(טבלה5[[SPPR_1986]:[SPPR_symbolic_full_import_as_DC]],MATCH('השוואת פקטורים'!$B98,טבלה5[עמודה1],0),MATCH($C$4,טבלה5[[#Headers],[SPPR_1986]:[SPPR_symbolic_full_import_as_DC]],0))) &lt; 5</f>
        <v>1</v>
      </c>
      <c r="H98" s="7" t="b">
        <f>INDEX(טבלה3[[SPPR_1986]:[SPPR_symbolic_full_import_as_DC]],MATCH('השוואת פקטורים'!$B98,טבלה3[עמודה1],0),MATCH($C$4,טבלה3[[#Headers],[SPPR_1986]:[SPPR_symbolic_full_import_as_DC]],0))</f>
        <v>1</v>
      </c>
      <c r="I98" s="7" t="b">
        <f t="shared" si="4"/>
        <v>1</v>
      </c>
      <c r="J98" s="13"/>
      <c r="K98" s="9">
        <f>IF($B$4="סהכ",
INDEX(טבלה1[[SPPR_1986]:[SPPR_symbolic_full_import_as_DC]], MATCH('השוואת פקטורים'!$B98, 'PPRs all'!$A$2:$A$108, 0), MATCH('השוואת פקטורים'!K$6, טבלה1[[#Headers],[SPPR_1986]:[SPPR_symbolic_full_import_as_DC]], 0)) / INDEX(טבלה1[[SPPR_1986]:[SPPR_symbolic_full_import_as_DC]], MATCH('השוואת פקטורים'!$B98, 'PPRs all'!$A$2:$A$108, 0), MATCH('השוואת פקטורים'!J$6, טבלה1[[#Headers],[SPPR_1986]:[SPPR_symbolic_full_import_as_DC]], 0)),
INDEX(טבלה2[[SPPR_1986]:[SPPR_symbolic_full_import_as_DC]], MATCH('השוואת פקטורים'!$B98, 'PPRs inner'!$A$2:$A$108, 0), MATCH('השוואת פקטורים'!K$6, טבלה2[[#Headers],[SPPR_1986]:[SPPR_symbolic_full_import_as_DC]], 0)) / INDEX(טבלה2[[SPPR_1986]:[SPPR_symbolic_full_import_as_DC]], MATCH('השוואת פקטורים'!$B98, 'PPRs inner'!$A$2:$A$108, 0), MATCH('השוואת פקטורים'!J$6, טבלה2[[#Headers],[SPPR_1986]:[SPPR_symbolic_full_import_as_DC]], 0))
)</f>
        <v>0.57756656043694066</v>
      </c>
      <c r="L98" s="9">
        <f>IF($B$4="סהכ",
INDEX(טבלה1[[SPPR_1986]:[SPPR_symbolic_full_import_as_DC]], MATCH('השוואת פקטורים'!$B98, 'PPRs all'!$A$2:$A$108, 0), MATCH('השוואת פקטורים'!L$6, טבלה1[[#Headers],[SPPR_1986]:[SPPR_symbolic_full_import_as_DC]], 0)) / INDEX(טבלה1[[SPPR_1986]:[SPPR_symbolic_full_import_as_DC]], MATCH('השוואת פקטורים'!$B98, 'PPRs all'!$A$2:$A$108, 0), MATCH('השוואת פקטורים'!K$6, טבלה1[[#Headers],[SPPR_1986]:[SPPR_symbolic_full_import_as_DC]], 0)),
INDEX(טבלה2[[SPPR_1986]:[SPPR_symbolic_full_import_as_DC]], MATCH('השוואת פקטורים'!$B98, 'PPRs inner'!$A$2:$A$108, 0), MATCH('השוואת פקטורים'!L$6, טבלה2[[#Headers],[SPPR_1986]:[SPPR_symbolic_full_import_as_DC]], 0)) / INDEX(טבלה2[[SPPR_1986]:[SPPR_symbolic_full_import_as_DC]], MATCH('השוואת פקטורים'!$B98, 'PPRs inner'!$A$2:$A$108, 0), MATCH('השוואת פקטורים'!K$6, טבלה2[[#Headers],[SPPR_1986]:[SPPR_symbolic_full_import_as_DC]], 0))
)</f>
        <v>2.7580510600949757</v>
      </c>
      <c r="M98" s="9">
        <f>IF($B$4="סהכ",
INDEX(טבלה1[[SPPR_1986]:[SPPR_symbolic_full_import_as_DC]], MATCH('השוואת פקטורים'!$B98, 'PPRs all'!$A$2:$A$108, 0), MATCH('השוואת פקטורים'!M$6, טבלה1[[#Headers],[SPPR_1986]:[SPPR_symbolic_full_import_as_DC]], 0)) / INDEX(טבלה1[[SPPR_1986]:[SPPR_symbolic_full_import_as_DC]], MATCH('השוואת פקטורים'!$B98, 'PPRs all'!$A$2:$A$108, 0), MATCH('השוואת פקטורים'!L$6, טבלה1[[#Headers],[SPPR_1986]:[SPPR_symbolic_full_import_as_DC]], 0)),
INDEX(טבלה2[[SPPR_1986]:[SPPR_symbolic_full_import_as_DC]], MATCH('השוואת פקטורים'!$B98, 'PPRs inner'!$A$2:$A$108, 0), MATCH('השוואת פקטורים'!M$6, טבלה2[[#Headers],[SPPR_1986]:[SPPR_symbolic_full_import_as_DC]], 0)) / INDEX(טבלה2[[SPPR_1986]:[SPPR_symbolic_full_import_as_DC]], MATCH('השוואת פקטורים'!$B98, 'PPRs inner'!$A$2:$A$108, 0), MATCH('השוואת פקטורים'!L$6, טבלה2[[#Headers],[SPPR_1986]:[SPPR_symbolic_full_import_as_DC]], 0))
)</f>
        <v>0.82550638322155412</v>
      </c>
      <c r="N98" s="9">
        <f>IF($B$4="סהכ",
INDEX(טבלה1[[SPPR_1986]:[SPPR_symbolic_full_import_as_DC]], MATCH('השוואת פקטורים'!$B98, 'PPRs all'!$A$2:$A$108, 0), MATCH('השוואת פקטורים'!N$6, טבלה1[[#Headers],[SPPR_1986]:[SPPR_symbolic_full_import_as_DC]], 0)) / INDEX(טבלה1[[SPPR_1986]:[SPPR_symbolic_full_import_as_DC]], MATCH('השוואת פקטורים'!$B98, 'PPRs all'!$A$2:$A$108, 0), MATCH('השוואת פקטורים'!M$6, טבלה1[[#Headers],[SPPR_1986]:[SPPR_symbolic_full_import_as_DC]], 0)),
INDEX(טבלה2[[SPPR_1986]:[SPPR_symbolic_full_import_as_DC]], MATCH('השוואת פקטורים'!$B98, 'PPRs inner'!$A$2:$A$108, 0), MATCH('השוואת פקטורים'!N$6, טבלה2[[#Headers],[SPPR_1986]:[SPPR_symbolic_full_import_as_DC]], 0)) / INDEX(טבלה2[[SPPR_1986]:[SPPR_symbolic_full_import_as_DC]], MATCH('השוואת פקטורים'!$B98, 'PPRs inner'!$A$2:$A$108, 0), MATCH('השוואת פקטורים'!M$6, טבלה2[[#Headers],[SPPR_1986]:[SPPR_symbolic_full_import_as_DC]], 0))
)</f>
        <v>2.4045419030209088</v>
      </c>
      <c r="O98" s="9">
        <f>IF($B$4="סהכ",
INDEX(טבלה1[[SPPR_1986]:[SPPR_symbolic_full_import_as_DC]], MATCH('השוואת פקטורים'!$B98, 'PPRs all'!$A$2:$A$108, 0), MATCH('השוואת פקטורים'!O$6, טבלה1[[#Headers],[SPPR_1986]:[SPPR_symbolic_full_import_as_DC]], 0)) / INDEX(טבלה1[[SPPR_1986]:[SPPR_symbolic_full_import_as_DC]], MATCH('השוואת פקטורים'!$B98, 'PPRs all'!$A$2:$A$108, 0), MATCH('השוואת פקטורים'!N$6, טבלה1[[#Headers],[SPPR_1986]:[SPPR_symbolic_full_import_as_DC]], 0)),
INDEX(טבלה2[[SPPR_1986]:[SPPR_symbolic_full_import_as_DC]], MATCH('השוואת פקטורים'!$B98, 'PPRs inner'!$A$2:$A$108, 0), MATCH('השוואת פקטורים'!O$6, טבלה2[[#Headers],[SPPR_1986]:[SPPR_symbolic_full_import_as_DC]], 0)) / INDEX(טבלה2[[SPPR_1986]:[SPPR_symbolic_full_import_as_DC]], MATCH('השוואת פקטורים'!$B98, 'PPRs inner'!$A$2:$A$108, 0), MATCH('השוואת פקטורים'!N$6, טבלה2[[#Headers],[SPPR_1986]:[SPPR_symbolic_full_import_as_DC]], 0))
)</f>
        <v>0.9999999999999154</v>
      </c>
      <c r="P98" s="9">
        <f>IF($B$4="סהכ",
INDEX(טבלה1[[SPPR_1986]:[SPPR_symbolic_full_import_as_DC]], MATCH('השוואת פקטורים'!$B98, 'PPRs all'!$A$2:$A$108, 0), MATCH('השוואת פקטורים'!P$6, טבלה1[[#Headers],[SPPR_1986]:[SPPR_symbolic_full_import_as_DC]], 0)) / INDEX(טבלה1[[SPPR_1986]:[SPPR_symbolic_full_import_as_DC]], MATCH('השוואת פקטורים'!$B98, 'PPRs all'!$A$2:$A$108, 0), MATCH('השוואת פקטורים'!O$6, טבלה1[[#Headers],[SPPR_1986]:[SPPR_symbolic_full_import_as_DC]], 0)),
INDEX(טבלה2[[SPPR_1986]:[SPPR_symbolic_full_import_as_DC]], MATCH('השוואת פקטורים'!$B98, 'PPRs inner'!$A$2:$A$108, 0), MATCH('השוואת פקטורים'!P$6, טבלה2[[#Headers],[SPPR_1986]:[SPPR_symbolic_full_import_as_DC]], 0)) / INDEX(טבלה2[[SPPR_1986]:[SPPR_symbolic_full_import_as_DC]], MATCH('השוואת פקטורים'!$B98, 'PPRs inner'!$A$2:$A$108, 0), MATCH('השוואת פקטורים'!O$6, טבלה2[[#Headers],[SPPR_1986]:[SPPR_symbolic_full_import_as_DC]], 0))
)</f>
        <v>0.63082332204200775</v>
      </c>
      <c r="Q98" s="9">
        <f>IF($B$4="סהכ",
INDEX(טבלה1[[SPPR_1986]:[SPPR_symbolic_full_import_as_DC]], MATCH('השוואת פקטורים'!$B98, 'PPRs all'!$A$2:$A$108, 0), MATCH('השוואת פקטורים'!Q$6, טבלה1[[#Headers],[SPPR_1986]:[SPPR_symbolic_full_import_as_DC]], 0)) / INDEX(טבלה1[[SPPR_1986]:[SPPR_symbolic_full_import_as_DC]], MATCH('השוואת פקטורים'!$B98, 'PPRs all'!$A$2:$A$108, 0), MATCH('השוואת פקטורים'!P$6, טבלה1[[#Headers],[SPPR_1986]:[SPPR_symbolic_full_import_as_DC]], 0)),
INDEX(טבלה2[[SPPR_1986]:[SPPR_symbolic_full_import_as_DC]], MATCH('השוואת פקטורים'!$B98, 'PPRs inner'!$A$2:$A$108, 0), MATCH('השוואת פקטורים'!Q$6, טבלה2[[#Headers],[SPPR_1986]:[SPPR_symbolic_full_import_as_DC]], 0)) / INDEX(טבלה2[[SPPR_1986]:[SPPR_symbolic_full_import_as_DC]], MATCH('השוואת פקטורים'!$B98, 'PPRs inner'!$A$2:$A$108, 0), MATCH('השוואת פקטורים'!P$6, טבלה2[[#Headers],[SPPR_1986]:[SPPR_symbolic_full_import_as_DC]], 0))
)</f>
        <v>0.99999999999998102</v>
      </c>
      <c r="R98" s="9">
        <f>IF($B$4="סהכ",
INDEX(טבלה1[[SPPR_1986]:[SPPR_symbolic_full_import_as_DC]], MATCH('השוואת פקטורים'!$B98, 'PPRs all'!$A$2:$A$108, 0), MATCH('השוואת פקטורים'!R$6, טבלה1[[#Headers],[SPPR_1986]:[SPPR_symbolic_full_import_as_DC]], 0)) / INDEX(טבלה1[[SPPR_1986]:[SPPR_symbolic_full_import_as_DC]], MATCH('השוואת פקטורים'!$B98, 'PPRs all'!$A$2:$A$108, 0), MATCH('השוואת פקטורים'!Q$6, טבלה1[[#Headers],[SPPR_1986]:[SPPR_symbolic_full_import_as_DC]], 0)),
INDEX(טבלה2[[SPPR_1986]:[SPPR_symbolic_full_import_as_DC]], MATCH('השוואת פקטורים'!$B98, 'PPRs inner'!$A$2:$A$108, 0), MATCH('השוואת פקטורים'!R$6, טבלה2[[#Headers],[SPPR_1986]:[SPPR_symbolic_full_import_as_DC]], 0)) / INDEX(טבלה2[[SPPR_1986]:[SPPR_symbolic_full_import_as_DC]], MATCH('השוואת פקטורים'!$B98, 'PPRs inner'!$A$2:$A$108, 0), MATCH('השוואת פקטורים'!Q$6, טבלה2[[#Headers],[SPPR_1986]:[SPPR_symbolic_full_import_as_DC]], 0))
)</f>
        <v>-86999533717.413574</v>
      </c>
      <c r="S98" s="9">
        <f>IF($B$4="סהכ",
INDEX(טבלה1[[SPPR_1986]:[SPPR_symbolic_full_import_as_DC]], MATCH('השוואת פקטורים'!$B98, 'PPRs all'!$A$2:$A$108, 0), MATCH('השוואת פקטורים'!S$6, טבלה1[[#Headers],[SPPR_1986]:[SPPR_symbolic_full_import_as_DC]], 0)) / INDEX(טבלה1[[SPPR_1986]:[SPPR_symbolic_full_import_as_DC]], MATCH('השוואת פקטורים'!$B98, 'PPRs all'!$A$2:$A$108, 0), MATCH('השוואת פקטורים'!R$6, טבלה1[[#Headers],[SPPR_1986]:[SPPR_symbolic_full_import_as_DC]], 0)),
INDEX(טבלה2[[SPPR_1986]:[SPPR_symbolic_full_import_as_DC]], MATCH('השוואת פקטורים'!$B98, 'PPRs inner'!$A$2:$A$108, 0), MATCH('השוואת פקטורים'!S$6, טבלה2[[#Headers],[SPPR_1986]:[SPPR_symbolic_full_import_as_DC]], 0)) / INDEX(טבלה2[[SPPR_1986]:[SPPR_symbolic_full_import_as_DC]], MATCH('השוואת פקטורים'!$B98, 'PPRs inner'!$A$2:$A$108, 0), MATCH('השוואת פקטורים'!R$6, טבלה2[[#Headers],[SPPR_1986]:[SPPR_symbolic_full_import_as_DC]], 0))
)</f>
        <v>-1.1494314478145794E-11</v>
      </c>
      <c r="T98" s="9">
        <f>IF($B$4="סהכ",
INDEX(טבלה1[[SPPR_1986]:[SPPR_symbolic_full_import_as_DC]], MATCH('השוואת פקטורים'!$B98, 'PPRs all'!$A$2:$A$108, 0), MATCH('השוואת פקטורים'!T$6, טבלה1[[#Headers],[SPPR_1986]:[SPPR_symbolic_full_import_as_DC]], 0)) / INDEX(טבלה1[[SPPR_1986]:[SPPR_symbolic_full_import_as_DC]], MATCH('השוואת פקטורים'!$B98, 'PPRs all'!$A$2:$A$108, 0), MATCH('השוואת פקטורים'!S$6, טבלה1[[#Headers],[SPPR_1986]:[SPPR_symbolic_full_import_as_DC]], 0)),
INDEX(טבלה2[[SPPR_1986]:[SPPR_symbolic_full_import_as_DC]], MATCH('השוואת פקטורים'!$B98, 'PPRs inner'!$A$2:$A$108, 0), MATCH('השוואת פקטורים'!T$6, טבלה2[[#Headers],[SPPR_1986]:[SPPR_symbolic_full_import_as_DC]], 0)) / INDEX(טבלה2[[SPPR_1986]:[SPPR_symbolic_full_import_as_DC]], MATCH('השוואת פקטורים'!$B98, 'PPRs inner'!$A$2:$A$108, 0), MATCH('השוואת פקטורים'!S$6, טבלה2[[#Headers],[SPPR_1986]:[SPPR_symbolic_full_import_as_DC]], 0))
)</f>
        <v>-86999533717.413574</v>
      </c>
      <c r="U98" s="9">
        <f>IF($B$4="סהכ",
INDEX(טבלה1[[SPPR_1986]:[SPPR_symbolic_full_import_as_DC]], MATCH('השוואת פקטורים'!$B98, 'PPRs all'!$A$2:$A$108, 0), MATCH('השוואת פקטורים'!U$6, טבלה1[[#Headers],[SPPR_1986]:[SPPR_symbolic_full_import_as_DC]], 0)) / INDEX(טבלה1[[SPPR_1986]:[SPPR_symbolic_full_import_as_DC]], MATCH('השוואת פקטורים'!$B98, 'PPRs all'!$A$2:$A$108, 0), MATCH('השוואת פקטורים'!T$6, טבלה1[[#Headers],[SPPR_1986]:[SPPR_symbolic_full_import_as_DC]], 0)),
INDEX(טבלה2[[SPPR_1986]:[SPPR_symbolic_full_import_as_DC]], MATCH('השוואת פקטורים'!$B98, 'PPRs inner'!$A$2:$A$108, 0), MATCH('השוואת פקטורים'!U$6, טבלה2[[#Headers],[SPPR_1986]:[SPPR_symbolic_full_import_as_DC]], 0)) / INDEX(טבלה2[[SPPR_1986]:[SPPR_symbolic_full_import_as_DC]], MATCH('השוואת פקטורים'!$B98, 'PPRs inner'!$A$2:$A$108, 0), MATCH('השוואת פקטורים'!T$6, טבלה2[[#Headers],[SPPR_1986]:[SPPR_symbolic_full_import_as_DC]], 0))
)</f>
        <v>-1.1494314478146013E-11</v>
      </c>
      <c r="V98" s="9"/>
      <c r="W98" s="9"/>
      <c r="X98" s="14"/>
      <c r="Y98" s="14"/>
      <c r="Z98" s="15">
        <f t="shared" si="6"/>
        <v>1.9946415870323142</v>
      </c>
    </row>
    <row r="99" spans="2:26" x14ac:dyDescent="0.3">
      <c r="B99" s="6" t="s">
        <v>113</v>
      </c>
      <c r="C99" s="12" t="b">
        <v>1</v>
      </c>
      <c r="D99" s="12" t="b">
        <v>1</v>
      </c>
      <c r="E99" s="12" t="b">
        <v>1</v>
      </c>
      <c r="F99" s="12" t="b">
        <f t="shared" si="5"/>
        <v>1</v>
      </c>
      <c r="G99" s="7" t="b">
        <f>ABS(INDEX(טבלה5[[SPPR_1986]:[SPPR_symbolic_full_import_as_DC]],MATCH('השוואת פקטורים'!$B99,טבלה5[עמודה1],0),MATCH($C$4,טבלה5[[#Headers],[SPPR_1986]:[SPPR_symbolic_full_import_as_DC]],0))) &lt; 5</f>
        <v>1</v>
      </c>
      <c r="H99" s="7" t="b">
        <f>INDEX(טבלה3[[SPPR_1986]:[SPPR_symbolic_full_import_as_DC]],MATCH('השוואת פקטורים'!$B99,טבלה3[עמודה1],0),MATCH($C$4,טבלה3[[#Headers],[SPPR_1986]:[SPPR_symbolic_full_import_as_DC]],0))</f>
        <v>1</v>
      </c>
      <c r="I99" s="7" t="b">
        <f t="shared" si="4"/>
        <v>1</v>
      </c>
      <c r="J99" s="13"/>
      <c r="K99" s="9">
        <f>IF($B$4="סהכ",
INDEX(טבלה1[[SPPR_1986]:[SPPR_symbolic_full_import_as_DC]], MATCH('השוואת פקטורים'!$B99, 'PPRs all'!$A$2:$A$108, 0), MATCH('השוואת פקטורים'!K$6, טבלה1[[#Headers],[SPPR_1986]:[SPPR_symbolic_full_import_as_DC]], 0)) / INDEX(טבלה1[[SPPR_1986]:[SPPR_symbolic_full_import_as_DC]], MATCH('השוואת פקטורים'!$B99, 'PPRs all'!$A$2:$A$108, 0), MATCH('השוואת פקטורים'!J$6, טבלה1[[#Headers],[SPPR_1986]:[SPPR_symbolic_full_import_as_DC]], 0)),
INDEX(טבלה2[[SPPR_1986]:[SPPR_symbolic_full_import_as_DC]], MATCH('השוואת פקטורים'!$B99, 'PPRs inner'!$A$2:$A$108, 0), MATCH('השוואת פקטורים'!K$6, טבלה2[[#Headers],[SPPR_1986]:[SPPR_symbolic_full_import_as_DC]], 0)) / INDEX(טבלה2[[SPPR_1986]:[SPPR_symbolic_full_import_as_DC]], MATCH('השוואת פקטורים'!$B99, 'PPRs inner'!$A$2:$A$108, 0), MATCH('השוואת פקטורים'!J$6, טבלה2[[#Headers],[SPPR_1986]:[SPPR_symbolic_full_import_as_DC]], 0))
)</f>
        <v>0.30588259341464935</v>
      </c>
      <c r="L99" s="9">
        <f>IF($B$4="סהכ",
INDEX(טבלה1[[SPPR_1986]:[SPPR_symbolic_full_import_as_DC]], MATCH('השוואת פקטורים'!$B99, 'PPRs all'!$A$2:$A$108, 0), MATCH('השוואת פקטורים'!L$6, טבלה1[[#Headers],[SPPR_1986]:[SPPR_symbolic_full_import_as_DC]], 0)) / INDEX(טבלה1[[SPPR_1986]:[SPPR_symbolic_full_import_as_DC]], MATCH('השוואת פקטורים'!$B99, 'PPRs all'!$A$2:$A$108, 0), MATCH('השוואת פקטורים'!K$6, טבלה1[[#Headers],[SPPR_1986]:[SPPR_symbolic_full_import_as_DC]], 0)),
INDEX(טבלה2[[SPPR_1986]:[SPPR_symbolic_full_import_as_DC]], MATCH('השוואת פקטורים'!$B99, 'PPRs inner'!$A$2:$A$108, 0), MATCH('השוואת פקטורים'!L$6, טבלה2[[#Headers],[SPPR_1986]:[SPPR_symbolic_full_import_as_DC]], 0)) / INDEX(טבלה2[[SPPR_1986]:[SPPR_symbolic_full_import_as_DC]], MATCH('השוואת פקטורים'!$B99, 'PPRs inner'!$A$2:$A$108, 0), MATCH('השוואת פקטורים'!K$6, טבלה2[[#Headers],[SPPR_1986]:[SPPR_symbolic_full_import_as_DC]], 0))
)</f>
        <v>2.0183562175068546</v>
      </c>
      <c r="M99" s="9">
        <f>IF($B$4="סהכ",
INDEX(טבלה1[[SPPR_1986]:[SPPR_symbolic_full_import_as_DC]], MATCH('השוואת פקטורים'!$B99, 'PPRs all'!$A$2:$A$108, 0), MATCH('השוואת פקטורים'!M$6, טבלה1[[#Headers],[SPPR_1986]:[SPPR_symbolic_full_import_as_DC]], 0)) / INDEX(טבלה1[[SPPR_1986]:[SPPR_symbolic_full_import_as_DC]], MATCH('השוואת פקטורים'!$B99, 'PPRs all'!$A$2:$A$108, 0), MATCH('השוואת פקטורים'!L$6, טבלה1[[#Headers],[SPPR_1986]:[SPPR_symbolic_full_import_as_DC]], 0)),
INDEX(טבלה2[[SPPR_1986]:[SPPR_symbolic_full_import_as_DC]], MATCH('השוואת פקטורים'!$B99, 'PPRs inner'!$A$2:$A$108, 0), MATCH('השוואת פקטורים'!M$6, טבלה2[[#Headers],[SPPR_1986]:[SPPR_symbolic_full_import_as_DC]], 0)) / INDEX(טבלה2[[SPPR_1986]:[SPPR_symbolic_full_import_as_DC]], MATCH('השוואת פקטורים'!$B99, 'PPRs inner'!$A$2:$A$108, 0), MATCH('השוואת פקטורים'!L$6, טבלה2[[#Headers],[SPPR_1986]:[SPPR_symbolic_full_import_as_DC]], 0))
)</f>
        <v>1.8998559111328213</v>
      </c>
      <c r="N99" s="9">
        <f>IF($B$4="סהכ",
INDEX(טבלה1[[SPPR_1986]:[SPPR_symbolic_full_import_as_DC]], MATCH('השוואת פקטורים'!$B99, 'PPRs all'!$A$2:$A$108, 0), MATCH('השוואת פקטורים'!N$6, טבלה1[[#Headers],[SPPR_1986]:[SPPR_symbolic_full_import_as_DC]], 0)) / INDEX(טבלה1[[SPPR_1986]:[SPPR_symbolic_full_import_as_DC]], MATCH('השוואת פקטורים'!$B99, 'PPRs all'!$A$2:$A$108, 0), MATCH('השוואת פקטורים'!M$6, טבלה1[[#Headers],[SPPR_1986]:[SPPR_symbolic_full_import_as_DC]], 0)),
INDEX(טבלה2[[SPPR_1986]:[SPPR_symbolic_full_import_as_DC]], MATCH('השוואת פקטורים'!$B99, 'PPRs inner'!$A$2:$A$108, 0), MATCH('השוואת פקטורים'!N$6, טבלה2[[#Headers],[SPPR_1986]:[SPPR_symbolic_full_import_as_DC]], 0)) / INDEX(טבלה2[[SPPR_1986]:[SPPR_symbolic_full_import_as_DC]], MATCH('השוואת פקטורים'!$B99, 'PPRs inner'!$A$2:$A$108, 0), MATCH('השוואת פקטורים'!M$6, טבלה2[[#Headers],[SPPR_1986]:[SPPR_symbolic_full_import_as_DC]], 0))
)</f>
        <v>1.0898892734815591</v>
      </c>
      <c r="O99" s="9">
        <f>IF($B$4="סהכ",
INDEX(טבלה1[[SPPR_1986]:[SPPR_symbolic_full_import_as_DC]], MATCH('השוואת פקטורים'!$B99, 'PPRs all'!$A$2:$A$108, 0), MATCH('השוואת פקטורים'!O$6, טבלה1[[#Headers],[SPPR_1986]:[SPPR_symbolic_full_import_as_DC]], 0)) / INDEX(טבלה1[[SPPR_1986]:[SPPR_symbolic_full_import_as_DC]], MATCH('השוואת פקטורים'!$B99, 'PPRs all'!$A$2:$A$108, 0), MATCH('השוואת פקטורים'!N$6, טבלה1[[#Headers],[SPPR_1986]:[SPPR_symbolic_full_import_as_DC]], 0)),
INDEX(טבלה2[[SPPR_1986]:[SPPR_symbolic_full_import_as_DC]], MATCH('השוואת פקטורים'!$B99, 'PPRs inner'!$A$2:$A$108, 0), MATCH('השוואת פקטורים'!O$6, טבלה2[[#Headers],[SPPR_1986]:[SPPR_symbolic_full_import_as_DC]], 0)) / INDEX(טבלה2[[SPPR_1986]:[SPPR_symbolic_full_import_as_DC]], MATCH('השוואת פקטורים'!$B99, 'PPRs inner'!$A$2:$A$108, 0), MATCH('השוואת פקטורים'!N$6, טבלה2[[#Headers],[SPPR_1986]:[SPPR_symbolic_full_import_as_DC]], 0))
)</f>
        <v>0.99999999999999878</v>
      </c>
      <c r="P99" s="9">
        <f>IF($B$4="סהכ",
INDEX(טבלה1[[SPPR_1986]:[SPPR_symbolic_full_import_as_DC]], MATCH('השוואת פקטורים'!$B99, 'PPRs all'!$A$2:$A$108, 0), MATCH('השוואת פקטורים'!P$6, טבלה1[[#Headers],[SPPR_1986]:[SPPR_symbolic_full_import_as_DC]], 0)) / INDEX(טבלה1[[SPPR_1986]:[SPPR_symbolic_full_import_as_DC]], MATCH('השוואת פקטורים'!$B99, 'PPRs all'!$A$2:$A$108, 0), MATCH('השוואת פקטורים'!O$6, טבלה1[[#Headers],[SPPR_1986]:[SPPR_symbolic_full_import_as_DC]], 0)),
INDEX(טבלה2[[SPPR_1986]:[SPPR_symbolic_full_import_as_DC]], MATCH('השוואת פקטורים'!$B99, 'PPRs inner'!$A$2:$A$108, 0), MATCH('השוואת פקטורים'!P$6, טבלה2[[#Headers],[SPPR_1986]:[SPPR_symbolic_full_import_as_DC]], 0)) / INDEX(טבלה2[[SPPR_1986]:[SPPR_symbolic_full_import_as_DC]], MATCH('השוואת פקטורים'!$B99, 'PPRs inner'!$A$2:$A$108, 0), MATCH('השוואת פקטורים'!O$6, טבלה2[[#Headers],[SPPR_1986]:[SPPR_symbolic_full_import_as_DC]], 0))
)</f>
        <v>0.17445599378471449</v>
      </c>
      <c r="Q99" s="9">
        <f>IF($B$4="סהכ",
INDEX(טבלה1[[SPPR_1986]:[SPPR_symbolic_full_import_as_DC]], MATCH('השוואת פקטורים'!$B99, 'PPRs all'!$A$2:$A$108, 0), MATCH('השוואת פקטורים'!Q$6, טבלה1[[#Headers],[SPPR_1986]:[SPPR_symbolic_full_import_as_DC]], 0)) / INDEX(טבלה1[[SPPR_1986]:[SPPR_symbolic_full_import_as_DC]], MATCH('השוואת פקטורים'!$B99, 'PPRs all'!$A$2:$A$108, 0), MATCH('השוואת פקטורים'!P$6, טבלה1[[#Headers],[SPPR_1986]:[SPPR_symbolic_full_import_as_DC]], 0)),
INDEX(טבלה2[[SPPR_1986]:[SPPR_symbolic_full_import_as_DC]], MATCH('השוואת פקטורים'!$B99, 'PPRs inner'!$A$2:$A$108, 0), MATCH('השוואת פקטורים'!Q$6, טבלה2[[#Headers],[SPPR_1986]:[SPPR_symbolic_full_import_as_DC]], 0)) / INDEX(טבלה2[[SPPR_1986]:[SPPR_symbolic_full_import_as_DC]], MATCH('השוואת פקטורים'!$B99, 'PPRs inner'!$A$2:$A$108, 0), MATCH('השוואת פקטורים'!P$6, טבלה2[[#Headers],[SPPR_1986]:[SPPR_symbolic_full_import_as_DC]], 0))
)</f>
        <v>1</v>
      </c>
      <c r="R99" s="9">
        <f>IF($B$4="סהכ",
INDEX(טבלה1[[SPPR_1986]:[SPPR_symbolic_full_import_as_DC]], MATCH('השוואת פקטורים'!$B99, 'PPRs all'!$A$2:$A$108, 0), MATCH('השוואת פקטורים'!R$6, טבלה1[[#Headers],[SPPR_1986]:[SPPR_symbolic_full_import_as_DC]], 0)) / INDEX(טבלה1[[SPPR_1986]:[SPPR_symbolic_full_import_as_DC]], MATCH('השוואת פקטורים'!$B99, 'PPRs all'!$A$2:$A$108, 0), MATCH('השוואת פקטורים'!Q$6, טבלה1[[#Headers],[SPPR_1986]:[SPPR_symbolic_full_import_as_DC]], 0)),
INDEX(טבלה2[[SPPR_1986]:[SPPR_symbolic_full_import_as_DC]], MATCH('השוואת פקטורים'!$B99, 'PPRs inner'!$A$2:$A$108, 0), MATCH('השוואת פקטורים'!R$6, טבלה2[[#Headers],[SPPR_1986]:[SPPR_symbolic_full_import_as_DC]], 0)) / INDEX(טבלה2[[SPPR_1986]:[SPPR_symbolic_full_import_as_DC]], MATCH('השוואת פקטורים'!$B99, 'PPRs inner'!$A$2:$A$108, 0), MATCH('השוואת פקטורים'!Q$6, טבלה2[[#Headers],[SPPR_1986]:[SPPR_symbolic_full_import_as_DC]], 0))
)</f>
        <v>1</v>
      </c>
      <c r="S99" s="9">
        <f>IF($B$4="סהכ",
INDEX(טבלה1[[SPPR_1986]:[SPPR_symbolic_full_import_as_DC]], MATCH('השוואת פקטורים'!$B99, 'PPRs all'!$A$2:$A$108, 0), MATCH('השוואת פקטורים'!S$6, טבלה1[[#Headers],[SPPR_1986]:[SPPR_symbolic_full_import_as_DC]], 0)) / INDEX(טבלה1[[SPPR_1986]:[SPPR_symbolic_full_import_as_DC]], MATCH('השוואת פקטורים'!$B99, 'PPRs all'!$A$2:$A$108, 0), MATCH('השוואת פקטורים'!R$6, טבלה1[[#Headers],[SPPR_1986]:[SPPR_symbolic_full_import_as_DC]], 0)),
INDEX(טבלה2[[SPPR_1986]:[SPPR_symbolic_full_import_as_DC]], MATCH('השוואת פקטורים'!$B99, 'PPRs inner'!$A$2:$A$108, 0), MATCH('השוואת פקטורים'!S$6, טבלה2[[#Headers],[SPPR_1986]:[SPPR_symbolic_full_import_as_DC]], 0)) / INDEX(טבלה2[[SPPR_1986]:[SPPR_symbolic_full_import_as_DC]], MATCH('השוואת פקטורים'!$B99, 'PPRs inner'!$A$2:$A$108, 0), MATCH('השוואת פקטורים'!R$6, טבלה2[[#Headers],[SPPR_1986]:[SPPR_symbolic_full_import_as_DC]], 0))
)</f>
        <v>1</v>
      </c>
      <c r="T99" s="9">
        <f>IF($B$4="סהכ",
INDEX(טבלה1[[SPPR_1986]:[SPPR_symbolic_full_import_as_DC]], MATCH('השוואת פקטורים'!$B99, 'PPRs all'!$A$2:$A$108, 0), MATCH('השוואת פקטורים'!T$6, טבלה1[[#Headers],[SPPR_1986]:[SPPR_symbolic_full_import_as_DC]], 0)) / INDEX(טבלה1[[SPPR_1986]:[SPPR_symbolic_full_import_as_DC]], MATCH('השוואת פקטורים'!$B99, 'PPRs all'!$A$2:$A$108, 0), MATCH('השוואת פקטורים'!S$6, טבלה1[[#Headers],[SPPR_1986]:[SPPR_symbolic_full_import_as_DC]], 0)),
INDEX(טבלה2[[SPPR_1986]:[SPPR_symbolic_full_import_as_DC]], MATCH('השוואת פקטורים'!$B99, 'PPRs inner'!$A$2:$A$108, 0), MATCH('השוואת פקטורים'!T$6, טבלה2[[#Headers],[SPPR_1986]:[SPPR_symbolic_full_import_as_DC]], 0)) / INDEX(טבלה2[[SPPR_1986]:[SPPR_symbolic_full_import_as_DC]], MATCH('השוואת פקטורים'!$B99, 'PPRs inner'!$A$2:$A$108, 0), MATCH('השוואת פקטורים'!S$6, טבלה2[[#Headers],[SPPR_1986]:[SPPR_symbolic_full_import_as_DC]], 0))
)</f>
        <v>1</v>
      </c>
      <c r="U99" s="9">
        <f>IF($B$4="סהכ",
INDEX(טבלה1[[SPPR_1986]:[SPPR_symbolic_full_import_as_DC]], MATCH('השוואת פקטורים'!$B99, 'PPRs all'!$A$2:$A$108, 0), MATCH('השוואת פקטורים'!U$6, טבלה1[[#Headers],[SPPR_1986]:[SPPR_symbolic_full_import_as_DC]], 0)) / INDEX(טבלה1[[SPPR_1986]:[SPPR_symbolic_full_import_as_DC]], MATCH('השוואת פקטורים'!$B99, 'PPRs all'!$A$2:$A$108, 0), MATCH('השוואת פקטורים'!T$6, טבלה1[[#Headers],[SPPR_1986]:[SPPR_symbolic_full_import_as_DC]], 0)),
INDEX(טבלה2[[SPPR_1986]:[SPPR_symbolic_full_import_as_DC]], MATCH('השוואת פקטורים'!$B99, 'PPRs inner'!$A$2:$A$108, 0), MATCH('השוואת פקטורים'!U$6, טבלה2[[#Headers],[SPPR_1986]:[SPPR_symbolic_full_import_as_DC]], 0)) / INDEX(טבלה2[[SPPR_1986]:[SPPR_symbolic_full_import_as_DC]], MATCH('השוואת פקטורים'!$B99, 'PPRs inner'!$A$2:$A$108, 0), MATCH('השוואת פקטורים'!T$6, טבלה2[[#Headers],[SPPR_1986]:[SPPR_symbolic_full_import_as_DC]], 0))
)</f>
        <v>1</v>
      </c>
      <c r="V99" s="9"/>
      <c r="W99" s="9"/>
      <c r="X99" s="14"/>
      <c r="Y99" s="14"/>
      <c r="Z99" s="15">
        <f t="shared" si="6"/>
        <v>0.22301882245238522</v>
      </c>
    </row>
    <row r="100" spans="2:26" x14ac:dyDescent="0.3">
      <c r="B100" s="6" t="s">
        <v>114</v>
      </c>
      <c r="C100" s="12" t="b">
        <v>1</v>
      </c>
      <c r="D100" s="12" t="b">
        <v>1</v>
      </c>
      <c r="E100" s="12" t="b">
        <v>1</v>
      </c>
      <c r="F100" s="12" t="b">
        <f t="shared" si="5"/>
        <v>1</v>
      </c>
      <c r="G100" s="7" t="b">
        <f>ABS(INDEX(טבלה5[[SPPR_1986]:[SPPR_symbolic_full_import_as_DC]],MATCH('השוואת פקטורים'!$B100,טבלה5[עמודה1],0),MATCH($C$4,טבלה5[[#Headers],[SPPR_1986]:[SPPR_symbolic_full_import_as_DC]],0))) &lt; 5</f>
        <v>1</v>
      </c>
      <c r="H100" s="7" t="b">
        <f>INDEX(טבלה3[[SPPR_1986]:[SPPR_symbolic_full_import_as_DC]],MATCH('השוואת פקטורים'!$B100,טבלה3[עמודה1],0),MATCH($C$4,טבלה3[[#Headers],[SPPR_1986]:[SPPR_symbolic_full_import_as_DC]],0))</f>
        <v>1</v>
      </c>
      <c r="I100" s="7" t="b">
        <f t="shared" si="4"/>
        <v>1</v>
      </c>
      <c r="J100" s="13"/>
      <c r="K100" s="9">
        <f>IF($B$4="סהכ",
INDEX(טבלה1[[SPPR_1986]:[SPPR_symbolic_full_import_as_DC]], MATCH('השוואת פקטורים'!$B100, 'PPRs all'!$A$2:$A$108, 0), MATCH('השוואת פקטורים'!K$6, טבלה1[[#Headers],[SPPR_1986]:[SPPR_symbolic_full_import_as_DC]], 0)) / INDEX(טבלה1[[SPPR_1986]:[SPPR_symbolic_full_import_as_DC]], MATCH('השוואת פקטורים'!$B100, 'PPRs all'!$A$2:$A$108, 0), MATCH('השוואת פקטורים'!J$6, טבלה1[[#Headers],[SPPR_1986]:[SPPR_symbolic_full_import_as_DC]], 0)),
INDEX(טבלה2[[SPPR_1986]:[SPPR_symbolic_full_import_as_DC]], MATCH('השוואת פקטורים'!$B100, 'PPRs inner'!$A$2:$A$108, 0), MATCH('השוואת פקטורים'!K$6, טבלה2[[#Headers],[SPPR_1986]:[SPPR_symbolic_full_import_as_DC]], 0)) / INDEX(טבלה2[[SPPR_1986]:[SPPR_symbolic_full_import_as_DC]], MATCH('השוואת פקטורים'!$B100, 'PPRs inner'!$A$2:$A$108, 0), MATCH('השוואת פקטורים'!J$6, טבלה2[[#Headers],[SPPR_1986]:[SPPR_symbolic_full_import_as_DC]], 0))
)</f>
        <v>0.65379993291075222</v>
      </c>
      <c r="L100" s="9">
        <f>IF($B$4="סהכ",
INDEX(טבלה1[[SPPR_1986]:[SPPR_symbolic_full_import_as_DC]], MATCH('השוואת פקטורים'!$B100, 'PPRs all'!$A$2:$A$108, 0), MATCH('השוואת פקטורים'!L$6, טבלה1[[#Headers],[SPPR_1986]:[SPPR_symbolic_full_import_as_DC]], 0)) / INDEX(טבלה1[[SPPR_1986]:[SPPR_symbolic_full_import_as_DC]], MATCH('השוואת פקטורים'!$B100, 'PPRs all'!$A$2:$A$108, 0), MATCH('השוואת פקטורים'!K$6, טבלה1[[#Headers],[SPPR_1986]:[SPPR_symbolic_full_import_as_DC]], 0)),
INDEX(טבלה2[[SPPR_1986]:[SPPR_symbolic_full_import_as_DC]], MATCH('השוואת פקטורים'!$B100, 'PPRs inner'!$A$2:$A$108, 0), MATCH('השוואת פקטורים'!L$6, טבלה2[[#Headers],[SPPR_1986]:[SPPR_symbolic_full_import_as_DC]], 0)) / INDEX(טבלה2[[SPPR_1986]:[SPPR_symbolic_full_import_as_DC]], MATCH('השוואת פקטורים'!$B100, 'PPRs inner'!$A$2:$A$108, 0), MATCH('השוואת פקטורים'!K$6, טבלה2[[#Headers],[SPPR_1986]:[SPPR_symbolic_full_import_as_DC]], 0))
)</f>
        <v>1.7509915170688992</v>
      </c>
      <c r="M100" s="9">
        <f>IF($B$4="סהכ",
INDEX(טבלה1[[SPPR_1986]:[SPPR_symbolic_full_import_as_DC]], MATCH('השוואת פקטורים'!$B100, 'PPRs all'!$A$2:$A$108, 0), MATCH('השוואת פקטורים'!M$6, טבלה1[[#Headers],[SPPR_1986]:[SPPR_symbolic_full_import_as_DC]], 0)) / INDEX(טבלה1[[SPPR_1986]:[SPPR_symbolic_full_import_as_DC]], MATCH('השוואת פקטורים'!$B100, 'PPRs all'!$A$2:$A$108, 0), MATCH('השוואת פקטורים'!L$6, טבלה1[[#Headers],[SPPR_1986]:[SPPR_symbolic_full_import_as_DC]], 0)),
INDEX(טבלה2[[SPPR_1986]:[SPPR_symbolic_full_import_as_DC]], MATCH('השוואת פקטורים'!$B100, 'PPRs inner'!$A$2:$A$108, 0), MATCH('השוואת פקטורים'!M$6, טבלה2[[#Headers],[SPPR_1986]:[SPPR_symbolic_full_import_as_DC]], 0)) / INDEX(טבלה2[[SPPR_1986]:[SPPR_symbolic_full_import_as_DC]], MATCH('השוואת פקטורים'!$B100, 'PPRs inner'!$A$2:$A$108, 0), MATCH('השוואת פקטורים'!L$6, טבלה2[[#Headers],[SPPR_1986]:[SPPR_symbolic_full_import_as_DC]], 0))
)</f>
        <v>6.2012333410397398</v>
      </c>
      <c r="N100" s="9">
        <f>IF($B$4="סהכ",
INDEX(טבלה1[[SPPR_1986]:[SPPR_symbolic_full_import_as_DC]], MATCH('השוואת פקטורים'!$B100, 'PPRs all'!$A$2:$A$108, 0), MATCH('השוואת פקטורים'!N$6, טבלה1[[#Headers],[SPPR_1986]:[SPPR_symbolic_full_import_as_DC]], 0)) / INDEX(טבלה1[[SPPR_1986]:[SPPR_symbolic_full_import_as_DC]], MATCH('השוואת פקטורים'!$B100, 'PPRs all'!$A$2:$A$108, 0), MATCH('השוואת פקטורים'!M$6, טבלה1[[#Headers],[SPPR_1986]:[SPPR_symbolic_full_import_as_DC]], 0)),
INDEX(טבלה2[[SPPR_1986]:[SPPR_symbolic_full_import_as_DC]], MATCH('השוואת פקטורים'!$B100, 'PPRs inner'!$A$2:$A$108, 0), MATCH('השוואת פקטורים'!N$6, טבלה2[[#Headers],[SPPR_1986]:[SPPR_symbolic_full_import_as_DC]], 0)) / INDEX(טבלה2[[SPPR_1986]:[SPPR_symbolic_full_import_as_DC]], MATCH('השוואת פקטורים'!$B100, 'PPRs inner'!$A$2:$A$108, 0), MATCH('השוואת פקטורים'!M$6, טבלה2[[#Headers],[SPPR_1986]:[SPPR_symbolic_full_import_as_DC]], 0))
)</f>
        <v>1.1743207410074477</v>
      </c>
      <c r="O100" s="9">
        <f>IF($B$4="סהכ",
INDEX(טבלה1[[SPPR_1986]:[SPPR_symbolic_full_import_as_DC]], MATCH('השוואת פקטורים'!$B100, 'PPRs all'!$A$2:$A$108, 0), MATCH('השוואת פקטורים'!O$6, טבלה1[[#Headers],[SPPR_1986]:[SPPR_symbolic_full_import_as_DC]], 0)) / INDEX(טבלה1[[SPPR_1986]:[SPPR_symbolic_full_import_as_DC]], MATCH('השוואת פקטורים'!$B100, 'PPRs all'!$A$2:$A$108, 0), MATCH('השוואת פקטורים'!N$6, טבלה1[[#Headers],[SPPR_1986]:[SPPR_symbolic_full_import_as_DC]], 0)),
INDEX(טבלה2[[SPPR_1986]:[SPPR_symbolic_full_import_as_DC]], MATCH('השוואת פקטורים'!$B100, 'PPRs inner'!$A$2:$A$108, 0), MATCH('השוואת פקטורים'!O$6, טבלה2[[#Headers],[SPPR_1986]:[SPPR_symbolic_full_import_as_DC]], 0)) / INDEX(טבלה2[[SPPR_1986]:[SPPR_symbolic_full_import_as_DC]], MATCH('השוואת פקטורים'!$B100, 'PPRs inner'!$A$2:$A$108, 0), MATCH('השוואת פקטורים'!N$6, טבלה2[[#Headers],[SPPR_1986]:[SPPR_symbolic_full_import_as_DC]], 0))
)</f>
        <v>1.0000000000000033</v>
      </c>
      <c r="P100" s="9">
        <f>IF($B$4="סהכ",
INDEX(טבלה1[[SPPR_1986]:[SPPR_symbolic_full_import_as_DC]], MATCH('השוואת פקטורים'!$B100, 'PPRs all'!$A$2:$A$108, 0), MATCH('השוואת פקטורים'!P$6, טבלה1[[#Headers],[SPPR_1986]:[SPPR_symbolic_full_import_as_DC]], 0)) / INDEX(טבלה1[[SPPR_1986]:[SPPR_symbolic_full_import_as_DC]], MATCH('השוואת פקטורים'!$B100, 'PPRs all'!$A$2:$A$108, 0), MATCH('השוואת פקטורים'!O$6, טבלה1[[#Headers],[SPPR_1986]:[SPPR_symbolic_full_import_as_DC]], 0)),
INDEX(טבלה2[[SPPR_1986]:[SPPR_symbolic_full_import_as_DC]], MATCH('השוואת פקטורים'!$B100, 'PPRs inner'!$A$2:$A$108, 0), MATCH('השוואת פקטורים'!P$6, טבלה2[[#Headers],[SPPR_1986]:[SPPR_symbolic_full_import_as_DC]], 0)) / INDEX(טבלה2[[SPPR_1986]:[SPPR_symbolic_full_import_as_DC]], MATCH('השוואת פקטורים'!$B100, 'PPRs inner'!$A$2:$A$108, 0), MATCH('השוואת פקטורים'!O$6, טבלה2[[#Headers],[SPPR_1986]:[SPPR_symbolic_full_import_as_DC]], 0))
)</f>
        <v>0.37597024394561418</v>
      </c>
      <c r="Q100" s="9">
        <f>IF($B$4="סהכ",
INDEX(טבלה1[[SPPR_1986]:[SPPR_symbolic_full_import_as_DC]], MATCH('השוואת פקטורים'!$B100, 'PPRs all'!$A$2:$A$108, 0), MATCH('השוואת פקטורים'!Q$6, טבלה1[[#Headers],[SPPR_1986]:[SPPR_symbolic_full_import_as_DC]], 0)) / INDEX(טבלה1[[SPPR_1986]:[SPPR_symbolic_full_import_as_DC]], MATCH('השוואת פקטורים'!$B100, 'PPRs all'!$A$2:$A$108, 0), MATCH('השוואת פקטורים'!P$6, טבלה1[[#Headers],[SPPR_1986]:[SPPR_symbolic_full_import_as_DC]], 0)),
INDEX(טבלה2[[SPPR_1986]:[SPPR_symbolic_full_import_as_DC]], MATCH('השוואת פקטורים'!$B100, 'PPRs inner'!$A$2:$A$108, 0), MATCH('השוואת פקטורים'!Q$6, טבלה2[[#Headers],[SPPR_1986]:[SPPR_symbolic_full_import_as_DC]], 0)) / INDEX(טבלה2[[SPPR_1986]:[SPPR_symbolic_full_import_as_DC]], MATCH('השוואת פקטורים'!$B100, 'PPRs inner'!$A$2:$A$108, 0), MATCH('השוואת פקטורים'!P$6, טבלה2[[#Headers],[SPPR_1986]:[SPPR_symbolic_full_import_as_DC]], 0))
)</f>
        <v>0.99999999999999278</v>
      </c>
      <c r="R100" s="9">
        <f>IF($B$4="סהכ",
INDEX(טבלה1[[SPPR_1986]:[SPPR_symbolic_full_import_as_DC]], MATCH('השוואת פקטורים'!$B100, 'PPRs all'!$A$2:$A$108, 0), MATCH('השוואת פקטורים'!R$6, טבלה1[[#Headers],[SPPR_1986]:[SPPR_symbolic_full_import_as_DC]], 0)) / INDEX(טבלה1[[SPPR_1986]:[SPPR_symbolic_full_import_as_DC]], MATCH('השוואת פקטורים'!$B100, 'PPRs all'!$A$2:$A$108, 0), MATCH('השוואת פקטורים'!Q$6, טבלה1[[#Headers],[SPPR_1986]:[SPPR_symbolic_full_import_as_DC]], 0)),
INDEX(טבלה2[[SPPR_1986]:[SPPR_symbolic_full_import_as_DC]], MATCH('השוואת פקטורים'!$B100, 'PPRs inner'!$A$2:$A$108, 0), MATCH('השוואת פקטורים'!R$6, טבלה2[[#Headers],[SPPR_1986]:[SPPR_symbolic_full_import_as_DC]], 0)) / INDEX(טבלה2[[SPPR_1986]:[SPPR_symbolic_full_import_as_DC]], MATCH('השוואת פקטורים'!$B100, 'PPRs inner'!$A$2:$A$108, 0), MATCH('השוואת פקטורים'!Q$6, טבלה2[[#Headers],[SPPR_1986]:[SPPR_symbolic_full_import_as_DC]], 0))
)</f>
        <v>1</v>
      </c>
      <c r="S100" s="9">
        <f>IF($B$4="סהכ",
INDEX(טבלה1[[SPPR_1986]:[SPPR_symbolic_full_import_as_DC]], MATCH('השוואת פקטורים'!$B100, 'PPRs all'!$A$2:$A$108, 0), MATCH('השוואת פקטורים'!S$6, טבלה1[[#Headers],[SPPR_1986]:[SPPR_symbolic_full_import_as_DC]], 0)) / INDEX(טבלה1[[SPPR_1986]:[SPPR_symbolic_full_import_as_DC]], MATCH('השוואת פקטורים'!$B100, 'PPRs all'!$A$2:$A$108, 0), MATCH('השוואת פקטורים'!R$6, טבלה1[[#Headers],[SPPR_1986]:[SPPR_symbolic_full_import_as_DC]], 0)),
INDEX(טבלה2[[SPPR_1986]:[SPPR_symbolic_full_import_as_DC]], MATCH('השוואת פקטורים'!$B100, 'PPRs inner'!$A$2:$A$108, 0), MATCH('השוואת פקטורים'!S$6, טבלה2[[#Headers],[SPPR_1986]:[SPPR_symbolic_full_import_as_DC]], 0)) / INDEX(טבלה2[[SPPR_1986]:[SPPR_symbolic_full_import_as_DC]], MATCH('השוואת פקטורים'!$B100, 'PPRs inner'!$A$2:$A$108, 0), MATCH('השוואת פקטורים'!R$6, טבלה2[[#Headers],[SPPR_1986]:[SPPR_symbolic_full_import_as_DC]], 0))
)</f>
        <v>1</v>
      </c>
      <c r="T100" s="9">
        <f>IF($B$4="סהכ",
INDEX(טבלה1[[SPPR_1986]:[SPPR_symbolic_full_import_as_DC]], MATCH('השוואת פקטורים'!$B100, 'PPRs all'!$A$2:$A$108, 0), MATCH('השוואת פקטורים'!T$6, טבלה1[[#Headers],[SPPR_1986]:[SPPR_symbolic_full_import_as_DC]], 0)) / INDEX(טבלה1[[SPPR_1986]:[SPPR_symbolic_full_import_as_DC]], MATCH('השוואת פקטורים'!$B100, 'PPRs all'!$A$2:$A$108, 0), MATCH('השוואת פקטורים'!S$6, טבלה1[[#Headers],[SPPR_1986]:[SPPR_symbolic_full_import_as_DC]], 0)),
INDEX(טבלה2[[SPPR_1986]:[SPPR_symbolic_full_import_as_DC]], MATCH('השוואת פקטורים'!$B100, 'PPRs inner'!$A$2:$A$108, 0), MATCH('השוואת פקטורים'!T$6, טבלה2[[#Headers],[SPPR_1986]:[SPPR_symbolic_full_import_as_DC]], 0)) / INDEX(טבלה2[[SPPR_1986]:[SPPR_symbolic_full_import_as_DC]], MATCH('השוואת פקטורים'!$B100, 'PPRs inner'!$A$2:$A$108, 0), MATCH('השוואת פקטורים'!S$6, טבלה2[[#Headers],[SPPR_1986]:[SPPR_symbolic_full_import_as_DC]], 0))
)</f>
        <v>1</v>
      </c>
      <c r="U100" s="9">
        <f>IF($B$4="סהכ",
INDEX(טבלה1[[SPPR_1986]:[SPPR_symbolic_full_import_as_DC]], MATCH('השוואת פקטורים'!$B100, 'PPRs all'!$A$2:$A$108, 0), MATCH('השוואת פקטורים'!U$6, טבלה1[[#Headers],[SPPR_1986]:[SPPR_symbolic_full_import_as_DC]], 0)) / INDEX(טבלה1[[SPPR_1986]:[SPPR_symbolic_full_import_as_DC]], MATCH('השוואת פקטורים'!$B100, 'PPRs all'!$A$2:$A$108, 0), MATCH('השוואת פקטורים'!T$6, טבלה1[[#Headers],[SPPR_1986]:[SPPR_symbolic_full_import_as_DC]], 0)),
INDEX(טבלה2[[SPPR_1986]:[SPPR_symbolic_full_import_as_DC]], MATCH('השוואת פקטורים'!$B100, 'PPRs inner'!$A$2:$A$108, 0), MATCH('השוואת פקטורים'!U$6, טבלה2[[#Headers],[SPPR_1986]:[SPPR_symbolic_full_import_as_DC]], 0)) / INDEX(טבלה2[[SPPR_1986]:[SPPR_symbolic_full_import_as_DC]], MATCH('השוואת פקטורים'!$B100, 'PPRs inner'!$A$2:$A$108, 0), MATCH('השוואת פקטורים'!T$6, טבלה2[[#Headers],[SPPR_1986]:[SPPR_symbolic_full_import_as_DC]], 0))
)</f>
        <v>1.0000000000000073</v>
      </c>
      <c r="V100" s="9"/>
      <c r="W100" s="9"/>
      <c r="X100" s="14"/>
      <c r="Y100" s="14"/>
      <c r="Z100" s="15">
        <f t="shared" si="6"/>
        <v>3.1343478500007063</v>
      </c>
    </row>
    <row r="101" spans="2:26" x14ac:dyDescent="0.3">
      <c r="B101" s="6" t="s">
        <v>115</v>
      </c>
      <c r="C101" s="12" t="b">
        <v>1</v>
      </c>
      <c r="D101" s="12" t="b">
        <v>1</v>
      </c>
      <c r="E101" s="12" t="b">
        <v>1</v>
      </c>
      <c r="F101" s="12" t="b">
        <f t="shared" si="5"/>
        <v>1</v>
      </c>
      <c r="G101" s="7" t="b">
        <f>ABS(INDEX(טבלה5[[SPPR_1986]:[SPPR_symbolic_full_import_as_DC]],MATCH('השוואת פקטורים'!$B101,טבלה5[עמודה1],0),MATCH($C$4,טבלה5[[#Headers],[SPPR_1986]:[SPPR_symbolic_full_import_as_DC]],0))) &lt; 5</f>
        <v>1</v>
      </c>
      <c r="H101" s="7" t="b">
        <f>INDEX(טבלה3[[SPPR_1986]:[SPPR_symbolic_full_import_as_DC]],MATCH('השוואת פקטורים'!$B101,טבלה3[עמודה1],0),MATCH($C$4,טבלה3[[#Headers],[SPPR_1986]:[SPPR_symbolic_full_import_as_DC]],0))</f>
        <v>1</v>
      </c>
      <c r="I101" s="7" t="b">
        <f t="shared" si="4"/>
        <v>1</v>
      </c>
      <c r="J101" s="13"/>
      <c r="K101" s="9">
        <f>IF($B$4="סהכ",
INDEX(טבלה1[[SPPR_1986]:[SPPR_symbolic_full_import_as_DC]], MATCH('השוואת פקטורים'!$B101, 'PPRs all'!$A$2:$A$108, 0), MATCH('השוואת פקטורים'!K$6, טבלה1[[#Headers],[SPPR_1986]:[SPPR_symbolic_full_import_as_DC]], 0)) / INDEX(טבלה1[[SPPR_1986]:[SPPR_symbolic_full_import_as_DC]], MATCH('השוואת פקטורים'!$B101, 'PPRs all'!$A$2:$A$108, 0), MATCH('השוואת פקטורים'!J$6, טבלה1[[#Headers],[SPPR_1986]:[SPPR_symbolic_full_import_as_DC]], 0)),
INDEX(טבלה2[[SPPR_1986]:[SPPR_symbolic_full_import_as_DC]], MATCH('השוואת פקטורים'!$B101, 'PPRs inner'!$A$2:$A$108, 0), MATCH('השוואת פקטורים'!K$6, טבלה2[[#Headers],[SPPR_1986]:[SPPR_symbolic_full_import_as_DC]], 0)) / INDEX(טבלה2[[SPPR_1986]:[SPPR_symbolic_full_import_as_DC]], MATCH('השוואת פקטורים'!$B101, 'PPRs inner'!$A$2:$A$108, 0), MATCH('השוואת פקטורים'!J$6, טבלה2[[#Headers],[SPPR_1986]:[SPPR_symbolic_full_import_as_DC]], 0))
)</f>
        <v>9.4312442948436118E-2</v>
      </c>
      <c r="L101" s="9">
        <f>IF($B$4="סהכ",
INDEX(טבלה1[[SPPR_1986]:[SPPR_symbolic_full_import_as_DC]], MATCH('השוואת פקטורים'!$B101, 'PPRs all'!$A$2:$A$108, 0), MATCH('השוואת פקטורים'!L$6, טבלה1[[#Headers],[SPPR_1986]:[SPPR_symbolic_full_import_as_DC]], 0)) / INDEX(טבלה1[[SPPR_1986]:[SPPR_symbolic_full_import_as_DC]], MATCH('השוואת פקטורים'!$B101, 'PPRs all'!$A$2:$A$108, 0), MATCH('השוואת פקטורים'!K$6, טבלה1[[#Headers],[SPPR_1986]:[SPPR_symbolic_full_import_as_DC]], 0)),
INDEX(טבלה2[[SPPR_1986]:[SPPR_symbolic_full_import_as_DC]], MATCH('השוואת פקטורים'!$B101, 'PPRs inner'!$A$2:$A$108, 0), MATCH('השוואת פקטורים'!L$6, טבלה2[[#Headers],[SPPR_1986]:[SPPR_symbolic_full_import_as_DC]], 0)) / INDEX(טבלה2[[SPPR_1986]:[SPPR_symbolic_full_import_as_DC]], MATCH('השוואת פקטורים'!$B101, 'PPRs inner'!$A$2:$A$108, 0), MATCH('השוואת פקטורים'!K$6, טבלה2[[#Headers],[SPPR_1986]:[SPPR_symbolic_full_import_as_DC]], 0))
)</f>
        <v>1.7869303728607926</v>
      </c>
      <c r="M101" s="9">
        <f>IF($B$4="סהכ",
INDEX(טבלה1[[SPPR_1986]:[SPPR_symbolic_full_import_as_DC]], MATCH('השוואת פקטורים'!$B101, 'PPRs all'!$A$2:$A$108, 0), MATCH('השוואת פקטורים'!M$6, טבלה1[[#Headers],[SPPR_1986]:[SPPR_symbolic_full_import_as_DC]], 0)) / INDEX(טבלה1[[SPPR_1986]:[SPPR_symbolic_full_import_as_DC]], MATCH('השוואת פקטורים'!$B101, 'PPRs all'!$A$2:$A$108, 0), MATCH('השוואת פקטורים'!L$6, טבלה1[[#Headers],[SPPR_1986]:[SPPR_symbolic_full_import_as_DC]], 0)),
INDEX(טבלה2[[SPPR_1986]:[SPPR_symbolic_full_import_as_DC]], MATCH('השוואת פקטורים'!$B101, 'PPRs inner'!$A$2:$A$108, 0), MATCH('השוואת פקטורים'!M$6, טבלה2[[#Headers],[SPPR_1986]:[SPPR_symbolic_full_import_as_DC]], 0)) / INDEX(טבלה2[[SPPR_1986]:[SPPR_symbolic_full_import_as_DC]], MATCH('השוואת פקטורים'!$B101, 'PPRs inner'!$A$2:$A$108, 0), MATCH('השוואת פקטורים'!L$6, טבלה2[[#Headers],[SPPR_1986]:[SPPR_symbolic_full_import_as_DC]], 0))
)</f>
        <v>19.643748916191708</v>
      </c>
      <c r="N101" s="9">
        <f>IF($B$4="סהכ",
INDEX(טבלה1[[SPPR_1986]:[SPPR_symbolic_full_import_as_DC]], MATCH('השוואת פקטורים'!$B101, 'PPRs all'!$A$2:$A$108, 0), MATCH('השוואת פקטורים'!N$6, טבלה1[[#Headers],[SPPR_1986]:[SPPR_symbolic_full_import_as_DC]], 0)) / INDEX(טבלה1[[SPPR_1986]:[SPPR_symbolic_full_import_as_DC]], MATCH('השוואת פקטורים'!$B101, 'PPRs all'!$A$2:$A$108, 0), MATCH('השוואת פקטורים'!M$6, טבלה1[[#Headers],[SPPR_1986]:[SPPR_symbolic_full_import_as_DC]], 0)),
INDEX(טבלה2[[SPPR_1986]:[SPPR_symbolic_full_import_as_DC]], MATCH('השוואת פקטורים'!$B101, 'PPRs inner'!$A$2:$A$108, 0), MATCH('השוואת פקטורים'!N$6, טבלה2[[#Headers],[SPPR_1986]:[SPPR_symbolic_full_import_as_DC]], 0)) / INDEX(טבלה2[[SPPR_1986]:[SPPR_symbolic_full_import_as_DC]], MATCH('השוואת פקטורים'!$B101, 'PPRs inner'!$A$2:$A$108, 0), MATCH('השוואת פקטורים'!M$6, טבלה2[[#Headers],[SPPR_1986]:[SPPR_symbolic_full_import_as_DC]], 0))
)</f>
        <v>1.4720376039850811</v>
      </c>
      <c r="O101" s="9">
        <f>IF($B$4="סהכ",
INDEX(טבלה1[[SPPR_1986]:[SPPR_symbolic_full_import_as_DC]], MATCH('השוואת פקטורים'!$B101, 'PPRs all'!$A$2:$A$108, 0), MATCH('השוואת פקטורים'!O$6, טבלה1[[#Headers],[SPPR_1986]:[SPPR_symbolic_full_import_as_DC]], 0)) / INDEX(טבלה1[[SPPR_1986]:[SPPR_symbolic_full_import_as_DC]], MATCH('השוואת פקטורים'!$B101, 'PPRs all'!$A$2:$A$108, 0), MATCH('השוואת פקטורים'!N$6, טבלה1[[#Headers],[SPPR_1986]:[SPPR_symbolic_full_import_as_DC]], 0)),
INDEX(טבלה2[[SPPR_1986]:[SPPR_symbolic_full_import_as_DC]], MATCH('השוואת פקטורים'!$B101, 'PPRs inner'!$A$2:$A$108, 0), MATCH('השוואת פקטורים'!O$6, טבלה2[[#Headers],[SPPR_1986]:[SPPR_symbolic_full_import_as_DC]], 0)) / INDEX(טבלה2[[SPPR_1986]:[SPPR_symbolic_full_import_as_DC]], MATCH('השוואת פקטורים'!$B101, 'PPRs inner'!$A$2:$A$108, 0), MATCH('השוואת פקטורים'!N$6, טבלה2[[#Headers],[SPPR_1986]:[SPPR_symbolic_full_import_as_DC]], 0))
)</f>
        <v>0.99999999999997902</v>
      </c>
      <c r="P101" s="9">
        <f>IF($B$4="סהכ",
INDEX(טבלה1[[SPPR_1986]:[SPPR_symbolic_full_import_as_DC]], MATCH('השוואת פקטורים'!$B101, 'PPRs all'!$A$2:$A$108, 0), MATCH('השוואת פקטורים'!P$6, טבלה1[[#Headers],[SPPR_1986]:[SPPR_symbolic_full_import_as_DC]], 0)) / INDEX(טבלה1[[SPPR_1986]:[SPPR_symbolic_full_import_as_DC]], MATCH('השוואת פקטורים'!$B101, 'PPRs all'!$A$2:$A$108, 0), MATCH('השוואת פקטורים'!O$6, טבלה1[[#Headers],[SPPR_1986]:[SPPR_symbolic_full_import_as_DC]], 0)),
INDEX(טבלה2[[SPPR_1986]:[SPPR_symbolic_full_import_as_DC]], MATCH('השוואת פקטורים'!$B101, 'PPRs inner'!$A$2:$A$108, 0), MATCH('השוואת פקטורים'!P$6, טבלה2[[#Headers],[SPPR_1986]:[SPPR_symbolic_full_import_as_DC]], 0)) / INDEX(טבלה2[[SPPR_1986]:[SPPR_symbolic_full_import_as_DC]], MATCH('השוואת פקטורים'!$B101, 'PPRs inner'!$A$2:$A$108, 0), MATCH('השוואת פקטורים'!O$6, טבלה2[[#Headers],[SPPR_1986]:[SPPR_symbolic_full_import_as_DC]], 0))
)</f>
        <v>0.14660189196601184</v>
      </c>
      <c r="Q101" s="9">
        <f>IF($B$4="סהכ",
INDEX(טבלה1[[SPPR_1986]:[SPPR_symbolic_full_import_as_DC]], MATCH('השוואת פקטורים'!$B101, 'PPRs all'!$A$2:$A$108, 0), MATCH('השוואת פקטורים'!Q$6, טבלה1[[#Headers],[SPPR_1986]:[SPPR_symbolic_full_import_as_DC]], 0)) / INDEX(טבלה1[[SPPR_1986]:[SPPR_symbolic_full_import_as_DC]], MATCH('השוואת פקטורים'!$B101, 'PPRs all'!$A$2:$A$108, 0), MATCH('השוואת פקטורים'!P$6, טבלה1[[#Headers],[SPPR_1986]:[SPPR_symbolic_full_import_as_DC]], 0)),
INDEX(טבלה2[[SPPR_1986]:[SPPR_symbolic_full_import_as_DC]], MATCH('השוואת פקטורים'!$B101, 'PPRs inner'!$A$2:$A$108, 0), MATCH('השוואת פקטורים'!Q$6, טבלה2[[#Headers],[SPPR_1986]:[SPPR_symbolic_full_import_as_DC]], 0)) / INDEX(טבלה2[[SPPR_1986]:[SPPR_symbolic_full_import_as_DC]], MATCH('השוואת פקטורים'!$B101, 'PPRs inner'!$A$2:$A$108, 0), MATCH('השוואת פקטורים'!P$6, טבלה2[[#Headers],[SPPR_1986]:[SPPR_symbolic_full_import_as_DC]], 0))
)</f>
        <v>1.0000000000000022</v>
      </c>
      <c r="R101" s="9">
        <f>IF($B$4="סהכ",
INDEX(טבלה1[[SPPR_1986]:[SPPR_symbolic_full_import_as_DC]], MATCH('השוואת פקטורים'!$B101, 'PPRs all'!$A$2:$A$108, 0), MATCH('השוואת פקטורים'!R$6, טבלה1[[#Headers],[SPPR_1986]:[SPPR_symbolic_full_import_as_DC]], 0)) / INDEX(טבלה1[[SPPR_1986]:[SPPR_symbolic_full_import_as_DC]], MATCH('השוואת פקטורים'!$B101, 'PPRs all'!$A$2:$A$108, 0), MATCH('השוואת פקטורים'!Q$6, טבלה1[[#Headers],[SPPR_1986]:[SPPR_symbolic_full_import_as_DC]], 0)),
INDEX(טבלה2[[SPPR_1986]:[SPPR_symbolic_full_import_as_DC]], MATCH('השוואת פקטורים'!$B101, 'PPRs inner'!$A$2:$A$108, 0), MATCH('השוואת פקטורים'!R$6, טבלה2[[#Headers],[SPPR_1986]:[SPPR_symbolic_full_import_as_DC]], 0)) / INDEX(טבלה2[[SPPR_1986]:[SPPR_symbolic_full_import_as_DC]], MATCH('השוואת פקטורים'!$B101, 'PPRs inner'!$A$2:$A$108, 0), MATCH('השוואת פקטורים'!Q$6, טבלה2[[#Headers],[SPPR_1986]:[SPPR_symbolic_full_import_as_DC]], 0))
)</f>
        <v>1.0000690607544189</v>
      </c>
      <c r="S101" s="9">
        <f>IF($B$4="סהכ",
INDEX(טבלה1[[SPPR_1986]:[SPPR_symbolic_full_import_as_DC]], MATCH('השוואת פקטורים'!$B101, 'PPRs all'!$A$2:$A$108, 0), MATCH('השוואת פקטורים'!S$6, טבלה1[[#Headers],[SPPR_1986]:[SPPR_symbolic_full_import_as_DC]], 0)) / INDEX(טבלה1[[SPPR_1986]:[SPPR_symbolic_full_import_as_DC]], MATCH('השוואת פקטורים'!$B101, 'PPRs all'!$A$2:$A$108, 0), MATCH('השוואת פקטורים'!R$6, טבלה1[[#Headers],[SPPR_1986]:[SPPR_symbolic_full_import_as_DC]], 0)),
INDEX(טבלה2[[SPPR_1986]:[SPPR_symbolic_full_import_as_DC]], MATCH('השוואת פקטורים'!$B101, 'PPRs inner'!$A$2:$A$108, 0), MATCH('השוואת פקטורים'!S$6, טבלה2[[#Headers],[SPPR_1986]:[SPPR_symbolic_full_import_as_DC]], 0)) / INDEX(טבלה2[[SPPR_1986]:[SPPR_symbolic_full_import_as_DC]], MATCH('השוואת פקטורים'!$B101, 'PPRs inner'!$A$2:$A$108, 0), MATCH('השוואת פקטורים'!R$6, טבלה2[[#Headers],[SPPR_1986]:[SPPR_symbolic_full_import_as_DC]], 0))
)</f>
        <v>0.99993094401463944</v>
      </c>
      <c r="T101" s="9">
        <f>IF($B$4="סהכ",
INDEX(טבלה1[[SPPR_1986]:[SPPR_symbolic_full_import_as_DC]], MATCH('השוואת פקטורים'!$B101, 'PPRs all'!$A$2:$A$108, 0), MATCH('השוואת פקטורים'!T$6, טבלה1[[#Headers],[SPPR_1986]:[SPPR_symbolic_full_import_as_DC]], 0)) / INDEX(טבלה1[[SPPR_1986]:[SPPR_symbolic_full_import_as_DC]], MATCH('השוואת פקטורים'!$B101, 'PPRs all'!$A$2:$A$108, 0), MATCH('השוואת פקטורים'!S$6, טבלה1[[#Headers],[SPPR_1986]:[SPPR_symbolic_full_import_as_DC]], 0)),
INDEX(טבלה2[[SPPR_1986]:[SPPR_symbolic_full_import_as_DC]], MATCH('השוואת פקטורים'!$B101, 'PPRs inner'!$A$2:$A$108, 0), MATCH('השוואת פקטורים'!T$6, טבלה2[[#Headers],[SPPR_1986]:[SPPR_symbolic_full_import_as_DC]], 0)) / INDEX(טבלה2[[SPPR_1986]:[SPPR_symbolic_full_import_as_DC]], MATCH('השוואת פקטורים'!$B101, 'PPRs inner'!$A$2:$A$108, 0), MATCH('השוואת פקטורים'!S$6, טבלה2[[#Headers],[SPPR_1986]:[SPPR_symbolic_full_import_as_DC]], 0))
)</f>
        <v>1.0000690607544189</v>
      </c>
      <c r="U101" s="9">
        <f>IF($B$4="סהכ",
INDEX(טבלה1[[SPPR_1986]:[SPPR_symbolic_full_import_as_DC]], MATCH('השוואת פקטורים'!$B101, 'PPRs all'!$A$2:$A$108, 0), MATCH('השוואת פקטורים'!U$6, טבלה1[[#Headers],[SPPR_1986]:[SPPR_symbolic_full_import_as_DC]], 0)) / INDEX(טבלה1[[SPPR_1986]:[SPPR_symbolic_full_import_as_DC]], MATCH('השוואת פקטורים'!$B101, 'PPRs all'!$A$2:$A$108, 0), MATCH('השוואת פקטורים'!T$6, טבלה1[[#Headers],[SPPR_1986]:[SPPR_symbolic_full_import_as_DC]], 0)),
INDEX(טבלה2[[SPPR_1986]:[SPPR_symbolic_full_import_as_DC]], MATCH('השוואת פקטורים'!$B101, 'PPRs inner'!$A$2:$A$108, 0), MATCH('השוואת פקטורים'!U$6, טבלה2[[#Headers],[SPPR_1986]:[SPPR_symbolic_full_import_as_DC]], 0)) / INDEX(טבלה2[[SPPR_1986]:[SPPR_symbolic_full_import_as_DC]], MATCH('השוואת פקטורים'!$B101, 'PPRs inner'!$A$2:$A$108, 0), MATCH('השוואת פקטורים'!T$6, טבלה2[[#Headers],[SPPR_1986]:[SPPR_symbolic_full_import_as_DC]], 0))
)</f>
        <v>0.99993094401463734</v>
      </c>
      <c r="V101" s="9"/>
      <c r="W101" s="9"/>
      <c r="X101" s="14"/>
      <c r="Y101" s="14"/>
      <c r="Z101" s="15">
        <f t="shared" si="6"/>
        <v>0.71442966457338564</v>
      </c>
    </row>
    <row r="102" spans="2:26" x14ac:dyDescent="0.3">
      <c r="B102" s="6" t="s">
        <v>116</v>
      </c>
      <c r="C102" s="12" t="b">
        <v>1</v>
      </c>
      <c r="D102" s="12" t="b">
        <v>1</v>
      </c>
      <c r="E102" s="12" t="b">
        <v>1</v>
      </c>
      <c r="F102" s="12" t="b">
        <f t="shared" si="5"/>
        <v>1</v>
      </c>
      <c r="G102" s="7" t="b">
        <f>ABS(INDEX(טבלה5[[SPPR_1986]:[SPPR_symbolic_full_import_as_DC]],MATCH('השוואת פקטורים'!$B102,טבלה5[עמודה1],0),MATCH($C$4,טבלה5[[#Headers],[SPPR_1986]:[SPPR_symbolic_full_import_as_DC]],0))) &lt; 5</f>
        <v>1</v>
      </c>
      <c r="H102" s="7" t="b">
        <f>INDEX(טבלה3[[SPPR_1986]:[SPPR_symbolic_full_import_as_DC]],MATCH('השוואת פקטורים'!$B102,טבלה3[עמודה1],0),MATCH($C$4,טבלה3[[#Headers],[SPPR_1986]:[SPPR_symbolic_full_import_as_DC]],0))</f>
        <v>0</v>
      </c>
      <c r="I102" s="7" t="b">
        <f t="shared" si="4"/>
        <v>0</v>
      </c>
      <c r="J102" s="13"/>
      <c r="K102" s="9">
        <f>IF($B$4="סהכ",
INDEX(טבלה1[[SPPR_1986]:[SPPR_symbolic_full_import_as_DC]], MATCH('השוואת פקטורים'!$B102, 'PPRs all'!$A$2:$A$108, 0), MATCH('השוואת פקטורים'!K$6, טבלה1[[#Headers],[SPPR_1986]:[SPPR_symbolic_full_import_as_DC]], 0)) / INDEX(טבלה1[[SPPR_1986]:[SPPR_symbolic_full_import_as_DC]], MATCH('השוואת פקטורים'!$B102, 'PPRs all'!$A$2:$A$108, 0), MATCH('השוואת פקטורים'!J$6, טבלה1[[#Headers],[SPPR_1986]:[SPPR_symbolic_full_import_as_DC]], 0)),
INDEX(טבלה2[[SPPR_1986]:[SPPR_symbolic_full_import_as_DC]], MATCH('השוואת פקטורים'!$B102, 'PPRs inner'!$A$2:$A$108, 0), MATCH('השוואת פקטורים'!K$6, טבלה2[[#Headers],[SPPR_1986]:[SPPR_symbolic_full_import_as_DC]], 0)) / INDEX(טבלה2[[SPPR_1986]:[SPPR_symbolic_full_import_as_DC]], MATCH('השוואת פקטורים'!$B102, 'PPRs inner'!$A$2:$A$108, 0), MATCH('השוואת פקטורים'!J$6, טבלה2[[#Headers],[SPPR_1986]:[SPPR_symbolic_full_import_as_DC]], 0))
)</f>
        <v>0.51082839597858198</v>
      </c>
      <c r="L102" s="9">
        <f>IF($B$4="סהכ",
INDEX(טבלה1[[SPPR_1986]:[SPPR_symbolic_full_import_as_DC]], MATCH('השוואת פקטורים'!$B102, 'PPRs all'!$A$2:$A$108, 0), MATCH('השוואת פקטורים'!L$6, טבלה1[[#Headers],[SPPR_1986]:[SPPR_symbolic_full_import_as_DC]], 0)) / INDEX(טבלה1[[SPPR_1986]:[SPPR_symbolic_full_import_as_DC]], MATCH('השוואת פקטורים'!$B102, 'PPRs all'!$A$2:$A$108, 0), MATCH('השוואת פקטורים'!K$6, טבלה1[[#Headers],[SPPR_1986]:[SPPR_symbolic_full_import_as_DC]], 0)),
INDEX(טבלה2[[SPPR_1986]:[SPPR_symbolic_full_import_as_DC]], MATCH('השוואת פקטורים'!$B102, 'PPRs inner'!$A$2:$A$108, 0), MATCH('השוואת פקטורים'!L$6, טבלה2[[#Headers],[SPPR_1986]:[SPPR_symbolic_full_import_as_DC]], 0)) / INDEX(טבלה2[[SPPR_1986]:[SPPR_symbolic_full_import_as_DC]], MATCH('השוואת פקטורים'!$B102, 'PPRs inner'!$A$2:$A$108, 0), MATCH('השוואת פקטורים'!K$6, טבלה2[[#Headers],[SPPR_1986]:[SPPR_symbolic_full_import_as_DC]], 0))
)</f>
        <v>3.0933996477569039</v>
      </c>
      <c r="M102" s="9">
        <f>IF($B$4="סהכ",
INDEX(טבלה1[[SPPR_1986]:[SPPR_symbolic_full_import_as_DC]], MATCH('השוואת פקטורים'!$B102, 'PPRs all'!$A$2:$A$108, 0), MATCH('השוואת פקטורים'!M$6, טבלה1[[#Headers],[SPPR_1986]:[SPPR_symbolic_full_import_as_DC]], 0)) / INDEX(טבלה1[[SPPR_1986]:[SPPR_symbolic_full_import_as_DC]], MATCH('השוואת פקטורים'!$B102, 'PPRs all'!$A$2:$A$108, 0), MATCH('השוואת פקטורים'!L$6, טבלה1[[#Headers],[SPPR_1986]:[SPPR_symbolic_full_import_as_DC]], 0)),
INDEX(טבלה2[[SPPR_1986]:[SPPR_symbolic_full_import_as_DC]], MATCH('השוואת פקטורים'!$B102, 'PPRs inner'!$A$2:$A$108, 0), MATCH('השוואת פקטורים'!M$6, טבלה2[[#Headers],[SPPR_1986]:[SPPR_symbolic_full_import_as_DC]], 0)) / INDEX(טבלה2[[SPPR_1986]:[SPPR_symbolic_full_import_as_DC]], MATCH('השוואת פקטורים'!$B102, 'PPRs inner'!$A$2:$A$108, 0), MATCH('השוואת פקטורים'!L$6, טבלה2[[#Headers],[SPPR_1986]:[SPPR_symbolic_full_import_as_DC]], 0))
)</f>
        <v>2.0347041302355273</v>
      </c>
      <c r="N102" s="9">
        <f>IF($B$4="סהכ",
INDEX(טבלה1[[SPPR_1986]:[SPPR_symbolic_full_import_as_DC]], MATCH('השוואת פקטורים'!$B102, 'PPRs all'!$A$2:$A$108, 0), MATCH('השוואת פקטורים'!N$6, טבלה1[[#Headers],[SPPR_1986]:[SPPR_symbolic_full_import_as_DC]], 0)) / INDEX(טבלה1[[SPPR_1986]:[SPPR_symbolic_full_import_as_DC]], MATCH('השוואת פקטורים'!$B102, 'PPRs all'!$A$2:$A$108, 0), MATCH('השוואת פקטורים'!M$6, טבלה1[[#Headers],[SPPR_1986]:[SPPR_symbolic_full_import_as_DC]], 0)),
INDEX(טבלה2[[SPPR_1986]:[SPPR_symbolic_full_import_as_DC]], MATCH('השוואת פקטורים'!$B102, 'PPRs inner'!$A$2:$A$108, 0), MATCH('השוואת פקטורים'!N$6, טבלה2[[#Headers],[SPPR_1986]:[SPPR_symbolic_full_import_as_DC]], 0)) / INDEX(טבלה2[[SPPR_1986]:[SPPR_symbolic_full_import_as_DC]], MATCH('השוואת פקטורים'!$B102, 'PPRs inner'!$A$2:$A$108, 0), MATCH('השוואת פקטורים'!M$6, טבלה2[[#Headers],[SPPR_1986]:[SPPR_symbolic_full_import_as_DC]], 0))
)</f>
        <v>3.6672179283994102</v>
      </c>
      <c r="O102" s="9">
        <f>IF($B$4="סהכ",
INDEX(טבלה1[[SPPR_1986]:[SPPR_symbolic_full_import_as_DC]], MATCH('השוואת פקטורים'!$B102, 'PPRs all'!$A$2:$A$108, 0), MATCH('השוואת פקטורים'!O$6, טבלה1[[#Headers],[SPPR_1986]:[SPPR_symbolic_full_import_as_DC]], 0)) / INDEX(טבלה1[[SPPR_1986]:[SPPR_symbolic_full_import_as_DC]], MATCH('השוואת פקטורים'!$B102, 'PPRs all'!$A$2:$A$108, 0), MATCH('השוואת פקטורים'!N$6, טבלה1[[#Headers],[SPPR_1986]:[SPPR_symbolic_full_import_as_DC]], 0)),
INDEX(טבלה2[[SPPR_1986]:[SPPR_symbolic_full_import_as_DC]], MATCH('השוואת פקטורים'!$B102, 'PPRs inner'!$A$2:$A$108, 0), MATCH('השוואת פקטורים'!O$6, טבלה2[[#Headers],[SPPR_1986]:[SPPR_symbolic_full_import_as_DC]], 0)) / INDEX(טבלה2[[SPPR_1986]:[SPPR_symbolic_full_import_as_DC]], MATCH('השוואת פקטורים'!$B102, 'PPRs inner'!$A$2:$A$108, 0), MATCH('השוואת פקטורים'!N$6, טבלה2[[#Headers],[SPPR_1986]:[SPPR_symbolic_full_import_as_DC]], 0))
)</f>
        <v>0.99999999999999944</v>
      </c>
      <c r="P102" s="9">
        <f>IF($B$4="סהכ",
INDEX(טבלה1[[SPPR_1986]:[SPPR_symbolic_full_import_as_DC]], MATCH('השוואת פקטורים'!$B102, 'PPRs all'!$A$2:$A$108, 0), MATCH('השוואת פקטורים'!P$6, טבלה1[[#Headers],[SPPR_1986]:[SPPR_symbolic_full_import_as_DC]], 0)) / INDEX(טבלה1[[SPPR_1986]:[SPPR_symbolic_full_import_as_DC]], MATCH('השוואת פקטורים'!$B102, 'PPRs all'!$A$2:$A$108, 0), MATCH('השוואת פקטורים'!O$6, טבלה1[[#Headers],[SPPR_1986]:[SPPR_symbolic_full_import_as_DC]], 0)),
INDEX(טבלה2[[SPPR_1986]:[SPPR_symbolic_full_import_as_DC]], MATCH('השוואת פקטורים'!$B102, 'PPRs inner'!$A$2:$A$108, 0), MATCH('השוואת פקטורים'!P$6, טבלה2[[#Headers],[SPPR_1986]:[SPPR_symbolic_full_import_as_DC]], 0)) / INDEX(טבלה2[[SPPR_1986]:[SPPR_symbolic_full_import_as_DC]], MATCH('השוואת פקטורים'!$B102, 'PPRs inner'!$A$2:$A$108, 0), MATCH('השוואת פקטורים'!O$6, טבלה2[[#Headers],[SPPR_1986]:[SPPR_symbolic_full_import_as_DC]], 0))
)</f>
        <v>-0.93313783849625598</v>
      </c>
      <c r="Q102" s="9">
        <f>IF($B$4="סהכ",
INDEX(טבלה1[[SPPR_1986]:[SPPR_symbolic_full_import_as_DC]], MATCH('השוואת פקטורים'!$B102, 'PPRs all'!$A$2:$A$108, 0), MATCH('השוואת פקטורים'!Q$6, טבלה1[[#Headers],[SPPR_1986]:[SPPR_symbolic_full_import_as_DC]], 0)) / INDEX(טבלה1[[SPPR_1986]:[SPPR_symbolic_full_import_as_DC]], MATCH('השוואת פקטורים'!$B102, 'PPRs all'!$A$2:$A$108, 0), MATCH('השוואת פקטורים'!P$6, טבלה1[[#Headers],[SPPR_1986]:[SPPR_symbolic_full_import_as_DC]], 0)),
INDEX(טבלה2[[SPPR_1986]:[SPPR_symbolic_full_import_as_DC]], MATCH('השוואת פקטורים'!$B102, 'PPRs inner'!$A$2:$A$108, 0), MATCH('השוואת פקטורים'!Q$6, טבלה2[[#Headers],[SPPR_1986]:[SPPR_symbolic_full_import_as_DC]], 0)) / INDEX(טבלה2[[SPPR_1986]:[SPPR_symbolic_full_import_as_DC]], MATCH('השוואת פקטורים'!$B102, 'PPRs inner'!$A$2:$A$108, 0), MATCH('השוואת פקטורים'!P$6, טבלה2[[#Headers],[SPPR_1986]:[SPPR_symbolic_full_import_as_DC]], 0))
)</f>
        <v>0.99999999999999811</v>
      </c>
      <c r="R102" s="9">
        <f>IF($B$4="סהכ",
INDEX(טבלה1[[SPPR_1986]:[SPPR_symbolic_full_import_as_DC]], MATCH('השוואת פקטורים'!$B102, 'PPRs all'!$A$2:$A$108, 0), MATCH('השוואת פקטורים'!R$6, טבלה1[[#Headers],[SPPR_1986]:[SPPR_symbolic_full_import_as_DC]], 0)) / INDEX(טבלה1[[SPPR_1986]:[SPPR_symbolic_full_import_as_DC]], MATCH('השוואת פקטורים'!$B102, 'PPRs all'!$A$2:$A$108, 0), MATCH('השוואת פקטורים'!Q$6, טבלה1[[#Headers],[SPPR_1986]:[SPPR_symbolic_full_import_as_DC]], 0)),
INDEX(טבלה2[[SPPR_1986]:[SPPR_symbolic_full_import_as_DC]], MATCH('השוואת פקטורים'!$B102, 'PPRs inner'!$A$2:$A$108, 0), MATCH('השוואת פקטורים'!R$6, טבלה2[[#Headers],[SPPR_1986]:[SPPR_symbolic_full_import_as_DC]], 0)) / INDEX(טבלה2[[SPPR_1986]:[SPPR_symbolic_full_import_as_DC]], MATCH('השוואת פקטורים'!$B102, 'PPRs inner'!$A$2:$A$108, 0), MATCH('השוואת פקטורים'!Q$6, טבלה2[[#Headers],[SPPR_1986]:[SPPR_symbolic_full_import_as_DC]], 0))
)</f>
        <v>0.94226380351671835</v>
      </c>
      <c r="S102" s="9">
        <f>IF($B$4="סהכ",
INDEX(טבלה1[[SPPR_1986]:[SPPR_symbolic_full_import_as_DC]], MATCH('השוואת פקטורים'!$B102, 'PPRs all'!$A$2:$A$108, 0), MATCH('השוואת פקטורים'!S$6, טבלה1[[#Headers],[SPPR_1986]:[SPPR_symbolic_full_import_as_DC]], 0)) / INDEX(טבלה1[[SPPR_1986]:[SPPR_symbolic_full_import_as_DC]], MATCH('השוואת פקטורים'!$B102, 'PPRs all'!$A$2:$A$108, 0), MATCH('השוואת פקטורים'!R$6, טבלה1[[#Headers],[SPPR_1986]:[SPPR_symbolic_full_import_as_DC]], 0)),
INDEX(טבלה2[[SPPR_1986]:[SPPR_symbolic_full_import_as_DC]], MATCH('השוואת פקטורים'!$B102, 'PPRs inner'!$A$2:$A$108, 0), MATCH('השוואת פקטורים'!S$6, טבלה2[[#Headers],[SPPR_1986]:[SPPR_symbolic_full_import_as_DC]], 0)) / INDEX(טבלה2[[SPPR_1986]:[SPPR_symbolic_full_import_as_DC]], MATCH('השוואת פקטורים'!$B102, 'PPRs inner'!$A$2:$A$108, 0), MATCH('השוואת פקטורים'!R$6, טבלה2[[#Headers],[SPPR_1986]:[SPPR_symbolic_full_import_as_DC]], 0))
)</f>
        <v>1.061273919541214</v>
      </c>
      <c r="T102" s="9">
        <f>IF($B$4="סהכ",
INDEX(טבלה1[[SPPR_1986]:[SPPR_symbolic_full_import_as_DC]], MATCH('השוואת פקטורים'!$B102, 'PPRs all'!$A$2:$A$108, 0), MATCH('השוואת פקטורים'!T$6, טבלה1[[#Headers],[SPPR_1986]:[SPPR_symbolic_full_import_as_DC]], 0)) / INDEX(טבלה1[[SPPR_1986]:[SPPR_symbolic_full_import_as_DC]], MATCH('השוואת פקטורים'!$B102, 'PPRs all'!$A$2:$A$108, 0), MATCH('השוואת פקטורים'!S$6, טבלה1[[#Headers],[SPPR_1986]:[SPPR_symbolic_full_import_as_DC]], 0)),
INDEX(טבלה2[[SPPR_1986]:[SPPR_symbolic_full_import_as_DC]], MATCH('השוואת פקטורים'!$B102, 'PPRs inner'!$A$2:$A$108, 0), MATCH('השוואת פקטורים'!T$6, טבלה2[[#Headers],[SPPR_1986]:[SPPR_symbolic_full_import_as_DC]], 0)) / INDEX(טבלה2[[SPPR_1986]:[SPPR_symbolic_full_import_as_DC]], MATCH('השוואת פקטורים'!$B102, 'PPRs inner'!$A$2:$A$108, 0), MATCH('השוואת פקטורים'!S$6, טבלה2[[#Headers],[SPPR_1986]:[SPPR_symbolic_full_import_as_DC]], 0))
)</f>
        <v>0.94226380351671835</v>
      </c>
      <c r="U102" s="9">
        <f>IF($B$4="סהכ",
INDEX(טבלה1[[SPPR_1986]:[SPPR_symbolic_full_import_as_DC]], MATCH('השוואת פקטורים'!$B102, 'PPRs all'!$A$2:$A$108, 0), MATCH('השוואת פקטורים'!U$6, טבלה1[[#Headers],[SPPR_1986]:[SPPR_symbolic_full_import_as_DC]], 0)) / INDEX(טבלה1[[SPPR_1986]:[SPPR_symbolic_full_import_as_DC]], MATCH('השוואת פקטורים'!$B102, 'PPRs all'!$A$2:$A$108, 0), MATCH('השוואת פקטורים'!T$6, טבלה1[[#Headers],[SPPR_1986]:[SPPR_symbolic_full_import_as_DC]], 0)),
INDEX(טבלה2[[SPPR_1986]:[SPPR_symbolic_full_import_as_DC]], MATCH('השוואת פקטורים'!$B102, 'PPRs inner'!$A$2:$A$108, 0), MATCH('השוואת פקטורים'!U$6, טבלה2[[#Headers],[SPPR_1986]:[SPPR_symbolic_full_import_as_DC]], 0)) / INDEX(טבלה2[[SPPR_1986]:[SPPR_symbolic_full_import_as_DC]], MATCH('השוואת פקטורים'!$B102, 'PPRs inner'!$A$2:$A$108, 0), MATCH('השוואת פקטורים'!T$6, טבלה2[[#Headers],[SPPR_1986]:[SPPR_symbolic_full_import_as_DC]], 0))
)</f>
        <v>1.061273919541216</v>
      </c>
      <c r="V102" s="9"/>
      <c r="W102" s="9"/>
      <c r="X102" s="14"/>
      <c r="Y102" s="14"/>
      <c r="Z102" s="15">
        <f t="shared" si="6"/>
        <v>-11.002587947767893</v>
      </c>
    </row>
    <row r="103" spans="2:26" x14ac:dyDescent="0.3">
      <c r="B103" s="6" t="s">
        <v>117</v>
      </c>
      <c r="C103" s="12" t="b">
        <v>1</v>
      </c>
      <c r="D103" s="12" t="b">
        <v>1</v>
      </c>
      <c r="E103" s="12" t="b">
        <v>1</v>
      </c>
      <c r="F103" s="12" t="b">
        <f t="shared" si="5"/>
        <v>1</v>
      </c>
      <c r="G103" s="7" t="b">
        <f>ABS(INDEX(טבלה5[[SPPR_1986]:[SPPR_symbolic_full_import_as_DC]],MATCH('השוואת פקטורים'!$B103,טבלה5[עמודה1],0),MATCH($C$4,טבלה5[[#Headers],[SPPR_1986]:[SPPR_symbolic_full_import_as_DC]],0))) &lt; 5</f>
        <v>1</v>
      </c>
      <c r="H103" s="7" t="b">
        <f>INDEX(טבלה3[[SPPR_1986]:[SPPR_symbolic_full_import_as_DC]],MATCH('השוואת פקטורים'!$B103,טבלה3[עמודה1],0),MATCH($C$4,טבלה3[[#Headers],[SPPR_1986]:[SPPR_symbolic_full_import_as_DC]],0))</f>
        <v>1</v>
      </c>
      <c r="I103" s="7" t="b">
        <f t="shared" ref="I103:I113" si="7">AND(C103:H103)</f>
        <v>1</v>
      </c>
      <c r="J103" s="13"/>
      <c r="K103" s="9">
        <f>IF($B$4="סהכ",
INDEX(טבלה1[[SPPR_1986]:[SPPR_symbolic_full_import_as_DC]], MATCH('השוואת פקטורים'!$B103, 'PPRs all'!$A$2:$A$108, 0), MATCH('השוואת פקטורים'!K$6, טבלה1[[#Headers],[SPPR_1986]:[SPPR_symbolic_full_import_as_DC]], 0)) / INDEX(טבלה1[[SPPR_1986]:[SPPR_symbolic_full_import_as_DC]], MATCH('השוואת פקטורים'!$B103, 'PPRs all'!$A$2:$A$108, 0), MATCH('השוואת פקטורים'!J$6, טבלה1[[#Headers],[SPPR_1986]:[SPPR_symbolic_full_import_as_DC]], 0)),
INDEX(טבלה2[[SPPR_1986]:[SPPR_symbolic_full_import_as_DC]], MATCH('השוואת פקטורים'!$B103, 'PPRs inner'!$A$2:$A$108, 0), MATCH('השוואת פקטורים'!K$6, טבלה2[[#Headers],[SPPR_1986]:[SPPR_symbolic_full_import_as_DC]], 0)) / INDEX(טבלה2[[SPPR_1986]:[SPPR_symbolic_full_import_as_DC]], MATCH('השוואת פקטורים'!$B103, 'PPRs inner'!$A$2:$A$108, 0), MATCH('השוואת פקטורים'!J$6, טבלה2[[#Headers],[SPPR_1986]:[SPPR_symbolic_full_import_as_DC]], 0))
)</f>
        <v>0.42203249188312958</v>
      </c>
      <c r="L103" s="9">
        <f>IF($B$4="סהכ",
INDEX(טבלה1[[SPPR_1986]:[SPPR_symbolic_full_import_as_DC]], MATCH('השוואת פקטורים'!$B103, 'PPRs all'!$A$2:$A$108, 0), MATCH('השוואת פקטורים'!L$6, טבלה1[[#Headers],[SPPR_1986]:[SPPR_symbolic_full_import_as_DC]], 0)) / INDEX(טבלה1[[SPPR_1986]:[SPPR_symbolic_full_import_as_DC]], MATCH('השוואת פקטורים'!$B103, 'PPRs all'!$A$2:$A$108, 0), MATCH('השוואת פקטורים'!K$6, טבלה1[[#Headers],[SPPR_1986]:[SPPR_symbolic_full_import_as_DC]], 0)),
INDEX(טבלה2[[SPPR_1986]:[SPPR_symbolic_full_import_as_DC]], MATCH('השוואת פקטורים'!$B103, 'PPRs inner'!$A$2:$A$108, 0), MATCH('השוואת פקטורים'!L$6, טבלה2[[#Headers],[SPPR_1986]:[SPPR_symbolic_full_import_as_DC]], 0)) / INDEX(טבלה2[[SPPR_1986]:[SPPR_symbolic_full_import_as_DC]], MATCH('השוואת פקטורים'!$B103, 'PPRs inner'!$A$2:$A$108, 0), MATCH('השוואת פקטורים'!K$6, טבלה2[[#Headers],[SPPR_1986]:[SPPR_symbolic_full_import_as_DC]], 0))
)</f>
        <v>4.7871659759143776</v>
      </c>
      <c r="M103" s="9">
        <f>IF($B$4="סהכ",
INDEX(טבלה1[[SPPR_1986]:[SPPR_symbolic_full_import_as_DC]], MATCH('השוואת פקטורים'!$B103, 'PPRs all'!$A$2:$A$108, 0), MATCH('השוואת פקטורים'!M$6, טבלה1[[#Headers],[SPPR_1986]:[SPPR_symbolic_full_import_as_DC]], 0)) / INDEX(טבלה1[[SPPR_1986]:[SPPR_symbolic_full_import_as_DC]], MATCH('השוואת פקטורים'!$B103, 'PPRs all'!$A$2:$A$108, 0), MATCH('השוואת פקטורים'!L$6, טבלה1[[#Headers],[SPPR_1986]:[SPPR_symbolic_full_import_as_DC]], 0)),
INDEX(טבלה2[[SPPR_1986]:[SPPR_symbolic_full_import_as_DC]], MATCH('השוואת פקטורים'!$B103, 'PPRs inner'!$A$2:$A$108, 0), MATCH('השוואת פקטורים'!M$6, טבלה2[[#Headers],[SPPR_1986]:[SPPR_symbolic_full_import_as_DC]], 0)) / INDEX(טבלה2[[SPPR_1986]:[SPPR_symbolic_full_import_as_DC]], MATCH('השוואת פקטורים'!$B103, 'PPRs inner'!$A$2:$A$108, 0), MATCH('השוואת פקטורים'!L$6, טבלה2[[#Headers],[SPPR_1986]:[SPPR_symbolic_full_import_as_DC]], 0))
)</f>
        <v>0.80968012636114783</v>
      </c>
      <c r="N103" s="9">
        <f>IF($B$4="סהכ",
INDEX(טבלה1[[SPPR_1986]:[SPPR_symbolic_full_import_as_DC]], MATCH('השוואת פקטורים'!$B103, 'PPRs all'!$A$2:$A$108, 0), MATCH('השוואת פקטורים'!N$6, טבלה1[[#Headers],[SPPR_1986]:[SPPR_symbolic_full_import_as_DC]], 0)) / INDEX(טבלה1[[SPPR_1986]:[SPPR_symbolic_full_import_as_DC]], MATCH('השוואת פקטורים'!$B103, 'PPRs all'!$A$2:$A$108, 0), MATCH('השוואת פקטורים'!M$6, טבלה1[[#Headers],[SPPR_1986]:[SPPR_symbolic_full_import_as_DC]], 0)),
INDEX(טבלה2[[SPPR_1986]:[SPPR_symbolic_full_import_as_DC]], MATCH('השוואת פקטורים'!$B103, 'PPRs inner'!$A$2:$A$108, 0), MATCH('השוואת פקטורים'!N$6, טבלה2[[#Headers],[SPPR_1986]:[SPPR_symbolic_full_import_as_DC]], 0)) / INDEX(טבלה2[[SPPR_1986]:[SPPR_symbolic_full_import_as_DC]], MATCH('השוואת פקטורים'!$B103, 'PPRs inner'!$A$2:$A$108, 0), MATCH('השוואת פקטורים'!M$6, טבלה2[[#Headers],[SPPR_1986]:[SPPR_symbolic_full_import_as_DC]], 0))
)</f>
        <v>2.2520126664105753</v>
      </c>
      <c r="O103" s="9">
        <f>IF($B$4="סהכ",
INDEX(טבלה1[[SPPR_1986]:[SPPR_symbolic_full_import_as_DC]], MATCH('השוואת פקטורים'!$B103, 'PPRs all'!$A$2:$A$108, 0), MATCH('השוואת פקטורים'!O$6, טבלה1[[#Headers],[SPPR_1986]:[SPPR_symbolic_full_import_as_DC]], 0)) / INDEX(טבלה1[[SPPR_1986]:[SPPR_symbolic_full_import_as_DC]], MATCH('השוואת פקטורים'!$B103, 'PPRs all'!$A$2:$A$108, 0), MATCH('השוואת פקטורים'!N$6, טבלה1[[#Headers],[SPPR_1986]:[SPPR_symbolic_full_import_as_DC]], 0)),
INDEX(טבלה2[[SPPR_1986]:[SPPR_symbolic_full_import_as_DC]], MATCH('השוואת פקטורים'!$B103, 'PPRs inner'!$A$2:$A$108, 0), MATCH('השוואת פקטורים'!O$6, טבלה2[[#Headers],[SPPR_1986]:[SPPR_symbolic_full_import_as_DC]], 0)) / INDEX(טבלה2[[SPPR_1986]:[SPPR_symbolic_full_import_as_DC]], MATCH('השוואת פקטורים'!$B103, 'PPRs inner'!$A$2:$A$108, 0), MATCH('השוואת פקטורים'!N$6, טבלה2[[#Headers],[SPPR_1986]:[SPPR_symbolic_full_import_as_DC]], 0))
)</f>
        <v>0.99999999999997102</v>
      </c>
      <c r="P103" s="9">
        <f>IF($B$4="סהכ",
INDEX(טבלה1[[SPPR_1986]:[SPPR_symbolic_full_import_as_DC]], MATCH('השוואת פקטורים'!$B103, 'PPRs all'!$A$2:$A$108, 0), MATCH('השוואת פקטורים'!P$6, טבלה1[[#Headers],[SPPR_1986]:[SPPR_symbolic_full_import_as_DC]], 0)) / INDEX(טבלה1[[SPPR_1986]:[SPPR_symbolic_full_import_as_DC]], MATCH('השוואת פקטורים'!$B103, 'PPRs all'!$A$2:$A$108, 0), MATCH('השוואת פקטורים'!O$6, טבלה1[[#Headers],[SPPR_1986]:[SPPR_symbolic_full_import_as_DC]], 0)),
INDEX(טבלה2[[SPPR_1986]:[SPPR_symbolic_full_import_as_DC]], MATCH('השוואת פקטורים'!$B103, 'PPRs inner'!$A$2:$A$108, 0), MATCH('השוואת פקטורים'!P$6, טבלה2[[#Headers],[SPPR_1986]:[SPPR_symbolic_full_import_as_DC]], 0)) / INDEX(טבלה2[[SPPR_1986]:[SPPR_symbolic_full_import_as_DC]], MATCH('השוואת פקטורים'!$B103, 'PPRs inner'!$A$2:$A$108, 0), MATCH('השוואת פקטורים'!O$6, טבלה2[[#Headers],[SPPR_1986]:[SPPR_symbolic_full_import_as_DC]], 0))
)</f>
        <v>0.65631165620872567</v>
      </c>
      <c r="Q103" s="9">
        <f>IF($B$4="סהכ",
INDEX(טבלה1[[SPPR_1986]:[SPPR_symbolic_full_import_as_DC]], MATCH('השוואת פקטורים'!$B103, 'PPRs all'!$A$2:$A$108, 0), MATCH('השוואת פקטורים'!Q$6, טבלה1[[#Headers],[SPPR_1986]:[SPPR_symbolic_full_import_as_DC]], 0)) / INDEX(טבלה1[[SPPR_1986]:[SPPR_symbolic_full_import_as_DC]], MATCH('השוואת פקטורים'!$B103, 'PPRs all'!$A$2:$A$108, 0), MATCH('השוואת פקטורים'!P$6, טבלה1[[#Headers],[SPPR_1986]:[SPPR_symbolic_full_import_as_DC]], 0)),
INDEX(טבלה2[[SPPR_1986]:[SPPR_symbolic_full_import_as_DC]], MATCH('השוואת פקטורים'!$B103, 'PPRs inner'!$A$2:$A$108, 0), MATCH('השוואת פקטורים'!Q$6, טבלה2[[#Headers],[SPPR_1986]:[SPPR_symbolic_full_import_as_DC]], 0)) / INDEX(טבלה2[[SPPR_1986]:[SPPR_symbolic_full_import_as_DC]], MATCH('השוואת פקטורים'!$B103, 'PPRs inner'!$A$2:$A$108, 0), MATCH('השוואת פקטורים'!P$6, טבלה2[[#Headers],[SPPR_1986]:[SPPR_symbolic_full_import_as_DC]], 0))
)</f>
        <v>0.99999999999999067</v>
      </c>
      <c r="R103" s="9">
        <f>IF($B$4="סהכ",
INDEX(טבלה1[[SPPR_1986]:[SPPR_symbolic_full_import_as_DC]], MATCH('השוואת פקטורים'!$B103, 'PPRs all'!$A$2:$A$108, 0), MATCH('השוואת פקטורים'!R$6, טבלה1[[#Headers],[SPPR_1986]:[SPPR_symbolic_full_import_as_DC]], 0)) / INDEX(טבלה1[[SPPR_1986]:[SPPR_symbolic_full_import_as_DC]], MATCH('השוואת פקטורים'!$B103, 'PPRs all'!$A$2:$A$108, 0), MATCH('השוואת פקטורים'!Q$6, טבלה1[[#Headers],[SPPR_1986]:[SPPR_symbolic_full_import_as_DC]], 0)),
INDEX(טבלה2[[SPPR_1986]:[SPPR_symbolic_full_import_as_DC]], MATCH('השוואת פקטורים'!$B103, 'PPRs inner'!$A$2:$A$108, 0), MATCH('השוואת פקטורים'!R$6, טבלה2[[#Headers],[SPPR_1986]:[SPPR_symbolic_full_import_as_DC]], 0)) / INDEX(טבלה2[[SPPR_1986]:[SPPR_symbolic_full_import_as_DC]], MATCH('השוואת פקטורים'!$B103, 'PPRs inner'!$A$2:$A$108, 0), MATCH('השוואת פקטורים'!Q$6, טבלה2[[#Headers],[SPPR_1986]:[SPPR_symbolic_full_import_as_DC]], 0))
)</f>
        <v>1</v>
      </c>
      <c r="S103" s="9">
        <f>IF($B$4="סהכ",
INDEX(טבלה1[[SPPR_1986]:[SPPR_symbolic_full_import_as_DC]], MATCH('השוואת פקטורים'!$B103, 'PPRs all'!$A$2:$A$108, 0), MATCH('השוואת פקטורים'!S$6, טבלה1[[#Headers],[SPPR_1986]:[SPPR_symbolic_full_import_as_DC]], 0)) / INDEX(טבלה1[[SPPR_1986]:[SPPR_symbolic_full_import_as_DC]], MATCH('השוואת פקטורים'!$B103, 'PPRs all'!$A$2:$A$108, 0), MATCH('השוואת פקטורים'!R$6, טבלה1[[#Headers],[SPPR_1986]:[SPPR_symbolic_full_import_as_DC]], 0)),
INDEX(טבלה2[[SPPR_1986]:[SPPR_symbolic_full_import_as_DC]], MATCH('השוואת פקטורים'!$B103, 'PPRs inner'!$A$2:$A$108, 0), MATCH('השוואת פקטורים'!S$6, טבלה2[[#Headers],[SPPR_1986]:[SPPR_symbolic_full_import_as_DC]], 0)) / INDEX(טבלה2[[SPPR_1986]:[SPPR_symbolic_full_import_as_DC]], MATCH('השוואת פקטורים'!$B103, 'PPRs inner'!$A$2:$A$108, 0), MATCH('השוואת פקטורים'!R$6, טבלה2[[#Headers],[SPPR_1986]:[SPPR_symbolic_full_import_as_DC]], 0))
)</f>
        <v>1</v>
      </c>
      <c r="T103" s="9">
        <f>IF($B$4="סהכ",
INDEX(טבלה1[[SPPR_1986]:[SPPR_symbolic_full_import_as_DC]], MATCH('השוואת פקטורים'!$B103, 'PPRs all'!$A$2:$A$108, 0), MATCH('השוואת פקטורים'!T$6, טבלה1[[#Headers],[SPPR_1986]:[SPPR_symbolic_full_import_as_DC]], 0)) / INDEX(טבלה1[[SPPR_1986]:[SPPR_symbolic_full_import_as_DC]], MATCH('השוואת פקטורים'!$B103, 'PPRs all'!$A$2:$A$108, 0), MATCH('השוואת פקטורים'!S$6, טבלה1[[#Headers],[SPPR_1986]:[SPPR_symbolic_full_import_as_DC]], 0)),
INDEX(טבלה2[[SPPR_1986]:[SPPR_symbolic_full_import_as_DC]], MATCH('השוואת פקטורים'!$B103, 'PPRs inner'!$A$2:$A$108, 0), MATCH('השוואת פקטורים'!T$6, טבלה2[[#Headers],[SPPR_1986]:[SPPR_symbolic_full_import_as_DC]], 0)) / INDEX(טבלה2[[SPPR_1986]:[SPPR_symbolic_full_import_as_DC]], MATCH('השוואת פקטורים'!$B103, 'PPRs inner'!$A$2:$A$108, 0), MATCH('השוואת פקטורים'!S$6, טבלה2[[#Headers],[SPPR_1986]:[SPPR_symbolic_full_import_as_DC]], 0))
)</f>
        <v>1</v>
      </c>
      <c r="U103" s="9">
        <f>IF($B$4="סהכ",
INDEX(טבלה1[[SPPR_1986]:[SPPR_symbolic_full_import_as_DC]], MATCH('השוואת פקטורים'!$B103, 'PPRs all'!$A$2:$A$108, 0), MATCH('השוואת פקטורים'!U$6, טבלה1[[#Headers],[SPPR_1986]:[SPPR_symbolic_full_import_as_DC]], 0)) / INDEX(טבלה1[[SPPR_1986]:[SPPR_symbolic_full_import_as_DC]], MATCH('השוואת פקטורים'!$B103, 'PPRs all'!$A$2:$A$108, 0), MATCH('השוואת פקטורים'!T$6, טבלה1[[#Headers],[SPPR_1986]:[SPPR_symbolic_full_import_as_DC]], 0)),
INDEX(טבלה2[[SPPR_1986]:[SPPR_symbolic_full_import_as_DC]], MATCH('השוואת פקטורים'!$B103, 'PPRs inner'!$A$2:$A$108, 0), MATCH('השוואת פקטורים'!U$6, טבלה2[[#Headers],[SPPR_1986]:[SPPR_symbolic_full_import_as_DC]], 0)) / INDEX(טבלה2[[SPPR_1986]:[SPPR_symbolic_full_import_as_DC]], MATCH('השוואת פקטורים'!$B103, 'PPRs inner'!$A$2:$A$108, 0), MATCH('השוואת פקטורים'!T$6, טבלה2[[#Headers],[SPPR_1986]:[SPPR_symbolic_full_import_as_DC]], 0))
)</f>
        <v>1.0000000000000093</v>
      </c>
      <c r="V103" s="9"/>
      <c r="W103" s="9"/>
      <c r="X103" s="14"/>
      <c r="Y103" s="14"/>
      <c r="Z103" s="15">
        <f t="shared" si="6"/>
        <v>2.4177912376294808</v>
      </c>
    </row>
    <row r="104" spans="2:26" x14ac:dyDescent="0.3">
      <c r="B104" s="6" t="s">
        <v>118</v>
      </c>
      <c r="C104" s="12" t="b">
        <v>1</v>
      </c>
      <c r="D104" s="12" t="b">
        <v>1</v>
      </c>
      <c r="E104" s="12" t="b">
        <v>1</v>
      </c>
      <c r="F104" s="12" t="b">
        <f t="shared" si="5"/>
        <v>1</v>
      </c>
      <c r="G104" s="7" t="b">
        <f>ABS(INDEX(טבלה5[[SPPR_1986]:[SPPR_symbolic_full_import_as_DC]],MATCH('השוואת פקטורים'!$B104,טבלה5[עמודה1],0),MATCH($C$4,טבלה5[[#Headers],[SPPR_1986]:[SPPR_symbolic_full_import_as_DC]],0))) &lt; 5</f>
        <v>1</v>
      </c>
      <c r="H104" s="7" t="b">
        <f>INDEX(טבלה3[[SPPR_1986]:[SPPR_symbolic_full_import_as_DC]],MATCH('השוואת פקטורים'!$B104,טבלה3[עמודה1],0),MATCH($C$4,טבלה3[[#Headers],[SPPR_1986]:[SPPR_symbolic_full_import_as_DC]],0))</f>
        <v>1</v>
      </c>
      <c r="I104" s="7" t="b">
        <f t="shared" si="7"/>
        <v>1</v>
      </c>
      <c r="J104" s="13"/>
      <c r="K104" s="9">
        <f>IF($B$4="סהכ",
INDEX(טבלה1[[SPPR_1986]:[SPPR_symbolic_full_import_as_DC]], MATCH('השוואת פקטורים'!$B104, 'PPRs all'!$A$2:$A$108, 0), MATCH('השוואת פקטורים'!K$6, טבלה1[[#Headers],[SPPR_1986]:[SPPR_symbolic_full_import_as_DC]], 0)) / INDEX(טבלה1[[SPPR_1986]:[SPPR_symbolic_full_import_as_DC]], MATCH('השוואת פקטורים'!$B104, 'PPRs all'!$A$2:$A$108, 0), MATCH('השוואת פקטורים'!J$6, טבלה1[[#Headers],[SPPR_1986]:[SPPR_symbolic_full_import_as_DC]], 0)),
INDEX(טבלה2[[SPPR_1986]:[SPPR_symbolic_full_import_as_DC]], MATCH('השוואת פקטורים'!$B104, 'PPRs inner'!$A$2:$A$108, 0), MATCH('השוואת פקטורים'!K$6, טבלה2[[#Headers],[SPPR_1986]:[SPPR_symbolic_full_import_as_DC]], 0)) / INDEX(טבלה2[[SPPR_1986]:[SPPR_symbolic_full_import_as_DC]], MATCH('השוואת פקטורים'!$B104, 'PPRs inner'!$A$2:$A$108, 0), MATCH('השוואת פקטורים'!J$6, טבלה2[[#Headers],[SPPR_1986]:[SPPR_symbolic_full_import_as_DC]], 0))
)</f>
        <v>0.23790291519012849</v>
      </c>
      <c r="L104" s="9">
        <f>IF($B$4="סהכ",
INDEX(טבלה1[[SPPR_1986]:[SPPR_symbolic_full_import_as_DC]], MATCH('השוואת פקטורים'!$B104, 'PPRs all'!$A$2:$A$108, 0), MATCH('השוואת פקטורים'!L$6, טבלה1[[#Headers],[SPPR_1986]:[SPPR_symbolic_full_import_as_DC]], 0)) / INDEX(טבלה1[[SPPR_1986]:[SPPR_symbolic_full_import_as_DC]], MATCH('השוואת פקטורים'!$B104, 'PPRs all'!$A$2:$A$108, 0), MATCH('השוואת פקטורים'!K$6, טבלה1[[#Headers],[SPPR_1986]:[SPPR_symbolic_full_import_as_DC]], 0)),
INDEX(טבלה2[[SPPR_1986]:[SPPR_symbolic_full_import_as_DC]], MATCH('השוואת פקטורים'!$B104, 'PPRs inner'!$A$2:$A$108, 0), MATCH('השוואת פקטורים'!L$6, טבלה2[[#Headers],[SPPR_1986]:[SPPR_symbolic_full_import_as_DC]], 0)) / INDEX(טבלה2[[SPPR_1986]:[SPPR_symbolic_full_import_as_DC]], MATCH('השוואת פקטורים'!$B104, 'PPRs inner'!$A$2:$A$108, 0), MATCH('השוואת פקטורים'!K$6, טבלה2[[#Headers],[SPPR_1986]:[SPPR_symbolic_full_import_as_DC]], 0))
)</f>
        <v>2.2813242749425537</v>
      </c>
      <c r="M104" s="9">
        <f>IF($B$4="סהכ",
INDEX(טבלה1[[SPPR_1986]:[SPPR_symbolic_full_import_as_DC]], MATCH('השוואת פקטורים'!$B104, 'PPRs all'!$A$2:$A$108, 0), MATCH('השוואת פקטורים'!M$6, טבלה1[[#Headers],[SPPR_1986]:[SPPR_symbolic_full_import_as_DC]], 0)) / INDEX(טבלה1[[SPPR_1986]:[SPPR_symbolic_full_import_as_DC]], MATCH('השוואת פקטורים'!$B104, 'PPRs all'!$A$2:$A$108, 0), MATCH('השוואת פקטורים'!L$6, טבלה1[[#Headers],[SPPR_1986]:[SPPR_symbolic_full_import_as_DC]], 0)),
INDEX(טבלה2[[SPPR_1986]:[SPPR_symbolic_full_import_as_DC]], MATCH('השוואת פקטורים'!$B104, 'PPRs inner'!$A$2:$A$108, 0), MATCH('השוואת פקטורים'!M$6, טבלה2[[#Headers],[SPPR_1986]:[SPPR_symbolic_full_import_as_DC]], 0)) / INDEX(טבלה2[[SPPR_1986]:[SPPR_symbolic_full_import_as_DC]], MATCH('השוואת פקטורים'!$B104, 'PPRs inner'!$A$2:$A$108, 0), MATCH('השוואת פקטורים'!L$6, טבלה2[[#Headers],[SPPR_1986]:[SPPR_symbolic_full_import_as_DC]], 0))
)</f>
        <v>1.6986059064532593</v>
      </c>
      <c r="N104" s="9">
        <f>IF($B$4="סהכ",
INDEX(טבלה1[[SPPR_1986]:[SPPR_symbolic_full_import_as_DC]], MATCH('השוואת פקטורים'!$B104, 'PPRs all'!$A$2:$A$108, 0), MATCH('השוואת פקטורים'!N$6, טבלה1[[#Headers],[SPPR_1986]:[SPPR_symbolic_full_import_as_DC]], 0)) / INDEX(טבלה1[[SPPR_1986]:[SPPR_symbolic_full_import_as_DC]], MATCH('השוואת פקטורים'!$B104, 'PPRs all'!$A$2:$A$108, 0), MATCH('השוואת פקטורים'!M$6, טבלה1[[#Headers],[SPPR_1986]:[SPPR_symbolic_full_import_as_DC]], 0)),
INDEX(טבלה2[[SPPR_1986]:[SPPR_symbolic_full_import_as_DC]], MATCH('השוואת פקטורים'!$B104, 'PPRs inner'!$A$2:$A$108, 0), MATCH('השוואת פקטורים'!N$6, טבלה2[[#Headers],[SPPR_1986]:[SPPR_symbolic_full_import_as_DC]], 0)) / INDEX(טבלה2[[SPPR_1986]:[SPPR_symbolic_full_import_as_DC]], MATCH('השוואת פקטורים'!$B104, 'PPRs inner'!$A$2:$A$108, 0), MATCH('השוואת פקטורים'!M$6, טבלה2[[#Headers],[SPPR_1986]:[SPPR_symbolic_full_import_as_DC]], 0))
)</f>
        <v>1.4439211315864846</v>
      </c>
      <c r="O104" s="9">
        <f>IF($B$4="סהכ",
INDEX(טבלה1[[SPPR_1986]:[SPPR_symbolic_full_import_as_DC]], MATCH('השוואת פקטורים'!$B104, 'PPRs all'!$A$2:$A$108, 0), MATCH('השוואת פקטורים'!O$6, טבלה1[[#Headers],[SPPR_1986]:[SPPR_symbolic_full_import_as_DC]], 0)) / INDEX(טבלה1[[SPPR_1986]:[SPPR_symbolic_full_import_as_DC]], MATCH('השוואת פקטורים'!$B104, 'PPRs all'!$A$2:$A$108, 0), MATCH('השוואת פקטורים'!N$6, טבלה1[[#Headers],[SPPR_1986]:[SPPR_symbolic_full_import_as_DC]], 0)),
INDEX(טבלה2[[SPPR_1986]:[SPPR_symbolic_full_import_as_DC]], MATCH('השוואת פקטורים'!$B104, 'PPRs inner'!$A$2:$A$108, 0), MATCH('השוואת פקטורים'!O$6, טבלה2[[#Headers],[SPPR_1986]:[SPPR_symbolic_full_import_as_DC]], 0)) / INDEX(טבלה2[[SPPR_1986]:[SPPR_symbolic_full_import_as_DC]], MATCH('השוואת פקטורים'!$B104, 'PPRs inner'!$A$2:$A$108, 0), MATCH('השוואת פקטורים'!N$6, טבלה2[[#Headers],[SPPR_1986]:[SPPR_symbolic_full_import_as_DC]], 0))
)</f>
        <v>0.99999999999999889</v>
      </c>
      <c r="P104" s="9">
        <f>IF($B$4="סהכ",
INDEX(טבלה1[[SPPR_1986]:[SPPR_symbolic_full_import_as_DC]], MATCH('השוואת פקטורים'!$B104, 'PPRs all'!$A$2:$A$108, 0), MATCH('השוואת פקטורים'!P$6, טבלה1[[#Headers],[SPPR_1986]:[SPPR_symbolic_full_import_as_DC]], 0)) / INDEX(טבלה1[[SPPR_1986]:[SPPR_symbolic_full_import_as_DC]], MATCH('השוואת פקטורים'!$B104, 'PPRs all'!$A$2:$A$108, 0), MATCH('השוואת פקטורים'!O$6, טבלה1[[#Headers],[SPPR_1986]:[SPPR_symbolic_full_import_as_DC]], 0)),
INDEX(טבלה2[[SPPR_1986]:[SPPR_symbolic_full_import_as_DC]], MATCH('השוואת פקטורים'!$B104, 'PPRs inner'!$A$2:$A$108, 0), MATCH('השוואת פקטורים'!P$6, טבלה2[[#Headers],[SPPR_1986]:[SPPR_symbolic_full_import_as_DC]], 0)) / INDEX(טבלה2[[SPPR_1986]:[SPPR_symbolic_full_import_as_DC]], MATCH('השוואת פקטורים'!$B104, 'PPRs inner'!$A$2:$A$108, 0), MATCH('השוואת פקטורים'!O$6, טבלה2[[#Headers],[SPPR_1986]:[SPPR_symbolic_full_import_as_DC]], 0))
)</f>
        <v>0.48893246760583581</v>
      </c>
      <c r="Q104" s="9">
        <f>IF($B$4="סהכ",
INDEX(טבלה1[[SPPR_1986]:[SPPR_symbolic_full_import_as_DC]], MATCH('השוואת פקטורים'!$B104, 'PPRs all'!$A$2:$A$108, 0), MATCH('השוואת פקטורים'!Q$6, טבלה1[[#Headers],[SPPR_1986]:[SPPR_symbolic_full_import_as_DC]], 0)) / INDEX(טבלה1[[SPPR_1986]:[SPPR_symbolic_full_import_as_DC]], MATCH('השוואת פקטורים'!$B104, 'PPRs all'!$A$2:$A$108, 0), MATCH('השוואת פקטורים'!P$6, טבלה1[[#Headers],[SPPR_1986]:[SPPR_symbolic_full_import_as_DC]], 0)),
INDEX(טבלה2[[SPPR_1986]:[SPPR_symbolic_full_import_as_DC]], MATCH('השוואת פקטורים'!$B104, 'PPRs inner'!$A$2:$A$108, 0), MATCH('השוואת פקטורים'!Q$6, טבלה2[[#Headers],[SPPR_1986]:[SPPR_symbolic_full_import_as_DC]], 0)) / INDEX(טבלה2[[SPPR_1986]:[SPPR_symbolic_full_import_as_DC]], MATCH('השוואת פקטורים'!$B104, 'PPRs inner'!$A$2:$A$108, 0), MATCH('השוואת פקטורים'!P$6, טבלה2[[#Headers],[SPPR_1986]:[SPPR_symbolic_full_import_as_DC]], 0))
)</f>
        <v>1</v>
      </c>
      <c r="R104" s="9">
        <f>IF($B$4="סהכ",
INDEX(טבלה1[[SPPR_1986]:[SPPR_symbolic_full_import_as_DC]], MATCH('השוואת פקטורים'!$B104, 'PPRs all'!$A$2:$A$108, 0), MATCH('השוואת פקטורים'!R$6, טבלה1[[#Headers],[SPPR_1986]:[SPPR_symbolic_full_import_as_DC]], 0)) / INDEX(טבלה1[[SPPR_1986]:[SPPR_symbolic_full_import_as_DC]], MATCH('השוואת פקטורים'!$B104, 'PPRs all'!$A$2:$A$108, 0), MATCH('השוואת פקטורים'!Q$6, טבלה1[[#Headers],[SPPR_1986]:[SPPR_symbolic_full_import_as_DC]], 0)),
INDEX(טבלה2[[SPPR_1986]:[SPPR_symbolic_full_import_as_DC]], MATCH('השוואת פקטורים'!$B104, 'PPRs inner'!$A$2:$A$108, 0), MATCH('השוואת פקטורים'!R$6, טבלה2[[#Headers],[SPPR_1986]:[SPPR_symbolic_full_import_as_DC]], 0)) / INDEX(טבלה2[[SPPR_1986]:[SPPR_symbolic_full_import_as_DC]], MATCH('השוואת פקטורים'!$B104, 'PPRs inner'!$A$2:$A$108, 0), MATCH('השוואת פקטורים'!Q$6, טבלה2[[#Headers],[SPPR_1986]:[SPPR_symbolic_full_import_as_DC]], 0))
)</f>
        <v>1</v>
      </c>
      <c r="S104" s="9">
        <f>IF($B$4="סהכ",
INDEX(טבלה1[[SPPR_1986]:[SPPR_symbolic_full_import_as_DC]], MATCH('השוואת פקטורים'!$B104, 'PPRs all'!$A$2:$A$108, 0), MATCH('השוואת פקטורים'!S$6, טבלה1[[#Headers],[SPPR_1986]:[SPPR_symbolic_full_import_as_DC]], 0)) / INDEX(טבלה1[[SPPR_1986]:[SPPR_symbolic_full_import_as_DC]], MATCH('השוואת פקטורים'!$B104, 'PPRs all'!$A$2:$A$108, 0), MATCH('השוואת פקטורים'!R$6, טבלה1[[#Headers],[SPPR_1986]:[SPPR_symbolic_full_import_as_DC]], 0)),
INDEX(טבלה2[[SPPR_1986]:[SPPR_symbolic_full_import_as_DC]], MATCH('השוואת פקטורים'!$B104, 'PPRs inner'!$A$2:$A$108, 0), MATCH('השוואת פקטורים'!S$6, טבלה2[[#Headers],[SPPR_1986]:[SPPR_symbolic_full_import_as_DC]], 0)) / INDEX(טבלה2[[SPPR_1986]:[SPPR_symbolic_full_import_as_DC]], MATCH('השוואת פקטורים'!$B104, 'PPRs inner'!$A$2:$A$108, 0), MATCH('השוואת פקטורים'!R$6, טבלה2[[#Headers],[SPPR_1986]:[SPPR_symbolic_full_import_as_DC]], 0))
)</f>
        <v>1</v>
      </c>
      <c r="T104" s="9">
        <f>IF($B$4="סהכ",
INDEX(טבלה1[[SPPR_1986]:[SPPR_symbolic_full_import_as_DC]], MATCH('השוואת פקטורים'!$B104, 'PPRs all'!$A$2:$A$108, 0), MATCH('השוואת פקטורים'!T$6, טבלה1[[#Headers],[SPPR_1986]:[SPPR_symbolic_full_import_as_DC]], 0)) / INDEX(טבלה1[[SPPR_1986]:[SPPR_symbolic_full_import_as_DC]], MATCH('השוואת פקטורים'!$B104, 'PPRs all'!$A$2:$A$108, 0), MATCH('השוואת פקטורים'!S$6, טבלה1[[#Headers],[SPPR_1986]:[SPPR_symbolic_full_import_as_DC]], 0)),
INDEX(טבלה2[[SPPR_1986]:[SPPR_symbolic_full_import_as_DC]], MATCH('השוואת פקטורים'!$B104, 'PPRs inner'!$A$2:$A$108, 0), MATCH('השוואת פקטורים'!T$6, טבלה2[[#Headers],[SPPR_1986]:[SPPR_symbolic_full_import_as_DC]], 0)) / INDEX(טבלה2[[SPPR_1986]:[SPPR_symbolic_full_import_as_DC]], MATCH('השוואת פקטורים'!$B104, 'PPRs inner'!$A$2:$A$108, 0), MATCH('השוואת פקטורים'!S$6, טבלה2[[#Headers],[SPPR_1986]:[SPPR_symbolic_full_import_as_DC]], 0))
)</f>
        <v>1</v>
      </c>
      <c r="U104" s="9">
        <f>IF($B$4="סהכ",
INDEX(טבלה1[[SPPR_1986]:[SPPR_symbolic_full_import_as_DC]], MATCH('השוואת פקטורים'!$B104, 'PPRs all'!$A$2:$A$108, 0), MATCH('השוואת פקטורים'!U$6, טבלה1[[#Headers],[SPPR_1986]:[SPPR_symbolic_full_import_as_DC]], 0)) / INDEX(טבלה1[[SPPR_1986]:[SPPR_symbolic_full_import_as_DC]], MATCH('השוואת פקטורים'!$B104, 'PPRs all'!$A$2:$A$108, 0), MATCH('השוואת פקטורים'!T$6, טבלה1[[#Headers],[SPPR_1986]:[SPPR_symbolic_full_import_as_DC]], 0)),
INDEX(טבלה2[[SPPR_1986]:[SPPR_symbolic_full_import_as_DC]], MATCH('השוואת פקטורים'!$B104, 'PPRs inner'!$A$2:$A$108, 0), MATCH('השוואת פקטורים'!U$6, טבלה2[[#Headers],[SPPR_1986]:[SPPR_symbolic_full_import_as_DC]], 0)) / INDEX(טבלה2[[SPPR_1986]:[SPPR_symbolic_full_import_as_DC]], MATCH('השוואת פקטורים'!$B104, 'PPRs inner'!$A$2:$A$108, 0), MATCH('השוואת פקטורים'!T$6, טבלה2[[#Headers],[SPPR_1986]:[SPPR_symbolic_full_import_as_DC]], 0))
)</f>
        <v>1</v>
      </c>
      <c r="V104" s="9"/>
      <c r="W104" s="9"/>
      <c r="X104" s="14"/>
      <c r="Y104" s="14"/>
      <c r="Z104" s="15">
        <f t="shared" si="6"/>
        <v>0.65083629671582366</v>
      </c>
    </row>
    <row r="105" spans="2:26" x14ac:dyDescent="0.3">
      <c r="B105" s="6" t="s">
        <v>119</v>
      </c>
      <c r="C105" s="12" t="b">
        <v>1</v>
      </c>
      <c r="D105" s="12" t="b">
        <v>1</v>
      </c>
      <c r="E105" s="12" t="b">
        <v>1</v>
      </c>
      <c r="F105" s="12" t="b">
        <f t="shared" si="5"/>
        <v>1</v>
      </c>
      <c r="G105" s="7" t="b">
        <f>ABS(INDEX(טבלה5[[SPPR_1986]:[SPPR_symbolic_full_import_as_DC]],MATCH('השוואת פקטורים'!$B105,טבלה5[עמודה1],0),MATCH($C$4,טבלה5[[#Headers],[SPPR_1986]:[SPPR_symbolic_full_import_as_DC]],0))) &lt; 5</f>
        <v>1</v>
      </c>
      <c r="H105" s="7" t="b">
        <f>INDEX(טבלה3[[SPPR_1986]:[SPPR_symbolic_full_import_as_DC]],MATCH('השוואת פקטורים'!$B105,טבלה3[עמודה1],0),MATCH($C$4,טבלה3[[#Headers],[SPPR_1986]:[SPPR_symbolic_full_import_as_DC]],0))</f>
        <v>1</v>
      </c>
      <c r="I105" s="7" t="b">
        <f t="shared" si="7"/>
        <v>1</v>
      </c>
      <c r="J105" s="13"/>
      <c r="K105" s="9">
        <f>IF($B$4="סהכ",
INDEX(טבלה1[[SPPR_1986]:[SPPR_symbolic_full_import_as_DC]], MATCH('השוואת פקטורים'!$B105, 'PPRs all'!$A$2:$A$108, 0), MATCH('השוואת פקטורים'!K$6, טבלה1[[#Headers],[SPPR_1986]:[SPPR_symbolic_full_import_as_DC]], 0)) / INDEX(טבלה1[[SPPR_1986]:[SPPR_symbolic_full_import_as_DC]], MATCH('השוואת פקטורים'!$B105, 'PPRs all'!$A$2:$A$108, 0), MATCH('השוואת פקטורים'!J$6, טבלה1[[#Headers],[SPPR_1986]:[SPPR_symbolic_full_import_as_DC]], 0)),
INDEX(טבלה2[[SPPR_1986]:[SPPR_symbolic_full_import_as_DC]], MATCH('השוואת פקטורים'!$B105, 'PPRs inner'!$A$2:$A$108, 0), MATCH('השוואת פקטורים'!K$6, טבלה2[[#Headers],[SPPR_1986]:[SPPR_symbolic_full_import_as_DC]], 0)) / INDEX(טבלה2[[SPPR_1986]:[SPPR_symbolic_full_import_as_DC]], MATCH('השוואת פקטורים'!$B105, 'PPRs inner'!$A$2:$A$108, 0), MATCH('השוואת פקטורים'!J$6, טבלה2[[#Headers],[SPPR_1986]:[SPPR_symbolic_full_import_as_DC]], 0))
)</f>
        <v>0.2565262171644539</v>
      </c>
      <c r="L105" s="9">
        <f>IF($B$4="סהכ",
INDEX(טבלה1[[SPPR_1986]:[SPPR_symbolic_full_import_as_DC]], MATCH('השוואת פקטורים'!$B105, 'PPRs all'!$A$2:$A$108, 0), MATCH('השוואת פקטורים'!L$6, טבלה1[[#Headers],[SPPR_1986]:[SPPR_symbolic_full_import_as_DC]], 0)) / INDEX(טבלה1[[SPPR_1986]:[SPPR_symbolic_full_import_as_DC]], MATCH('השוואת פקטורים'!$B105, 'PPRs all'!$A$2:$A$108, 0), MATCH('השוואת פקטורים'!K$6, טבלה1[[#Headers],[SPPR_1986]:[SPPR_symbolic_full_import_as_DC]], 0)),
INDEX(טבלה2[[SPPR_1986]:[SPPR_symbolic_full_import_as_DC]], MATCH('השוואת פקטורים'!$B105, 'PPRs inner'!$A$2:$A$108, 0), MATCH('השוואת פקטורים'!L$6, טבלה2[[#Headers],[SPPR_1986]:[SPPR_symbolic_full_import_as_DC]], 0)) / INDEX(טבלה2[[SPPR_1986]:[SPPR_symbolic_full_import_as_DC]], MATCH('השוואת פקטורים'!$B105, 'PPRs inner'!$A$2:$A$108, 0), MATCH('השוואת פקטורים'!K$6, טבלה2[[#Headers],[SPPR_1986]:[SPPR_symbolic_full_import_as_DC]], 0))
)</f>
        <v>22.419004901105662</v>
      </c>
      <c r="M105" s="9">
        <f>IF($B$4="סהכ",
INDEX(טבלה1[[SPPR_1986]:[SPPR_symbolic_full_import_as_DC]], MATCH('השוואת פקטורים'!$B105, 'PPRs all'!$A$2:$A$108, 0), MATCH('השוואת פקטורים'!M$6, טבלה1[[#Headers],[SPPR_1986]:[SPPR_symbolic_full_import_as_DC]], 0)) / INDEX(טבלה1[[SPPR_1986]:[SPPR_symbolic_full_import_as_DC]], MATCH('השוואת פקטורים'!$B105, 'PPRs all'!$A$2:$A$108, 0), MATCH('השוואת פקטורים'!L$6, טבלה1[[#Headers],[SPPR_1986]:[SPPR_symbolic_full_import_as_DC]], 0)),
INDEX(טבלה2[[SPPR_1986]:[SPPR_symbolic_full_import_as_DC]], MATCH('השוואת פקטורים'!$B105, 'PPRs inner'!$A$2:$A$108, 0), MATCH('השוואת פקטורים'!M$6, טבלה2[[#Headers],[SPPR_1986]:[SPPR_symbolic_full_import_as_DC]], 0)) / INDEX(טבלה2[[SPPR_1986]:[SPPR_symbolic_full_import_as_DC]], MATCH('השוואת פקטורים'!$B105, 'PPRs inner'!$A$2:$A$108, 0), MATCH('השוואת פקטורים'!L$6, טבלה2[[#Headers],[SPPR_1986]:[SPPR_symbolic_full_import_as_DC]], 0))
)</f>
        <v>0.11436218417475917</v>
      </c>
      <c r="N105" s="9">
        <f>IF($B$4="סהכ",
INDEX(טבלה1[[SPPR_1986]:[SPPR_symbolic_full_import_as_DC]], MATCH('השוואת פקטורים'!$B105, 'PPRs all'!$A$2:$A$108, 0), MATCH('השוואת פקטורים'!N$6, טבלה1[[#Headers],[SPPR_1986]:[SPPR_symbolic_full_import_as_DC]], 0)) / INDEX(טבלה1[[SPPR_1986]:[SPPR_symbolic_full_import_as_DC]], MATCH('השוואת פקטורים'!$B105, 'PPRs all'!$A$2:$A$108, 0), MATCH('השוואת פקטורים'!M$6, טבלה1[[#Headers],[SPPR_1986]:[SPPR_symbolic_full_import_as_DC]], 0)),
INDEX(טבלה2[[SPPR_1986]:[SPPR_symbolic_full_import_as_DC]], MATCH('השוואת פקטורים'!$B105, 'PPRs inner'!$A$2:$A$108, 0), MATCH('השוואת פקטורים'!N$6, טבלה2[[#Headers],[SPPR_1986]:[SPPR_symbolic_full_import_as_DC]], 0)) / INDEX(טבלה2[[SPPR_1986]:[SPPR_symbolic_full_import_as_DC]], MATCH('השוואת פקטורים'!$B105, 'PPRs inner'!$A$2:$A$108, 0), MATCH('השוואת פקטורים'!M$6, טבלה2[[#Headers],[SPPR_1986]:[SPPR_symbolic_full_import_as_DC]], 0))
)</f>
        <v>0.56340565904273721</v>
      </c>
      <c r="O105" s="9">
        <f>IF($B$4="סהכ",
INDEX(טבלה1[[SPPR_1986]:[SPPR_symbolic_full_import_as_DC]], MATCH('השוואת פקטורים'!$B105, 'PPRs all'!$A$2:$A$108, 0), MATCH('השוואת פקטורים'!O$6, טבלה1[[#Headers],[SPPR_1986]:[SPPR_symbolic_full_import_as_DC]], 0)) / INDEX(טבלה1[[SPPR_1986]:[SPPR_symbolic_full_import_as_DC]], MATCH('השוואת פקטורים'!$B105, 'PPRs all'!$A$2:$A$108, 0), MATCH('השוואת פקטורים'!N$6, טבלה1[[#Headers],[SPPR_1986]:[SPPR_symbolic_full_import_as_DC]], 0)),
INDEX(טבלה2[[SPPR_1986]:[SPPR_symbolic_full_import_as_DC]], MATCH('השוואת פקטורים'!$B105, 'PPRs inner'!$A$2:$A$108, 0), MATCH('השוואת פקטורים'!O$6, טבלה2[[#Headers],[SPPR_1986]:[SPPR_symbolic_full_import_as_DC]], 0)) / INDEX(טבלה2[[SPPR_1986]:[SPPR_symbolic_full_import_as_DC]], MATCH('השוואת פקטורים'!$B105, 'PPRs inner'!$A$2:$A$108, 0), MATCH('השוואת פקטורים'!N$6, טבלה2[[#Headers],[SPPR_1986]:[SPPR_symbolic_full_import_as_DC]], 0))
)</f>
        <v>1</v>
      </c>
      <c r="P105" s="9">
        <f>IF($B$4="סהכ",
INDEX(טבלה1[[SPPR_1986]:[SPPR_symbolic_full_import_as_DC]], MATCH('השוואת פקטורים'!$B105, 'PPRs all'!$A$2:$A$108, 0), MATCH('השוואת פקטורים'!P$6, טבלה1[[#Headers],[SPPR_1986]:[SPPR_symbolic_full_import_as_DC]], 0)) / INDEX(טבלה1[[SPPR_1986]:[SPPR_symbolic_full_import_as_DC]], MATCH('השוואת פקטורים'!$B105, 'PPRs all'!$A$2:$A$108, 0), MATCH('השוואת פקטורים'!O$6, טבלה1[[#Headers],[SPPR_1986]:[SPPR_symbolic_full_import_as_DC]], 0)),
INDEX(טבלה2[[SPPR_1986]:[SPPR_symbolic_full_import_as_DC]], MATCH('השוואת פקטורים'!$B105, 'PPRs inner'!$A$2:$A$108, 0), MATCH('השוואת פקטורים'!P$6, טבלה2[[#Headers],[SPPR_1986]:[SPPR_symbolic_full_import_as_DC]], 0)) / INDEX(טבלה2[[SPPR_1986]:[SPPR_symbolic_full_import_as_DC]], MATCH('השוואת פקטורים'!$B105, 'PPRs inner'!$A$2:$A$108, 0), MATCH('השוואת פקטורים'!O$6, טבלה2[[#Headers],[SPPR_1986]:[SPPR_symbolic_full_import_as_DC]], 0))
)</f>
        <v>1.1615392792570067</v>
      </c>
      <c r="Q105" s="9">
        <f>IF($B$4="סהכ",
INDEX(טבלה1[[SPPR_1986]:[SPPR_symbolic_full_import_as_DC]], MATCH('השוואת פקטורים'!$B105, 'PPRs all'!$A$2:$A$108, 0), MATCH('השוואת פקטורים'!Q$6, טבלה1[[#Headers],[SPPR_1986]:[SPPR_symbolic_full_import_as_DC]], 0)) / INDEX(טבלה1[[SPPR_1986]:[SPPR_symbolic_full_import_as_DC]], MATCH('השוואת פקטורים'!$B105, 'PPRs all'!$A$2:$A$108, 0), MATCH('השוואת פקטורים'!P$6, טבלה1[[#Headers],[SPPR_1986]:[SPPR_symbolic_full_import_as_DC]], 0)),
INDEX(טבלה2[[SPPR_1986]:[SPPR_symbolic_full_import_as_DC]], MATCH('השוואת פקטורים'!$B105, 'PPRs inner'!$A$2:$A$108, 0), MATCH('השוואת פקטורים'!Q$6, טבלה2[[#Headers],[SPPR_1986]:[SPPR_symbolic_full_import_as_DC]], 0)) / INDEX(טבלה2[[SPPR_1986]:[SPPR_symbolic_full_import_as_DC]], MATCH('השוואת פקטורים'!$B105, 'PPRs inner'!$A$2:$A$108, 0), MATCH('השוואת פקטורים'!P$6, טבלה2[[#Headers],[SPPR_1986]:[SPPR_symbolic_full_import_as_DC]], 0))
)</f>
        <v>0.99999999999999822</v>
      </c>
      <c r="R105" s="9">
        <f>IF($B$4="סהכ",
INDEX(טבלה1[[SPPR_1986]:[SPPR_symbolic_full_import_as_DC]], MATCH('השוואת פקטורים'!$B105, 'PPRs all'!$A$2:$A$108, 0), MATCH('השוואת פקטורים'!R$6, טבלה1[[#Headers],[SPPR_1986]:[SPPR_symbolic_full_import_as_DC]], 0)) / INDEX(טבלה1[[SPPR_1986]:[SPPR_symbolic_full_import_as_DC]], MATCH('השוואת פקטורים'!$B105, 'PPRs all'!$A$2:$A$108, 0), MATCH('השוואת פקטורים'!Q$6, טבלה1[[#Headers],[SPPR_1986]:[SPPR_symbolic_full_import_as_DC]], 0)),
INDEX(טבלה2[[SPPR_1986]:[SPPR_symbolic_full_import_as_DC]], MATCH('השוואת פקטורים'!$B105, 'PPRs inner'!$A$2:$A$108, 0), MATCH('השוואת פקטורים'!R$6, טבלה2[[#Headers],[SPPR_1986]:[SPPR_symbolic_full_import_as_DC]], 0)) / INDEX(טבלה2[[SPPR_1986]:[SPPR_symbolic_full_import_as_DC]], MATCH('השוואת פקטורים'!$B105, 'PPRs inner'!$A$2:$A$108, 0), MATCH('השוואת פקטורים'!Q$6, טבלה2[[#Headers],[SPPR_1986]:[SPPR_symbolic_full_import_as_DC]], 0))
)</f>
        <v>1.0001059700480395</v>
      </c>
      <c r="S105" s="9">
        <f>IF($B$4="סהכ",
INDEX(טבלה1[[SPPR_1986]:[SPPR_symbolic_full_import_as_DC]], MATCH('השוואת פקטורים'!$B105, 'PPRs all'!$A$2:$A$108, 0), MATCH('השוואת פקטורים'!S$6, טבלה1[[#Headers],[SPPR_1986]:[SPPR_symbolic_full_import_as_DC]], 0)) / INDEX(טבלה1[[SPPR_1986]:[SPPR_symbolic_full_import_as_DC]], MATCH('השוואת פקטורים'!$B105, 'PPRs all'!$A$2:$A$108, 0), MATCH('השוואת פקטורים'!R$6, טבלה1[[#Headers],[SPPR_1986]:[SPPR_symbolic_full_import_as_DC]], 0)),
INDEX(טבלה2[[SPPR_1986]:[SPPR_symbolic_full_import_as_DC]], MATCH('השוואת פקטורים'!$B105, 'PPRs inner'!$A$2:$A$108, 0), MATCH('השוואת פקטורים'!S$6, טבלה2[[#Headers],[SPPR_1986]:[SPPR_symbolic_full_import_as_DC]], 0)) / INDEX(טבלה2[[SPPR_1986]:[SPPR_symbolic_full_import_as_DC]], MATCH('השוואת פקטורים'!$B105, 'PPRs inner'!$A$2:$A$108, 0), MATCH('השוואת פקטורים'!R$6, טבלה2[[#Headers],[SPPR_1986]:[SPPR_symbolic_full_import_as_DC]], 0))
)</f>
        <v>0.99989404118042169</v>
      </c>
      <c r="T105" s="9">
        <f>IF($B$4="סהכ",
INDEX(טבלה1[[SPPR_1986]:[SPPR_symbolic_full_import_as_DC]], MATCH('השוואת פקטורים'!$B105, 'PPRs all'!$A$2:$A$108, 0), MATCH('השוואת פקטורים'!T$6, טבלה1[[#Headers],[SPPR_1986]:[SPPR_symbolic_full_import_as_DC]], 0)) / INDEX(טבלה1[[SPPR_1986]:[SPPR_symbolic_full_import_as_DC]], MATCH('השוואת פקטורים'!$B105, 'PPRs all'!$A$2:$A$108, 0), MATCH('השוואת פקטורים'!S$6, טבלה1[[#Headers],[SPPR_1986]:[SPPR_symbolic_full_import_as_DC]], 0)),
INDEX(טבלה2[[SPPR_1986]:[SPPR_symbolic_full_import_as_DC]], MATCH('השוואת פקטורים'!$B105, 'PPRs inner'!$A$2:$A$108, 0), MATCH('השוואת פקטורים'!T$6, טבלה2[[#Headers],[SPPR_1986]:[SPPR_symbolic_full_import_as_DC]], 0)) / INDEX(טבלה2[[SPPR_1986]:[SPPR_symbolic_full_import_as_DC]], MATCH('השוואת פקטורים'!$B105, 'PPRs inner'!$A$2:$A$108, 0), MATCH('השוואת פקטורים'!S$6, טבלה2[[#Headers],[SPPR_1986]:[SPPR_symbolic_full_import_as_DC]], 0))
)</f>
        <v>1.0001059700480395</v>
      </c>
      <c r="U105" s="9">
        <f>IF($B$4="סהכ",
INDEX(טבלה1[[SPPR_1986]:[SPPR_symbolic_full_import_as_DC]], MATCH('השוואת פקטורים'!$B105, 'PPRs all'!$A$2:$A$108, 0), MATCH('השוואת פקטורים'!U$6, טבלה1[[#Headers],[SPPR_1986]:[SPPR_symbolic_full_import_as_DC]], 0)) / INDEX(טבלה1[[SPPR_1986]:[SPPR_symbolic_full_import_as_DC]], MATCH('השוואת פקטורים'!$B105, 'PPRs all'!$A$2:$A$108, 0), MATCH('השוואת פקטורים'!T$6, טבלה1[[#Headers],[SPPR_1986]:[SPPR_symbolic_full_import_as_DC]], 0)),
INDEX(טבלה2[[SPPR_1986]:[SPPR_symbolic_full_import_as_DC]], MATCH('השוואת פקטורים'!$B105, 'PPRs inner'!$A$2:$A$108, 0), MATCH('השוואת פקטורים'!U$6, טבלה2[[#Headers],[SPPR_1986]:[SPPR_symbolic_full_import_as_DC]], 0)) / INDEX(טבלה2[[SPPR_1986]:[SPPR_symbolic_full_import_as_DC]], MATCH('השוואת פקטורים'!$B105, 'PPRs inner'!$A$2:$A$108, 0), MATCH('השוואת פקטורים'!T$6, טבלה2[[#Headers],[SPPR_1986]:[SPPR_symbolic_full_import_as_DC]], 0))
)</f>
        <v>0.99989404118042347</v>
      </c>
      <c r="V105" s="9"/>
      <c r="W105" s="9"/>
      <c r="X105" s="14"/>
      <c r="Y105" s="14"/>
      <c r="Z105" s="15">
        <f t="shared" si="6"/>
        <v>0.43041325332022401</v>
      </c>
    </row>
    <row r="106" spans="2:26" x14ac:dyDescent="0.3">
      <c r="B106" s="6" t="s">
        <v>120</v>
      </c>
      <c r="C106" s="12" t="b">
        <v>1</v>
      </c>
      <c r="D106" s="12" t="b">
        <v>1</v>
      </c>
      <c r="E106" s="12" t="b">
        <v>1</v>
      </c>
      <c r="F106" s="12" t="b">
        <f t="shared" si="5"/>
        <v>1</v>
      </c>
      <c r="G106" s="7" t="b">
        <f>ABS(INDEX(טבלה5[[SPPR_1986]:[SPPR_symbolic_full_import_as_DC]],MATCH('השוואת פקטורים'!$B106,טבלה5[עמודה1],0),MATCH($C$4,טבלה5[[#Headers],[SPPR_1986]:[SPPR_symbolic_full_import_as_DC]],0))) &lt; 5</f>
        <v>1</v>
      </c>
      <c r="H106" s="7" t="b">
        <f>INDEX(טבלה3[[SPPR_1986]:[SPPR_symbolic_full_import_as_DC]],MATCH('השוואת פקטורים'!$B106,טבלה3[עמודה1],0),MATCH($C$4,טבלה3[[#Headers],[SPPR_1986]:[SPPR_symbolic_full_import_as_DC]],0))</f>
        <v>1</v>
      </c>
      <c r="I106" s="7" t="b">
        <f t="shared" si="7"/>
        <v>1</v>
      </c>
      <c r="J106" s="13"/>
      <c r="K106" s="9">
        <f>IF($B$4="סהכ",
INDEX(טבלה1[[SPPR_1986]:[SPPR_symbolic_full_import_as_DC]], MATCH('השוואת פקטורים'!$B106, 'PPRs all'!$A$2:$A$108, 0), MATCH('השוואת פקטורים'!K$6, טבלה1[[#Headers],[SPPR_1986]:[SPPR_symbolic_full_import_as_DC]], 0)) / INDEX(טבלה1[[SPPR_1986]:[SPPR_symbolic_full_import_as_DC]], MATCH('השוואת פקטורים'!$B106, 'PPRs all'!$A$2:$A$108, 0), MATCH('השוואת פקטורים'!J$6, טבלה1[[#Headers],[SPPR_1986]:[SPPR_symbolic_full_import_as_DC]], 0)),
INDEX(טבלה2[[SPPR_1986]:[SPPR_symbolic_full_import_as_DC]], MATCH('השוואת פקטורים'!$B106, 'PPRs inner'!$A$2:$A$108, 0), MATCH('השוואת פקטורים'!K$6, טבלה2[[#Headers],[SPPR_1986]:[SPPR_symbolic_full_import_as_DC]], 0)) / INDEX(טבלה2[[SPPR_1986]:[SPPR_symbolic_full_import_as_DC]], MATCH('השוואת פקטורים'!$B106, 'PPRs inner'!$A$2:$A$108, 0), MATCH('השוואת פקטורים'!J$6, טבלה2[[#Headers],[SPPR_1986]:[SPPR_symbolic_full_import_as_DC]], 0))
)</f>
        <v>0.34728647822048436</v>
      </c>
      <c r="L106" s="9">
        <f>IF($B$4="סהכ",
INDEX(טבלה1[[SPPR_1986]:[SPPR_symbolic_full_import_as_DC]], MATCH('השוואת פקטורים'!$B106, 'PPRs all'!$A$2:$A$108, 0), MATCH('השוואת פקטורים'!L$6, טבלה1[[#Headers],[SPPR_1986]:[SPPR_symbolic_full_import_as_DC]], 0)) / INDEX(טבלה1[[SPPR_1986]:[SPPR_symbolic_full_import_as_DC]], MATCH('השוואת פקטורים'!$B106, 'PPRs all'!$A$2:$A$108, 0), MATCH('השוואת פקטורים'!K$6, טבלה1[[#Headers],[SPPR_1986]:[SPPR_symbolic_full_import_as_DC]], 0)),
INDEX(טבלה2[[SPPR_1986]:[SPPR_symbolic_full_import_as_DC]], MATCH('השוואת פקטורים'!$B106, 'PPRs inner'!$A$2:$A$108, 0), MATCH('השוואת פקטורים'!L$6, טבלה2[[#Headers],[SPPR_1986]:[SPPR_symbolic_full_import_as_DC]], 0)) / INDEX(טבלה2[[SPPR_1986]:[SPPR_symbolic_full_import_as_DC]], MATCH('השוואת פקטורים'!$B106, 'PPRs inner'!$A$2:$A$108, 0), MATCH('השוואת פקטורים'!K$6, טבלה2[[#Headers],[SPPR_1986]:[SPPR_symbolic_full_import_as_DC]], 0))
)</f>
        <v>1.957678849150132</v>
      </c>
      <c r="M106" s="9">
        <f>IF($B$4="סהכ",
INDEX(טבלה1[[SPPR_1986]:[SPPR_symbolic_full_import_as_DC]], MATCH('השוואת פקטורים'!$B106, 'PPRs all'!$A$2:$A$108, 0), MATCH('השוואת פקטורים'!M$6, טבלה1[[#Headers],[SPPR_1986]:[SPPR_symbolic_full_import_as_DC]], 0)) / INDEX(טבלה1[[SPPR_1986]:[SPPR_symbolic_full_import_as_DC]], MATCH('השוואת פקטורים'!$B106, 'PPRs all'!$A$2:$A$108, 0), MATCH('השוואת פקטורים'!L$6, טבלה1[[#Headers],[SPPR_1986]:[SPPR_symbolic_full_import_as_DC]], 0)),
INDEX(טבלה2[[SPPR_1986]:[SPPR_symbolic_full_import_as_DC]], MATCH('השוואת פקטורים'!$B106, 'PPRs inner'!$A$2:$A$108, 0), MATCH('השוואת פקטורים'!M$6, טבלה2[[#Headers],[SPPR_1986]:[SPPR_symbolic_full_import_as_DC]], 0)) / INDEX(טבלה2[[SPPR_1986]:[SPPR_symbolic_full_import_as_DC]], MATCH('השוואת פקטורים'!$B106, 'PPRs inner'!$A$2:$A$108, 0), MATCH('השוואת פקטורים'!L$6, טבלה2[[#Headers],[SPPR_1986]:[SPPR_symbolic_full_import_as_DC]], 0))
)</f>
        <v>2.259046411346862</v>
      </c>
      <c r="N106" s="9">
        <f>IF($B$4="סהכ",
INDEX(טבלה1[[SPPR_1986]:[SPPR_symbolic_full_import_as_DC]], MATCH('השוואת פקטורים'!$B106, 'PPRs all'!$A$2:$A$108, 0), MATCH('השוואת פקטורים'!N$6, טבלה1[[#Headers],[SPPR_1986]:[SPPR_symbolic_full_import_as_DC]], 0)) / INDEX(טבלה1[[SPPR_1986]:[SPPR_symbolic_full_import_as_DC]], MATCH('השוואת פקטורים'!$B106, 'PPRs all'!$A$2:$A$108, 0), MATCH('השוואת פקטורים'!M$6, טבלה1[[#Headers],[SPPR_1986]:[SPPR_symbolic_full_import_as_DC]], 0)),
INDEX(טבלה2[[SPPR_1986]:[SPPR_symbolic_full_import_as_DC]], MATCH('השוואת פקטורים'!$B106, 'PPRs inner'!$A$2:$A$108, 0), MATCH('השוואת פקטורים'!N$6, טבלה2[[#Headers],[SPPR_1986]:[SPPR_symbolic_full_import_as_DC]], 0)) / INDEX(טבלה2[[SPPR_1986]:[SPPR_symbolic_full_import_as_DC]], MATCH('השוואת פקטורים'!$B106, 'PPRs inner'!$A$2:$A$108, 0), MATCH('השוואת פקטורים'!M$6, טבלה2[[#Headers],[SPPR_1986]:[SPPR_symbolic_full_import_as_DC]], 0))
)</f>
        <v>1.8652873363011941</v>
      </c>
      <c r="O106" s="9">
        <f>IF($B$4="סהכ",
INDEX(טבלה1[[SPPR_1986]:[SPPR_symbolic_full_import_as_DC]], MATCH('השוואת פקטורים'!$B106, 'PPRs all'!$A$2:$A$108, 0), MATCH('השוואת פקטורים'!O$6, טבלה1[[#Headers],[SPPR_1986]:[SPPR_symbolic_full_import_as_DC]], 0)) / INDEX(טבלה1[[SPPR_1986]:[SPPR_symbolic_full_import_as_DC]], MATCH('השוואת פקטורים'!$B106, 'PPRs all'!$A$2:$A$108, 0), MATCH('השוואת פקטורים'!N$6, טבלה1[[#Headers],[SPPR_1986]:[SPPR_symbolic_full_import_as_DC]], 0)),
INDEX(טבלה2[[SPPR_1986]:[SPPR_symbolic_full_import_as_DC]], MATCH('השוואת פקטורים'!$B106, 'PPRs inner'!$A$2:$A$108, 0), MATCH('השוואת פקטורים'!O$6, טבלה2[[#Headers],[SPPR_1986]:[SPPR_symbolic_full_import_as_DC]], 0)) / INDEX(טבלה2[[SPPR_1986]:[SPPR_symbolic_full_import_as_DC]], MATCH('השוואת פקטורים'!$B106, 'PPRs inner'!$A$2:$A$108, 0), MATCH('השוואת פקטורים'!N$6, טבלה2[[#Headers],[SPPR_1986]:[SPPR_symbolic_full_import_as_DC]], 0))
)</f>
        <v>1.0000000000000198</v>
      </c>
      <c r="P106" s="9">
        <f>IF($B$4="סהכ",
INDEX(טבלה1[[SPPR_1986]:[SPPR_symbolic_full_import_as_DC]], MATCH('השוואת פקטורים'!$B106, 'PPRs all'!$A$2:$A$108, 0), MATCH('השוואת פקטורים'!P$6, טבלה1[[#Headers],[SPPR_1986]:[SPPR_symbolic_full_import_as_DC]], 0)) / INDEX(טבלה1[[SPPR_1986]:[SPPR_symbolic_full_import_as_DC]], MATCH('השוואת פקטורים'!$B106, 'PPRs all'!$A$2:$A$108, 0), MATCH('השוואת פקטורים'!O$6, טבלה1[[#Headers],[SPPR_1986]:[SPPR_symbolic_full_import_as_DC]], 0)),
INDEX(טבלה2[[SPPR_1986]:[SPPR_symbolic_full_import_as_DC]], MATCH('השוואת פקטורים'!$B106, 'PPRs inner'!$A$2:$A$108, 0), MATCH('השוואת פקטורים'!P$6, טבלה2[[#Headers],[SPPR_1986]:[SPPR_symbolic_full_import_as_DC]], 0)) / INDEX(טבלה2[[SPPR_1986]:[SPPR_symbolic_full_import_as_DC]], MATCH('השוואת פקטורים'!$B106, 'PPRs inner'!$A$2:$A$108, 0), MATCH('השוואת פקטורים'!O$6, טבלה2[[#Headers],[SPPR_1986]:[SPPR_symbolic_full_import_as_DC]], 0))
)</f>
        <v>0.26945496940942276</v>
      </c>
      <c r="Q106" s="9">
        <f>IF($B$4="סהכ",
INDEX(טבלה1[[SPPR_1986]:[SPPR_symbolic_full_import_as_DC]], MATCH('השוואת פקטורים'!$B106, 'PPRs all'!$A$2:$A$108, 0), MATCH('השוואת פקטורים'!Q$6, טבלה1[[#Headers],[SPPR_1986]:[SPPR_symbolic_full_import_as_DC]], 0)) / INDEX(טבלה1[[SPPR_1986]:[SPPR_symbolic_full_import_as_DC]], MATCH('השוואת פקטורים'!$B106, 'PPRs all'!$A$2:$A$108, 0), MATCH('השוואת פקטורים'!P$6, טבלה1[[#Headers],[SPPR_1986]:[SPPR_symbolic_full_import_as_DC]], 0)),
INDEX(טבלה2[[SPPR_1986]:[SPPR_symbolic_full_import_as_DC]], MATCH('השוואת פקטורים'!$B106, 'PPRs inner'!$A$2:$A$108, 0), MATCH('השוואת פקטורים'!Q$6, טבלה2[[#Headers],[SPPR_1986]:[SPPR_symbolic_full_import_as_DC]], 0)) / INDEX(טבלה2[[SPPR_1986]:[SPPR_symbolic_full_import_as_DC]], MATCH('השוואת פקטורים'!$B106, 'PPRs inner'!$A$2:$A$108, 0), MATCH('השוואת פקטורים'!P$6, טבלה2[[#Headers],[SPPR_1986]:[SPPR_symbolic_full_import_as_DC]], 0))
)</f>
        <v>0.99999999999999911</v>
      </c>
      <c r="R106" s="9">
        <f>IF($B$4="סהכ",
INDEX(טבלה1[[SPPR_1986]:[SPPR_symbolic_full_import_as_DC]], MATCH('השוואת פקטורים'!$B106, 'PPRs all'!$A$2:$A$108, 0), MATCH('השוואת פקטורים'!R$6, טבלה1[[#Headers],[SPPR_1986]:[SPPR_symbolic_full_import_as_DC]], 0)) / INDEX(טבלה1[[SPPR_1986]:[SPPR_symbolic_full_import_as_DC]], MATCH('השוואת פקטורים'!$B106, 'PPRs all'!$A$2:$A$108, 0), MATCH('השוואת פקטורים'!Q$6, טבלה1[[#Headers],[SPPR_1986]:[SPPR_symbolic_full_import_as_DC]], 0)),
INDEX(טבלה2[[SPPR_1986]:[SPPR_symbolic_full_import_as_DC]], MATCH('השוואת פקטורים'!$B106, 'PPRs inner'!$A$2:$A$108, 0), MATCH('השוואת פקטורים'!R$6, טבלה2[[#Headers],[SPPR_1986]:[SPPR_symbolic_full_import_as_DC]], 0)) / INDEX(טבלה2[[SPPR_1986]:[SPPR_symbolic_full_import_as_DC]], MATCH('השוואת פקטורים'!$B106, 'PPRs inner'!$A$2:$A$108, 0), MATCH('השוואת פקטורים'!Q$6, טבלה2[[#Headers],[SPPR_1986]:[SPPR_symbolic_full_import_as_DC]], 0))
)</f>
        <v>1</v>
      </c>
      <c r="S106" s="9">
        <f>IF($B$4="סהכ",
INDEX(טבלה1[[SPPR_1986]:[SPPR_symbolic_full_import_as_DC]], MATCH('השוואת פקטורים'!$B106, 'PPRs all'!$A$2:$A$108, 0), MATCH('השוואת פקטורים'!S$6, טבלה1[[#Headers],[SPPR_1986]:[SPPR_symbolic_full_import_as_DC]], 0)) / INDEX(טבלה1[[SPPR_1986]:[SPPR_symbolic_full_import_as_DC]], MATCH('השוואת פקטורים'!$B106, 'PPRs all'!$A$2:$A$108, 0), MATCH('השוואת פקטורים'!R$6, טבלה1[[#Headers],[SPPR_1986]:[SPPR_symbolic_full_import_as_DC]], 0)),
INDEX(טבלה2[[SPPR_1986]:[SPPR_symbolic_full_import_as_DC]], MATCH('השוואת פקטורים'!$B106, 'PPRs inner'!$A$2:$A$108, 0), MATCH('השוואת פקטורים'!S$6, טבלה2[[#Headers],[SPPR_1986]:[SPPR_symbolic_full_import_as_DC]], 0)) / INDEX(טבלה2[[SPPR_1986]:[SPPR_symbolic_full_import_as_DC]], MATCH('השוואת פקטורים'!$B106, 'PPRs inner'!$A$2:$A$108, 0), MATCH('השוואת פקטורים'!R$6, טבלה2[[#Headers],[SPPR_1986]:[SPPR_symbolic_full_import_as_DC]], 0))
)</f>
        <v>1</v>
      </c>
      <c r="T106" s="9">
        <f>IF($B$4="סהכ",
INDEX(טבלה1[[SPPR_1986]:[SPPR_symbolic_full_import_as_DC]], MATCH('השוואת פקטורים'!$B106, 'PPRs all'!$A$2:$A$108, 0), MATCH('השוואת פקטורים'!T$6, טבלה1[[#Headers],[SPPR_1986]:[SPPR_symbolic_full_import_as_DC]], 0)) / INDEX(טבלה1[[SPPR_1986]:[SPPR_symbolic_full_import_as_DC]], MATCH('השוואת פקטורים'!$B106, 'PPRs all'!$A$2:$A$108, 0), MATCH('השוואת פקטורים'!S$6, טבלה1[[#Headers],[SPPR_1986]:[SPPR_symbolic_full_import_as_DC]], 0)),
INDEX(טבלה2[[SPPR_1986]:[SPPR_symbolic_full_import_as_DC]], MATCH('השוואת פקטורים'!$B106, 'PPRs inner'!$A$2:$A$108, 0), MATCH('השוואת פקטורים'!T$6, טבלה2[[#Headers],[SPPR_1986]:[SPPR_symbolic_full_import_as_DC]], 0)) / INDEX(טבלה2[[SPPR_1986]:[SPPR_symbolic_full_import_as_DC]], MATCH('השוואת פקטורים'!$B106, 'PPRs inner'!$A$2:$A$108, 0), MATCH('השוואת פקטורים'!S$6, טבלה2[[#Headers],[SPPR_1986]:[SPPR_symbolic_full_import_as_DC]], 0))
)</f>
        <v>1</v>
      </c>
      <c r="U106" s="9">
        <f>IF($B$4="סהכ",
INDEX(טבלה1[[SPPR_1986]:[SPPR_symbolic_full_import_as_DC]], MATCH('השוואת פקטורים'!$B106, 'PPRs all'!$A$2:$A$108, 0), MATCH('השוואת פקטורים'!U$6, טבלה1[[#Headers],[SPPR_1986]:[SPPR_symbolic_full_import_as_DC]], 0)) / INDEX(טבלה1[[SPPR_1986]:[SPPR_symbolic_full_import_as_DC]], MATCH('השוואת פקטורים'!$B106, 'PPRs all'!$A$2:$A$108, 0), MATCH('השוואת פקטורים'!T$6, טבלה1[[#Headers],[SPPR_1986]:[SPPR_symbolic_full_import_as_DC]], 0)),
INDEX(טבלה2[[SPPR_1986]:[SPPR_symbolic_full_import_as_DC]], MATCH('השוואת פקטורים'!$B106, 'PPRs inner'!$A$2:$A$108, 0), MATCH('השוואת פקטורים'!U$6, טבלה2[[#Headers],[SPPR_1986]:[SPPR_symbolic_full_import_as_DC]], 0)) / INDEX(טבלה2[[SPPR_1986]:[SPPR_symbolic_full_import_as_DC]], MATCH('השוואת פקטורים'!$B106, 'PPRs inner'!$A$2:$A$108, 0), MATCH('השוואת פקטורים'!T$6, טבלה2[[#Headers],[SPPR_1986]:[SPPR_symbolic_full_import_as_DC]], 0))
)</f>
        <v>1.0000000000000009</v>
      </c>
      <c r="V106" s="9"/>
      <c r="W106" s="9"/>
      <c r="X106" s="14"/>
      <c r="Y106" s="14"/>
      <c r="Z106" s="15">
        <f t="shared" si="6"/>
        <v>0.77194510125213056</v>
      </c>
    </row>
    <row r="107" spans="2:26" x14ac:dyDescent="0.3">
      <c r="B107" s="6" t="s">
        <v>121</v>
      </c>
      <c r="C107" s="12" t="b">
        <v>1</v>
      </c>
      <c r="D107" s="12" t="b">
        <v>1</v>
      </c>
      <c r="E107" s="12" t="b">
        <v>1</v>
      </c>
      <c r="F107" s="12" t="b">
        <f t="shared" si="5"/>
        <v>1</v>
      </c>
      <c r="G107" s="7" t="b">
        <f>ABS(INDEX(טבלה5[[SPPR_1986]:[SPPR_symbolic_full_import_as_DC]],MATCH('השוואת פקטורים'!$B107,טבלה5[עמודה1],0),MATCH($C$4,טבלה5[[#Headers],[SPPR_1986]:[SPPR_symbolic_full_import_as_DC]],0))) &lt; 5</f>
        <v>1</v>
      </c>
      <c r="H107" s="7" t="b">
        <f>INDEX(טבלה3[[SPPR_1986]:[SPPR_symbolic_full_import_as_DC]],MATCH('השוואת פקטורים'!$B107,טבלה3[עמודה1],0),MATCH($C$4,טבלה3[[#Headers],[SPPR_1986]:[SPPR_symbolic_full_import_as_DC]],0))</f>
        <v>1</v>
      </c>
      <c r="I107" s="7" t="b">
        <f t="shared" si="7"/>
        <v>1</v>
      </c>
      <c r="J107" s="13"/>
      <c r="K107" s="9">
        <f>IF($B$4="סהכ",
INDEX(טבלה1[[SPPR_1986]:[SPPR_symbolic_full_import_as_DC]], MATCH('השוואת פקטורים'!$B107, 'PPRs all'!$A$2:$A$108, 0), MATCH('השוואת פקטורים'!K$6, טבלה1[[#Headers],[SPPR_1986]:[SPPR_symbolic_full_import_as_DC]], 0)) / INDEX(טבלה1[[SPPR_1986]:[SPPR_symbolic_full_import_as_DC]], MATCH('השוואת פקטורים'!$B107, 'PPRs all'!$A$2:$A$108, 0), MATCH('השוואת פקטורים'!J$6, טבלה1[[#Headers],[SPPR_1986]:[SPPR_symbolic_full_import_as_DC]], 0)),
INDEX(טבלה2[[SPPR_1986]:[SPPR_symbolic_full_import_as_DC]], MATCH('השוואת פקטורים'!$B107, 'PPRs inner'!$A$2:$A$108, 0), MATCH('השוואת פקטורים'!K$6, טבלה2[[#Headers],[SPPR_1986]:[SPPR_symbolic_full_import_as_DC]], 0)) / INDEX(טבלה2[[SPPR_1986]:[SPPR_symbolic_full_import_as_DC]], MATCH('השוואת פקטורים'!$B107, 'PPRs inner'!$A$2:$A$108, 0), MATCH('השוואת פקטורים'!J$6, טבלה2[[#Headers],[SPPR_1986]:[SPPR_symbolic_full_import_as_DC]], 0))
)</f>
        <v>0.57297625666495966</v>
      </c>
      <c r="L107" s="9">
        <f>IF($B$4="סהכ",
INDEX(טבלה1[[SPPR_1986]:[SPPR_symbolic_full_import_as_DC]], MATCH('השוואת פקטורים'!$B107, 'PPRs all'!$A$2:$A$108, 0), MATCH('השוואת פקטורים'!L$6, טבלה1[[#Headers],[SPPR_1986]:[SPPR_symbolic_full_import_as_DC]], 0)) / INDEX(טבלה1[[SPPR_1986]:[SPPR_symbolic_full_import_as_DC]], MATCH('השוואת פקטורים'!$B107, 'PPRs all'!$A$2:$A$108, 0), MATCH('השוואת פקטורים'!K$6, טבלה1[[#Headers],[SPPR_1986]:[SPPR_symbolic_full_import_as_DC]], 0)),
INDEX(טבלה2[[SPPR_1986]:[SPPR_symbolic_full_import_as_DC]], MATCH('השוואת פקטורים'!$B107, 'PPRs inner'!$A$2:$A$108, 0), MATCH('השוואת פקטורים'!L$6, טבלה2[[#Headers],[SPPR_1986]:[SPPR_symbolic_full_import_as_DC]], 0)) / INDEX(טבלה2[[SPPR_1986]:[SPPR_symbolic_full_import_as_DC]], MATCH('השוואת פקטורים'!$B107, 'PPRs inner'!$A$2:$A$108, 0), MATCH('השוואת פקטורים'!K$6, טבלה2[[#Headers],[SPPR_1986]:[SPPR_symbolic_full_import_as_DC]], 0))
)</f>
        <v>3.6696721070071061</v>
      </c>
      <c r="M107" s="9">
        <f>IF($B$4="סהכ",
INDEX(טבלה1[[SPPR_1986]:[SPPR_symbolic_full_import_as_DC]], MATCH('השוואת פקטורים'!$B107, 'PPRs all'!$A$2:$A$108, 0), MATCH('השוואת פקטורים'!M$6, טבלה1[[#Headers],[SPPR_1986]:[SPPR_symbolic_full_import_as_DC]], 0)) / INDEX(טבלה1[[SPPR_1986]:[SPPR_symbolic_full_import_as_DC]], MATCH('השוואת פקטורים'!$B107, 'PPRs all'!$A$2:$A$108, 0), MATCH('השוואת פקטורים'!L$6, טבלה1[[#Headers],[SPPR_1986]:[SPPR_symbolic_full_import_as_DC]], 0)),
INDEX(טבלה2[[SPPR_1986]:[SPPR_symbolic_full_import_as_DC]], MATCH('השוואת פקטורים'!$B107, 'PPRs inner'!$A$2:$A$108, 0), MATCH('השוואת פקטורים'!M$6, טבלה2[[#Headers],[SPPR_1986]:[SPPR_symbolic_full_import_as_DC]], 0)) / INDEX(טבלה2[[SPPR_1986]:[SPPR_symbolic_full_import_as_DC]], MATCH('השוואת פקטורים'!$B107, 'PPRs inner'!$A$2:$A$108, 0), MATCH('השוואת פקטורים'!L$6, טבלה2[[#Headers],[SPPR_1986]:[SPPR_symbolic_full_import_as_DC]], 0))
)</f>
        <v>0.72143462923161106</v>
      </c>
      <c r="N107" s="9">
        <f>IF($B$4="סהכ",
INDEX(טבלה1[[SPPR_1986]:[SPPR_symbolic_full_import_as_DC]], MATCH('השוואת פקטורים'!$B107, 'PPRs all'!$A$2:$A$108, 0), MATCH('השוואת פקטורים'!N$6, טבלה1[[#Headers],[SPPR_1986]:[SPPR_symbolic_full_import_as_DC]], 0)) / INDEX(טבלה1[[SPPR_1986]:[SPPR_symbolic_full_import_as_DC]], MATCH('השוואת פקטורים'!$B107, 'PPRs all'!$A$2:$A$108, 0), MATCH('השוואת פקטורים'!M$6, טבלה1[[#Headers],[SPPR_1986]:[SPPR_symbolic_full_import_as_DC]], 0)),
INDEX(טבלה2[[SPPR_1986]:[SPPR_symbolic_full_import_as_DC]], MATCH('השוואת פקטורים'!$B107, 'PPRs inner'!$A$2:$A$108, 0), MATCH('השוואת פקטורים'!N$6, טבלה2[[#Headers],[SPPR_1986]:[SPPR_symbolic_full_import_as_DC]], 0)) / INDEX(טבלה2[[SPPR_1986]:[SPPR_symbolic_full_import_as_DC]], MATCH('השוואת פקטורים'!$B107, 'PPRs inner'!$A$2:$A$108, 0), MATCH('השוואת פקטורים'!M$6, טבלה2[[#Headers],[SPPR_1986]:[SPPR_symbolic_full_import_as_DC]], 0))
)</f>
        <v>0.29725752235269692</v>
      </c>
      <c r="O107" s="9">
        <f>IF($B$4="סהכ",
INDEX(טבלה1[[SPPR_1986]:[SPPR_symbolic_full_import_as_DC]], MATCH('השוואת פקטורים'!$B107, 'PPRs all'!$A$2:$A$108, 0), MATCH('השוואת פקטורים'!O$6, טבלה1[[#Headers],[SPPR_1986]:[SPPR_symbolic_full_import_as_DC]], 0)) / INDEX(טבלה1[[SPPR_1986]:[SPPR_symbolic_full_import_as_DC]], MATCH('השוואת פקטורים'!$B107, 'PPRs all'!$A$2:$A$108, 0), MATCH('השוואת פקטורים'!N$6, טבלה1[[#Headers],[SPPR_1986]:[SPPR_symbolic_full_import_as_DC]], 0)),
INDEX(טבלה2[[SPPR_1986]:[SPPR_symbolic_full_import_as_DC]], MATCH('השוואת פקטורים'!$B107, 'PPRs inner'!$A$2:$A$108, 0), MATCH('השוואת פקטורים'!O$6, טבלה2[[#Headers],[SPPR_1986]:[SPPR_symbolic_full_import_as_DC]], 0)) / INDEX(טבלה2[[SPPR_1986]:[SPPR_symbolic_full_import_as_DC]], MATCH('השוואת פקטורים'!$B107, 'PPRs inner'!$A$2:$A$108, 0), MATCH('השוואת פקטורים'!N$6, טבלה2[[#Headers],[SPPR_1986]:[SPPR_symbolic_full_import_as_DC]], 0))
)</f>
        <v>0.99999999999999989</v>
      </c>
      <c r="P107" s="9">
        <f>IF($B$4="סהכ",
INDEX(טבלה1[[SPPR_1986]:[SPPR_symbolic_full_import_as_DC]], MATCH('השוואת פקטורים'!$B107, 'PPRs all'!$A$2:$A$108, 0), MATCH('השוואת פקטורים'!P$6, טבלה1[[#Headers],[SPPR_1986]:[SPPR_symbolic_full_import_as_DC]], 0)) / INDEX(טבלה1[[SPPR_1986]:[SPPR_symbolic_full_import_as_DC]], MATCH('השוואת פקטורים'!$B107, 'PPRs all'!$A$2:$A$108, 0), MATCH('השוואת פקטורים'!O$6, טבלה1[[#Headers],[SPPR_1986]:[SPPR_symbolic_full_import_as_DC]], 0)),
INDEX(טבלה2[[SPPR_1986]:[SPPR_symbolic_full_import_as_DC]], MATCH('השוואת פקטורים'!$B107, 'PPRs inner'!$A$2:$A$108, 0), MATCH('השוואת פקטורים'!P$6, טבלה2[[#Headers],[SPPR_1986]:[SPPR_symbolic_full_import_as_DC]], 0)) / INDEX(טבלה2[[SPPR_1986]:[SPPR_symbolic_full_import_as_DC]], MATCH('השוואת פקטורים'!$B107, 'PPRs inner'!$A$2:$A$108, 0), MATCH('השוואת פקטורים'!O$6, טבלה2[[#Headers],[SPPR_1986]:[SPPR_symbolic_full_import_as_DC]], 0))
)</f>
        <v>1.5370997022446613</v>
      </c>
      <c r="Q107" s="9">
        <f>IF($B$4="סהכ",
INDEX(טבלה1[[SPPR_1986]:[SPPR_symbolic_full_import_as_DC]], MATCH('השוואת פקטורים'!$B107, 'PPRs all'!$A$2:$A$108, 0), MATCH('השוואת פקטורים'!Q$6, טבלה1[[#Headers],[SPPR_1986]:[SPPR_symbolic_full_import_as_DC]], 0)) / INDEX(טבלה1[[SPPR_1986]:[SPPR_symbolic_full_import_as_DC]], MATCH('השוואת פקטורים'!$B107, 'PPRs all'!$A$2:$A$108, 0), MATCH('השוואת פקטורים'!P$6, טבלה1[[#Headers],[SPPR_1986]:[SPPR_symbolic_full_import_as_DC]], 0)),
INDEX(טבלה2[[SPPR_1986]:[SPPR_symbolic_full_import_as_DC]], MATCH('השוואת פקטורים'!$B107, 'PPRs inner'!$A$2:$A$108, 0), MATCH('השוואת פקטורים'!Q$6, טבלה2[[#Headers],[SPPR_1986]:[SPPR_symbolic_full_import_as_DC]], 0)) / INDEX(טבלה2[[SPPR_1986]:[SPPR_symbolic_full_import_as_DC]], MATCH('השוואת פקטורים'!$B107, 'PPRs inner'!$A$2:$A$108, 0), MATCH('השוואת פקטורים'!P$6, טבלה2[[#Headers],[SPPR_1986]:[SPPR_symbolic_full_import_as_DC]], 0))
)</f>
        <v>1.0000000000000016</v>
      </c>
      <c r="R107" s="9">
        <f>IF($B$4="סהכ",
INDEX(טבלה1[[SPPR_1986]:[SPPR_symbolic_full_import_as_DC]], MATCH('השוואת פקטורים'!$B107, 'PPRs all'!$A$2:$A$108, 0), MATCH('השוואת פקטורים'!R$6, טבלה1[[#Headers],[SPPR_1986]:[SPPR_symbolic_full_import_as_DC]], 0)) / INDEX(טבלה1[[SPPR_1986]:[SPPR_symbolic_full_import_as_DC]], MATCH('השוואת פקטורים'!$B107, 'PPRs all'!$A$2:$A$108, 0), MATCH('השוואת פקטורים'!Q$6, טבלה1[[#Headers],[SPPR_1986]:[SPPR_symbolic_full_import_as_DC]], 0)),
INDEX(טבלה2[[SPPR_1986]:[SPPR_symbolic_full_import_as_DC]], MATCH('השוואת פקטורים'!$B107, 'PPRs inner'!$A$2:$A$108, 0), MATCH('השוואת פקטורים'!R$6, טבלה2[[#Headers],[SPPR_1986]:[SPPR_symbolic_full_import_as_DC]], 0)) / INDEX(טבלה2[[SPPR_1986]:[SPPR_symbolic_full_import_as_DC]], MATCH('השוואת פקטורים'!$B107, 'PPRs inner'!$A$2:$A$108, 0), MATCH('השוואת פקטורים'!Q$6, טבלה2[[#Headers],[SPPR_1986]:[SPPR_symbolic_full_import_as_DC]], 0))
)</f>
        <v>1</v>
      </c>
      <c r="S107" s="9">
        <f>IF($B$4="סהכ",
INDEX(טבלה1[[SPPR_1986]:[SPPR_symbolic_full_import_as_DC]], MATCH('השוואת פקטורים'!$B107, 'PPRs all'!$A$2:$A$108, 0), MATCH('השוואת פקטורים'!S$6, טבלה1[[#Headers],[SPPR_1986]:[SPPR_symbolic_full_import_as_DC]], 0)) / INDEX(טבלה1[[SPPR_1986]:[SPPR_symbolic_full_import_as_DC]], MATCH('השוואת פקטורים'!$B107, 'PPRs all'!$A$2:$A$108, 0), MATCH('השוואת פקטורים'!R$6, טבלה1[[#Headers],[SPPR_1986]:[SPPR_symbolic_full_import_as_DC]], 0)),
INDEX(טבלה2[[SPPR_1986]:[SPPR_symbolic_full_import_as_DC]], MATCH('השוואת פקטורים'!$B107, 'PPRs inner'!$A$2:$A$108, 0), MATCH('השוואת פקטורים'!S$6, טבלה2[[#Headers],[SPPR_1986]:[SPPR_symbolic_full_import_as_DC]], 0)) / INDEX(טבלה2[[SPPR_1986]:[SPPR_symbolic_full_import_as_DC]], MATCH('השוואת פקטורים'!$B107, 'PPRs inner'!$A$2:$A$108, 0), MATCH('השוואת פקטורים'!R$6, טבלה2[[#Headers],[SPPR_1986]:[SPPR_symbolic_full_import_as_DC]], 0))
)</f>
        <v>1</v>
      </c>
      <c r="T107" s="9">
        <f>IF($B$4="סהכ",
INDEX(טבלה1[[SPPR_1986]:[SPPR_symbolic_full_import_as_DC]], MATCH('השוואת פקטורים'!$B107, 'PPRs all'!$A$2:$A$108, 0), MATCH('השוואת פקטורים'!T$6, טבלה1[[#Headers],[SPPR_1986]:[SPPR_symbolic_full_import_as_DC]], 0)) / INDEX(טבלה1[[SPPR_1986]:[SPPR_symbolic_full_import_as_DC]], MATCH('השוואת פקטורים'!$B107, 'PPRs all'!$A$2:$A$108, 0), MATCH('השוואת פקטורים'!S$6, טבלה1[[#Headers],[SPPR_1986]:[SPPR_symbolic_full_import_as_DC]], 0)),
INDEX(טבלה2[[SPPR_1986]:[SPPR_symbolic_full_import_as_DC]], MATCH('השוואת פקטורים'!$B107, 'PPRs inner'!$A$2:$A$108, 0), MATCH('השוואת פקטורים'!T$6, טבלה2[[#Headers],[SPPR_1986]:[SPPR_symbolic_full_import_as_DC]], 0)) / INDEX(טבלה2[[SPPR_1986]:[SPPR_symbolic_full_import_as_DC]], MATCH('השוואת פקטורים'!$B107, 'PPRs inner'!$A$2:$A$108, 0), MATCH('השוואת פקטורים'!S$6, טבלה2[[#Headers],[SPPR_1986]:[SPPR_symbolic_full_import_as_DC]], 0))
)</f>
        <v>1</v>
      </c>
      <c r="U107" s="9">
        <f>IF($B$4="סהכ",
INDEX(טבלה1[[SPPR_1986]:[SPPR_symbolic_full_import_as_DC]], MATCH('השוואת פקטורים'!$B107, 'PPRs all'!$A$2:$A$108, 0), MATCH('השוואת פקטורים'!U$6, טבלה1[[#Headers],[SPPR_1986]:[SPPR_symbolic_full_import_as_DC]], 0)) / INDEX(טבלה1[[SPPR_1986]:[SPPR_symbolic_full_import_as_DC]], MATCH('השוואת פקטורים'!$B107, 'PPRs all'!$A$2:$A$108, 0), MATCH('השוואת פקטורים'!T$6, טבלה1[[#Headers],[SPPR_1986]:[SPPR_symbolic_full_import_as_DC]], 0)),
INDEX(טבלה2[[SPPR_1986]:[SPPR_symbolic_full_import_as_DC]], MATCH('השוואת פקטורים'!$B107, 'PPRs inner'!$A$2:$A$108, 0), MATCH('השוואת פקטורים'!U$6, טבלה2[[#Headers],[SPPR_1986]:[SPPR_symbolic_full_import_as_DC]], 0)) / INDEX(טבלה2[[SPPR_1986]:[SPPR_symbolic_full_import_as_DC]], MATCH('השוואת פקטורים'!$B107, 'PPRs inner'!$A$2:$A$108, 0), MATCH('השוואת פקטורים'!T$6, טבלה2[[#Headers],[SPPR_1986]:[SPPR_symbolic_full_import_as_DC]], 0))
)</f>
        <v>0.99999999999999833</v>
      </c>
      <c r="V107" s="9"/>
      <c r="W107" s="9"/>
      <c r="X107" s="14"/>
      <c r="Y107" s="14"/>
      <c r="Z107" s="15">
        <f t="shared" si="6"/>
        <v>0.69309978404675676</v>
      </c>
    </row>
    <row r="108" spans="2:26" x14ac:dyDescent="0.3">
      <c r="B108" s="6" t="s">
        <v>122</v>
      </c>
      <c r="C108" s="12" t="b">
        <v>1</v>
      </c>
      <c r="D108" s="12" t="b">
        <v>0</v>
      </c>
      <c r="E108" s="12" t="b">
        <v>1</v>
      </c>
      <c r="F108" s="12" t="b">
        <f t="shared" si="5"/>
        <v>0</v>
      </c>
      <c r="G108" s="7" t="b">
        <f>ABS(INDEX(טבלה5[[SPPR_1986]:[SPPR_symbolic_full_import_as_DC]],MATCH('השוואת פקטורים'!$B108,טבלה5[עמודה1],0),MATCH($C$4,טבלה5[[#Headers],[SPPR_1986]:[SPPR_symbolic_full_import_as_DC]],0))) &lt; 5</f>
        <v>1</v>
      </c>
      <c r="H108" s="7" t="b">
        <f>INDEX(טבלה3[[SPPR_1986]:[SPPR_symbolic_full_import_as_DC]],MATCH('השוואת פקטורים'!$B108,טבלה3[עמודה1],0),MATCH($C$4,טבלה3[[#Headers],[SPPR_1986]:[SPPR_symbolic_full_import_as_DC]],0))</f>
        <v>1</v>
      </c>
      <c r="I108" s="7" t="b">
        <f t="shared" si="7"/>
        <v>0</v>
      </c>
      <c r="J108" s="13"/>
      <c r="K108" s="9">
        <f>IF($B$4="סהכ",
INDEX(טבלה1[[SPPR_1986]:[SPPR_symbolic_full_import_as_DC]], MATCH('השוואת פקטורים'!$B108, 'PPRs all'!$A$2:$A$108, 0), MATCH('השוואת פקטורים'!K$6, טבלה1[[#Headers],[SPPR_1986]:[SPPR_symbolic_full_import_as_DC]], 0)) / INDEX(טבלה1[[SPPR_1986]:[SPPR_symbolic_full_import_as_DC]], MATCH('השוואת פקטורים'!$B108, 'PPRs all'!$A$2:$A$108, 0), MATCH('השוואת פקטורים'!J$6, טבלה1[[#Headers],[SPPR_1986]:[SPPR_symbolic_full_import_as_DC]], 0)),
INDEX(טבלה2[[SPPR_1986]:[SPPR_symbolic_full_import_as_DC]], MATCH('השוואת פקטורים'!$B108, 'PPRs inner'!$A$2:$A$108, 0), MATCH('השוואת פקטורים'!K$6, טבלה2[[#Headers],[SPPR_1986]:[SPPR_symbolic_full_import_as_DC]], 0)) / INDEX(טבלה2[[SPPR_1986]:[SPPR_symbolic_full_import_as_DC]], MATCH('השוואת פקטורים'!$B108, 'PPRs inner'!$A$2:$A$108, 0), MATCH('השוואת פקטורים'!J$6, טבלה2[[#Headers],[SPPR_1986]:[SPPR_symbolic_full_import_as_DC]], 0))
)</f>
        <v>0.4475920642052435</v>
      </c>
      <c r="L108" s="9">
        <f>IF($B$4="סהכ",
INDEX(טבלה1[[SPPR_1986]:[SPPR_symbolic_full_import_as_DC]], MATCH('השוואת פקטורים'!$B108, 'PPRs all'!$A$2:$A$108, 0), MATCH('השוואת פקטורים'!L$6, טבלה1[[#Headers],[SPPR_1986]:[SPPR_symbolic_full_import_as_DC]], 0)) / INDEX(טבלה1[[SPPR_1986]:[SPPR_symbolic_full_import_as_DC]], MATCH('השוואת פקטורים'!$B108, 'PPRs all'!$A$2:$A$108, 0), MATCH('השוואת פקטורים'!K$6, טבלה1[[#Headers],[SPPR_1986]:[SPPR_symbolic_full_import_as_DC]], 0)),
INDEX(טבלה2[[SPPR_1986]:[SPPR_symbolic_full_import_as_DC]], MATCH('השוואת פקטורים'!$B108, 'PPRs inner'!$A$2:$A$108, 0), MATCH('השוואת פקטורים'!L$6, טבלה2[[#Headers],[SPPR_1986]:[SPPR_symbolic_full_import_as_DC]], 0)) / INDEX(טבלה2[[SPPR_1986]:[SPPR_symbolic_full_import_as_DC]], MATCH('השוואת פקטורים'!$B108, 'PPRs inner'!$A$2:$A$108, 0), MATCH('השוואת פקטורים'!K$6, טבלה2[[#Headers],[SPPR_1986]:[SPPR_symbolic_full_import_as_DC]], 0))
)</f>
        <v>1.643646624353182</v>
      </c>
      <c r="M108" s="9">
        <f>IF($B$4="סהכ",
INDEX(טבלה1[[SPPR_1986]:[SPPR_symbolic_full_import_as_DC]], MATCH('השוואת פקטורים'!$B108, 'PPRs all'!$A$2:$A$108, 0), MATCH('השוואת פקטורים'!M$6, טבלה1[[#Headers],[SPPR_1986]:[SPPR_symbolic_full_import_as_DC]], 0)) / INDEX(טבלה1[[SPPR_1986]:[SPPR_symbolic_full_import_as_DC]], MATCH('השוואת פקטורים'!$B108, 'PPRs all'!$A$2:$A$108, 0), MATCH('השוואת פקטורים'!L$6, טבלה1[[#Headers],[SPPR_1986]:[SPPR_symbolic_full_import_as_DC]], 0)),
INDEX(טבלה2[[SPPR_1986]:[SPPR_symbolic_full_import_as_DC]], MATCH('השוואת פקטורים'!$B108, 'PPRs inner'!$A$2:$A$108, 0), MATCH('השוואת פקטורים'!M$6, טבלה2[[#Headers],[SPPR_1986]:[SPPR_symbolic_full_import_as_DC]], 0)) / INDEX(טבלה2[[SPPR_1986]:[SPPR_symbolic_full_import_as_DC]], MATCH('השוואת פקטורים'!$B108, 'PPRs inner'!$A$2:$A$108, 0), MATCH('השוואת פקטורים'!L$6, טבלה2[[#Headers],[SPPR_1986]:[SPPR_symbolic_full_import_as_DC]], 0))
)</f>
        <v>6.11558567626036</v>
      </c>
      <c r="N108" s="9">
        <f>IF($B$4="סהכ",
INDEX(טבלה1[[SPPR_1986]:[SPPR_symbolic_full_import_as_DC]], MATCH('השוואת פקטורים'!$B108, 'PPRs all'!$A$2:$A$108, 0), MATCH('השוואת פקטורים'!N$6, טבלה1[[#Headers],[SPPR_1986]:[SPPR_symbolic_full_import_as_DC]], 0)) / INDEX(טבלה1[[SPPR_1986]:[SPPR_symbolic_full_import_as_DC]], MATCH('השוואת פקטורים'!$B108, 'PPRs all'!$A$2:$A$108, 0), MATCH('השוואת פקטורים'!M$6, טבלה1[[#Headers],[SPPR_1986]:[SPPR_symbolic_full_import_as_DC]], 0)),
INDEX(טבלה2[[SPPR_1986]:[SPPR_symbolic_full_import_as_DC]], MATCH('השוואת פקטורים'!$B108, 'PPRs inner'!$A$2:$A$108, 0), MATCH('השוואת פקטורים'!N$6, טבלה2[[#Headers],[SPPR_1986]:[SPPR_symbolic_full_import_as_DC]], 0)) / INDEX(טבלה2[[SPPR_1986]:[SPPR_symbolic_full_import_as_DC]], MATCH('השוואת פקטורים'!$B108, 'PPRs inner'!$A$2:$A$108, 0), MATCH('השוואת פקטורים'!M$6, טבלה2[[#Headers],[SPPR_1986]:[SPPR_symbolic_full_import_as_DC]], 0))
)</f>
        <v>2.3135189394417921</v>
      </c>
      <c r="O108" s="9">
        <f>IF($B$4="סהכ",
INDEX(טבלה1[[SPPR_1986]:[SPPR_symbolic_full_import_as_DC]], MATCH('השוואת פקטורים'!$B108, 'PPRs all'!$A$2:$A$108, 0), MATCH('השוואת פקטורים'!O$6, טבלה1[[#Headers],[SPPR_1986]:[SPPR_symbolic_full_import_as_DC]], 0)) / INDEX(טבלה1[[SPPR_1986]:[SPPR_symbolic_full_import_as_DC]], MATCH('השוואת פקטורים'!$B108, 'PPRs all'!$A$2:$A$108, 0), MATCH('השוואת פקטורים'!N$6, טבלה1[[#Headers],[SPPR_1986]:[SPPR_symbolic_full_import_as_DC]], 0)),
INDEX(טבלה2[[SPPR_1986]:[SPPR_symbolic_full_import_as_DC]], MATCH('השוואת פקטורים'!$B108, 'PPRs inner'!$A$2:$A$108, 0), MATCH('השוואת פקטורים'!O$6, טבלה2[[#Headers],[SPPR_1986]:[SPPR_symbolic_full_import_as_DC]], 0)) / INDEX(טבלה2[[SPPR_1986]:[SPPR_symbolic_full_import_as_DC]], MATCH('השוואת פקטורים'!$B108, 'PPRs inner'!$A$2:$A$108, 0), MATCH('השוואת פקטורים'!N$6, טבלה2[[#Headers],[SPPR_1986]:[SPPR_symbolic_full_import_as_DC]], 0))
)</f>
        <v>0.999999999999995</v>
      </c>
      <c r="P108" s="9">
        <f>IF($B$4="סהכ",
INDEX(טבלה1[[SPPR_1986]:[SPPR_symbolic_full_import_as_DC]], MATCH('השוואת פקטורים'!$B108, 'PPRs all'!$A$2:$A$108, 0), MATCH('השוואת פקטורים'!P$6, טבלה1[[#Headers],[SPPR_1986]:[SPPR_symbolic_full_import_as_DC]], 0)) / INDEX(טבלה1[[SPPR_1986]:[SPPR_symbolic_full_import_as_DC]], MATCH('השוואת פקטורים'!$B108, 'PPRs all'!$A$2:$A$108, 0), MATCH('השוואת פקטורים'!O$6, טבלה1[[#Headers],[SPPR_1986]:[SPPR_symbolic_full_import_as_DC]], 0)),
INDEX(טבלה2[[SPPR_1986]:[SPPR_symbolic_full_import_as_DC]], MATCH('השוואת פקטורים'!$B108, 'PPRs inner'!$A$2:$A$108, 0), MATCH('השוואת פקטורים'!P$6, טבלה2[[#Headers],[SPPR_1986]:[SPPR_symbolic_full_import_as_DC]], 0)) / INDEX(טבלה2[[SPPR_1986]:[SPPR_symbolic_full_import_as_DC]], MATCH('השוואת פקטורים'!$B108, 'PPRs inner'!$A$2:$A$108, 0), MATCH('השוואת פקטורים'!O$6, טבלה2[[#Headers],[SPPR_1986]:[SPPR_symbolic_full_import_as_DC]], 0))
)</f>
        <v>7.0855079799290316E-2</v>
      </c>
      <c r="Q108" s="9">
        <f>IF($B$4="סהכ",
INDEX(טבלה1[[SPPR_1986]:[SPPR_symbolic_full_import_as_DC]], MATCH('השוואת פקטורים'!$B108, 'PPRs all'!$A$2:$A$108, 0), MATCH('השוואת פקטורים'!Q$6, טבלה1[[#Headers],[SPPR_1986]:[SPPR_symbolic_full_import_as_DC]], 0)) / INDEX(טבלה1[[SPPR_1986]:[SPPR_symbolic_full_import_as_DC]], MATCH('השוואת פקטורים'!$B108, 'PPRs all'!$A$2:$A$108, 0), MATCH('השוואת פקטורים'!P$6, טבלה1[[#Headers],[SPPR_1986]:[SPPR_symbolic_full_import_as_DC]], 0)),
INDEX(טבלה2[[SPPR_1986]:[SPPR_symbolic_full_import_as_DC]], MATCH('השוואת פקטורים'!$B108, 'PPRs inner'!$A$2:$A$108, 0), MATCH('השוואת פקטורים'!Q$6, טבלה2[[#Headers],[SPPR_1986]:[SPPR_symbolic_full_import_as_DC]], 0)) / INDEX(טבלה2[[SPPR_1986]:[SPPR_symbolic_full_import_as_DC]], MATCH('השוואת פקטורים'!$B108, 'PPRs inner'!$A$2:$A$108, 0), MATCH('השוואת פקטורים'!P$6, טבלה2[[#Headers],[SPPR_1986]:[SPPR_symbolic_full_import_as_DC]], 0))
)</f>
        <v>1.0000000000000024</v>
      </c>
      <c r="R108" s="9">
        <f>IF($B$4="סהכ",
INDEX(טבלה1[[SPPR_1986]:[SPPR_symbolic_full_import_as_DC]], MATCH('השוואת פקטורים'!$B108, 'PPRs all'!$A$2:$A$108, 0), MATCH('השוואת פקטורים'!R$6, טבלה1[[#Headers],[SPPR_1986]:[SPPR_symbolic_full_import_as_DC]], 0)) / INDEX(טבלה1[[SPPR_1986]:[SPPR_symbolic_full_import_as_DC]], MATCH('השוואת פקטורים'!$B108, 'PPRs all'!$A$2:$A$108, 0), MATCH('השוואת פקטורים'!Q$6, טבלה1[[#Headers],[SPPR_1986]:[SPPR_symbolic_full_import_as_DC]], 0)),
INDEX(טבלה2[[SPPR_1986]:[SPPR_symbolic_full_import_as_DC]], MATCH('השוואת פקטורים'!$B108, 'PPRs inner'!$A$2:$A$108, 0), MATCH('השוואת פקטורים'!R$6, טבלה2[[#Headers],[SPPR_1986]:[SPPR_symbolic_full_import_as_DC]], 0)) / INDEX(טבלה2[[SPPR_1986]:[SPPR_symbolic_full_import_as_DC]], MATCH('השוואת פקטורים'!$B108, 'PPRs inner'!$A$2:$A$108, 0), MATCH('השוואת פקטורים'!Q$6, טבלה2[[#Headers],[SPPR_1986]:[SPPR_symbolic_full_import_as_DC]], 0))
)</f>
        <v>3.1146762216003632</v>
      </c>
      <c r="S108" s="9">
        <f>IF($B$4="סהכ",
INDEX(טבלה1[[SPPR_1986]:[SPPR_symbolic_full_import_as_DC]], MATCH('השוואת פקטורים'!$B108, 'PPRs all'!$A$2:$A$108, 0), MATCH('השוואת פקטורים'!S$6, טבלה1[[#Headers],[SPPR_1986]:[SPPR_symbolic_full_import_as_DC]], 0)) / INDEX(טבלה1[[SPPR_1986]:[SPPR_symbolic_full_import_as_DC]], MATCH('השוואת פקטורים'!$B108, 'PPRs all'!$A$2:$A$108, 0), MATCH('השוואת פקטורים'!R$6, טבלה1[[#Headers],[SPPR_1986]:[SPPR_symbolic_full_import_as_DC]], 0)),
INDEX(טבלה2[[SPPR_1986]:[SPPR_symbolic_full_import_as_DC]], MATCH('השוואת פקטורים'!$B108, 'PPRs inner'!$A$2:$A$108, 0), MATCH('השוואת פקטורים'!S$6, טבלה2[[#Headers],[SPPR_1986]:[SPPR_symbolic_full_import_as_DC]], 0)) / INDEX(טבלה2[[SPPR_1986]:[SPPR_symbolic_full_import_as_DC]], MATCH('השוואת פקטורים'!$B108, 'PPRs inner'!$A$2:$A$108, 0), MATCH('השוואת פקטורים'!R$6, טבלה2[[#Headers],[SPPR_1986]:[SPPR_symbolic_full_import_as_DC]], 0))
)</f>
        <v>0.32106065891053881</v>
      </c>
      <c r="T108" s="9">
        <f>IF($B$4="סהכ",
INDEX(טבלה1[[SPPR_1986]:[SPPR_symbolic_full_import_as_DC]], MATCH('השוואת פקטורים'!$B108, 'PPRs all'!$A$2:$A$108, 0), MATCH('השוואת פקטורים'!T$6, טבלה1[[#Headers],[SPPR_1986]:[SPPR_symbolic_full_import_as_DC]], 0)) / INDEX(טבלה1[[SPPR_1986]:[SPPR_symbolic_full_import_as_DC]], MATCH('השוואת פקטורים'!$B108, 'PPRs all'!$A$2:$A$108, 0), MATCH('השוואת פקטורים'!S$6, טבלה1[[#Headers],[SPPR_1986]:[SPPR_symbolic_full_import_as_DC]], 0)),
INDEX(טבלה2[[SPPR_1986]:[SPPR_symbolic_full_import_as_DC]], MATCH('השוואת פקטורים'!$B108, 'PPRs inner'!$A$2:$A$108, 0), MATCH('השוואת פקטורים'!T$6, טבלה2[[#Headers],[SPPR_1986]:[SPPR_symbolic_full_import_as_DC]], 0)) / INDEX(טבלה2[[SPPR_1986]:[SPPR_symbolic_full_import_as_DC]], MATCH('השוואת פקטורים'!$B108, 'PPRs inner'!$A$2:$A$108, 0), MATCH('השוואת פקטורים'!S$6, טבלה2[[#Headers],[SPPR_1986]:[SPPR_symbolic_full_import_as_DC]], 0))
)</f>
        <v>3.1146762216003632</v>
      </c>
      <c r="U108" s="9">
        <f>IF($B$4="סהכ",
INDEX(טבלה1[[SPPR_1986]:[SPPR_symbolic_full_import_as_DC]], MATCH('השוואת פקטורים'!$B108, 'PPRs all'!$A$2:$A$108, 0), MATCH('השוואת פקטורים'!U$6, טבלה1[[#Headers],[SPPR_1986]:[SPPR_symbolic_full_import_as_DC]], 0)) / INDEX(טבלה1[[SPPR_1986]:[SPPR_symbolic_full_import_as_DC]], MATCH('השוואת פקטורים'!$B108, 'PPRs all'!$A$2:$A$108, 0), MATCH('השוואת פקטורים'!T$6, טבלה1[[#Headers],[SPPR_1986]:[SPPR_symbolic_full_import_as_DC]], 0)),
INDEX(טבלה2[[SPPR_1986]:[SPPR_symbolic_full_import_as_DC]], MATCH('השוואת פקטורים'!$B108, 'PPRs inner'!$A$2:$A$108, 0), MATCH('השוואת פקטורים'!U$6, טבלה2[[#Headers],[SPPR_1986]:[SPPR_symbolic_full_import_as_DC]], 0)) / INDEX(טבלה2[[SPPR_1986]:[SPPR_symbolic_full_import_as_DC]], MATCH('השוואת פקטורים'!$B108, 'PPRs inner'!$A$2:$A$108, 0), MATCH('השוואת פקטורים'!T$6, טבלה2[[#Headers],[SPPR_1986]:[SPPR_symbolic_full_import_as_DC]], 0))
)</f>
        <v>0.32106065891053803</v>
      </c>
      <c r="V108" s="9"/>
      <c r="W108" s="9"/>
      <c r="X108" s="14"/>
      <c r="Y108" s="14"/>
      <c r="Z108" s="15">
        <f t="shared" si="6"/>
        <v>0.73751852854349786</v>
      </c>
    </row>
    <row r="109" spans="2:26" x14ac:dyDescent="0.3">
      <c r="B109" s="6" t="s">
        <v>123</v>
      </c>
      <c r="C109" s="12" t="b">
        <v>1</v>
      </c>
      <c r="D109" s="12" t="b">
        <v>1</v>
      </c>
      <c r="E109" s="12" t="b">
        <v>1</v>
      </c>
      <c r="F109" s="12" t="b">
        <f t="shared" si="5"/>
        <v>1</v>
      </c>
      <c r="G109" s="7" t="b">
        <f>ABS(INDEX(טבלה5[[SPPR_1986]:[SPPR_symbolic_full_import_as_DC]],MATCH('השוואת פקטורים'!$B109,טבלה5[עמודה1],0),MATCH($C$4,טבלה5[[#Headers],[SPPR_1986]:[SPPR_symbolic_full_import_as_DC]],0))) &lt; 5</f>
        <v>1</v>
      </c>
      <c r="H109" s="7" t="b">
        <f>INDEX(טבלה3[[SPPR_1986]:[SPPR_symbolic_full_import_as_DC]],MATCH('השוואת פקטורים'!$B109,טבלה3[עמודה1],0),MATCH($C$4,טבלה3[[#Headers],[SPPR_1986]:[SPPR_symbolic_full_import_as_DC]],0))</f>
        <v>1</v>
      </c>
      <c r="I109" s="7" t="b">
        <f t="shared" si="7"/>
        <v>1</v>
      </c>
      <c r="J109" s="13"/>
      <c r="K109" s="9">
        <f>IF($B$4="סהכ",
INDEX(טבלה1[[SPPR_1986]:[SPPR_symbolic_full_import_as_DC]], MATCH('השוואת פקטורים'!$B109, 'PPRs all'!$A$2:$A$108, 0), MATCH('השוואת פקטורים'!K$6, טבלה1[[#Headers],[SPPR_1986]:[SPPR_symbolic_full_import_as_DC]], 0)) / INDEX(טבלה1[[SPPR_1986]:[SPPR_symbolic_full_import_as_DC]], MATCH('השוואת פקטורים'!$B109, 'PPRs all'!$A$2:$A$108, 0), MATCH('השוואת פקטורים'!J$6, טבלה1[[#Headers],[SPPR_1986]:[SPPR_symbolic_full_import_as_DC]], 0)),
INDEX(טבלה2[[SPPR_1986]:[SPPR_symbolic_full_import_as_DC]], MATCH('השוואת פקטורים'!$B109, 'PPRs inner'!$A$2:$A$108, 0), MATCH('השוואת פקטורים'!K$6, טבלה2[[#Headers],[SPPR_1986]:[SPPR_symbolic_full_import_as_DC]], 0)) / INDEX(טבלה2[[SPPR_1986]:[SPPR_symbolic_full_import_as_DC]], MATCH('השוואת פקטורים'!$B109, 'PPRs inner'!$A$2:$A$108, 0), MATCH('השוואת פקטורים'!J$6, טבלה2[[#Headers],[SPPR_1986]:[SPPR_symbolic_full_import_as_DC]], 0))
)</f>
        <v>0.70225005275107988</v>
      </c>
      <c r="L109" s="9">
        <f>IF($B$4="סהכ",
INDEX(טבלה1[[SPPR_1986]:[SPPR_symbolic_full_import_as_DC]], MATCH('השוואת פקטורים'!$B109, 'PPRs all'!$A$2:$A$108, 0), MATCH('השוואת פקטורים'!L$6, טבלה1[[#Headers],[SPPR_1986]:[SPPR_symbolic_full_import_as_DC]], 0)) / INDEX(טבלה1[[SPPR_1986]:[SPPR_symbolic_full_import_as_DC]], MATCH('השוואת פקטורים'!$B109, 'PPRs all'!$A$2:$A$108, 0), MATCH('השוואת פקטורים'!K$6, טבלה1[[#Headers],[SPPR_1986]:[SPPR_symbolic_full_import_as_DC]], 0)),
INDEX(טבלה2[[SPPR_1986]:[SPPR_symbolic_full_import_as_DC]], MATCH('השוואת פקטורים'!$B109, 'PPRs inner'!$A$2:$A$108, 0), MATCH('השוואת פקטורים'!L$6, טבלה2[[#Headers],[SPPR_1986]:[SPPR_symbolic_full_import_as_DC]], 0)) / INDEX(טבלה2[[SPPR_1986]:[SPPR_symbolic_full_import_as_DC]], MATCH('השוואת פקטורים'!$B109, 'PPRs inner'!$A$2:$A$108, 0), MATCH('השוואת פקטורים'!K$6, טבלה2[[#Headers],[SPPR_1986]:[SPPR_symbolic_full_import_as_DC]], 0))
)</f>
        <v>1.871050787484704</v>
      </c>
      <c r="M109" s="9">
        <f>IF($B$4="סהכ",
INDEX(טבלה1[[SPPR_1986]:[SPPR_symbolic_full_import_as_DC]], MATCH('השוואת פקטורים'!$B109, 'PPRs all'!$A$2:$A$108, 0), MATCH('השוואת פקטורים'!M$6, טבלה1[[#Headers],[SPPR_1986]:[SPPR_symbolic_full_import_as_DC]], 0)) / INDEX(טבלה1[[SPPR_1986]:[SPPR_symbolic_full_import_as_DC]], MATCH('השוואת פקטורים'!$B109, 'PPRs all'!$A$2:$A$108, 0), MATCH('השוואת פקטורים'!L$6, טבלה1[[#Headers],[SPPR_1986]:[SPPR_symbolic_full_import_as_DC]], 0)),
INDEX(טבלה2[[SPPR_1986]:[SPPR_symbolic_full_import_as_DC]], MATCH('השוואת פקטורים'!$B109, 'PPRs inner'!$A$2:$A$108, 0), MATCH('השוואת פקטורים'!M$6, טבלה2[[#Headers],[SPPR_1986]:[SPPR_symbolic_full_import_as_DC]], 0)) / INDEX(טבלה2[[SPPR_1986]:[SPPR_symbolic_full_import_as_DC]], MATCH('השוואת פקטורים'!$B109, 'PPRs inner'!$A$2:$A$108, 0), MATCH('השוואת פקטורים'!L$6, טבלה2[[#Headers],[SPPR_1986]:[SPPR_symbolic_full_import_as_DC]], 0))
)</f>
        <v>26.060666081296862</v>
      </c>
      <c r="N109" s="9">
        <f>IF($B$4="סהכ",
INDEX(טבלה1[[SPPR_1986]:[SPPR_symbolic_full_import_as_DC]], MATCH('השוואת פקטורים'!$B109, 'PPRs all'!$A$2:$A$108, 0), MATCH('השוואת פקטורים'!N$6, טבלה1[[#Headers],[SPPR_1986]:[SPPR_symbolic_full_import_as_DC]], 0)) / INDEX(טבלה1[[SPPR_1986]:[SPPR_symbolic_full_import_as_DC]], MATCH('השוואת פקטורים'!$B109, 'PPRs all'!$A$2:$A$108, 0), MATCH('השוואת פקטורים'!M$6, טבלה1[[#Headers],[SPPR_1986]:[SPPR_symbolic_full_import_as_DC]], 0)),
INDEX(טבלה2[[SPPR_1986]:[SPPR_symbolic_full_import_as_DC]], MATCH('השוואת פקטורים'!$B109, 'PPRs inner'!$A$2:$A$108, 0), MATCH('השוואת פקטורים'!N$6, טבלה2[[#Headers],[SPPR_1986]:[SPPR_symbolic_full_import_as_DC]], 0)) / INDEX(טבלה2[[SPPR_1986]:[SPPR_symbolic_full_import_as_DC]], MATCH('השוואת פקטורים'!$B109, 'PPRs inner'!$A$2:$A$108, 0), MATCH('השוואת פקטורים'!M$6, טבלה2[[#Headers],[SPPR_1986]:[SPPR_symbolic_full_import_as_DC]], 0))
)</f>
        <v>0.86435338484296254</v>
      </c>
      <c r="O109" s="9">
        <f>IF($B$4="סהכ",
INDEX(טבלה1[[SPPR_1986]:[SPPR_symbolic_full_import_as_DC]], MATCH('השוואת פקטורים'!$B109, 'PPRs all'!$A$2:$A$108, 0), MATCH('השוואת פקטורים'!O$6, טבלה1[[#Headers],[SPPR_1986]:[SPPR_symbolic_full_import_as_DC]], 0)) / INDEX(טבלה1[[SPPR_1986]:[SPPR_symbolic_full_import_as_DC]], MATCH('השוואת פקטורים'!$B109, 'PPRs all'!$A$2:$A$108, 0), MATCH('השוואת פקטורים'!N$6, טבלה1[[#Headers],[SPPR_1986]:[SPPR_symbolic_full_import_as_DC]], 0)),
INDEX(טבלה2[[SPPR_1986]:[SPPR_symbolic_full_import_as_DC]], MATCH('השוואת פקטורים'!$B109, 'PPRs inner'!$A$2:$A$108, 0), MATCH('השוואת פקטורים'!O$6, טבלה2[[#Headers],[SPPR_1986]:[SPPR_symbolic_full_import_as_DC]], 0)) / INDEX(טבלה2[[SPPR_1986]:[SPPR_symbolic_full_import_as_DC]], MATCH('השוואת פקטורים'!$B109, 'PPRs inner'!$A$2:$A$108, 0), MATCH('השוואת פקטורים'!N$6, טבלה2[[#Headers],[SPPR_1986]:[SPPR_symbolic_full_import_as_DC]], 0))
)</f>
        <v>1</v>
      </c>
      <c r="P109" s="9">
        <f>IF($B$4="סהכ",
INDEX(טבלה1[[SPPR_1986]:[SPPR_symbolic_full_import_as_DC]], MATCH('השוואת פקטורים'!$B109, 'PPRs all'!$A$2:$A$108, 0), MATCH('השוואת פקטורים'!P$6, טבלה1[[#Headers],[SPPR_1986]:[SPPR_symbolic_full_import_as_DC]], 0)) / INDEX(טבלה1[[SPPR_1986]:[SPPR_symbolic_full_import_as_DC]], MATCH('השוואת פקטורים'!$B109, 'PPRs all'!$A$2:$A$108, 0), MATCH('השוואת פקטורים'!O$6, טבלה1[[#Headers],[SPPR_1986]:[SPPR_symbolic_full_import_as_DC]], 0)),
INDEX(טבלה2[[SPPR_1986]:[SPPR_symbolic_full_import_as_DC]], MATCH('השוואת פקטורים'!$B109, 'PPRs inner'!$A$2:$A$108, 0), MATCH('השוואת פקטורים'!P$6, טבלה2[[#Headers],[SPPR_1986]:[SPPR_symbolic_full_import_as_DC]], 0)) / INDEX(טבלה2[[SPPR_1986]:[SPPR_symbolic_full_import_as_DC]], MATCH('השוואת פקטורים'!$B109, 'PPRs inner'!$A$2:$A$108, 0), MATCH('השוואת פקטורים'!O$6, טבלה2[[#Headers],[SPPR_1986]:[SPPR_symbolic_full_import_as_DC]], 0))
)</f>
        <v>8.8119694849124797E-2</v>
      </c>
      <c r="Q109" s="9">
        <f>IF($B$4="סהכ",
INDEX(טבלה1[[SPPR_1986]:[SPPR_symbolic_full_import_as_DC]], MATCH('השוואת פקטורים'!$B109, 'PPRs all'!$A$2:$A$108, 0), MATCH('השוואת פקטורים'!Q$6, טבלה1[[#Headers],[SPPR_1986]:[SPPR_symbolic_full_import_as_DC]], 0)) / INDEX(טבלה1[[SPPR_1986]:[SPPR_symbolic_full_import_as_DC]], MATCH('השוואת פקטורים'!$B109, 'PPRs all'!$A$2:$A$108, 0), MATCH('השוואת פקטורים'!P$6, טבלה1[[#Headers],[SPPR_1986]:[SPPR_symbolic_full_import_as_DC]], 0)),
INDEX(טבלה2[[SPPR_1986]:[SPPR_symbolic_full_import_as_DC]], MATCH('השוואת פקטורים'!$B109, 'PPRs inner'!$A$2:$A$108, 0), MATCH('השוואת פקטורים'!Q$6, טבלה2[[#Headers],[SPPR_1986]:[SPPR_symbolic_full_import_as_DC]], 0)) / INDEX(טבלה2[[SPPR_1986]:[SPPR_symbolic_full_import_as_DC]], MATCH('השוואת פקטורים'!$B109, 'PPRs inner'!$A$2:$A$108, 0), MATCH('השוואת פקטורים'!P$6, טבלה2[[#Headers],[SPPR_1986]:[SPPR_symbolic_full_import_as_DC]], 0))
)</f>
        <v>0.99999999999999833</v>
      </c>
      <c r="R109" s="9">
        <f>IF($B$4="סהכ",
INDEX(טבלה1[[SPPR_1986]:[SPPR_symbolic_full_import_as_DC]], MATCH('השוואת פקטורים'!$B109, 'PPRs all'!$A$2:$A$108, 0), MATCH('השוואת פקטורים'!R$6, טבלה1[[#Headers],[SPPR_1986]:[SPPR_symbolic_full_import_as_DC]], 0)) / INDEX(טבלה1[[SPPR_1986]:[SPPR_symbolic_full_import_as_DC]], MATCH('השוואת פקטורים'!$B109, 'PPRs all'!$A$2:$A$108, 0), MATCH('השוואת פקטורים'!Q$6, טבלה1[[#Headers],[SPPR_1986]:[SPPR_symbolic_full_import_as_DC]], 0)),
INDEX(טבלה2[[SPPR_1986]:[SPPR_symbolic_full_import_as_DC]], MATCH('השוואת פקטורים'!$B109, 'PPRs inner'!$A$2:$A$108, 0), MATCH('השוואת פקטורים'!R$6, טבלה2[[#Headers],[SPPR_1986]:[SPPR_symbolic_full_import_as_DC]], 0)) / INDEX(טבלה2[[SPPR_1986]:[SPPR_symbolic_full_import_as_DC]], MATCH('השוואת פקטורים'!$B109, 'PPRs inner'!$A$2:$A$108, 0), MATCH('השוואת פקטורים'!Q$6, טבלה2[[#Headers],[SPPR_1986]:[SPPR_symbolic_full_import_as_DC]], 0))
)</f>
        <v>1.000591855621038</v>
      </c>
      <c r="S109" s="9">
        <f>IF($B$4="סהכ",
INDEX(טבלה1[[SPPR_1986]:[SPPR_symbolic_full_import_as_DC]], MATCH('השוואת פקטורים'!$B109, 'PPRs all'!$A$2:$A$108, 0), MATCH('השוואת פקטורים'!S$6, טבלה1[[#Headers],[SPPR_1986]:[SPPR_symbolic_full_import_as_DC]], 0)) / INDEX(טבלה1[[SPPR_1986]:[SPPR_symbolic_full_import_as_DC]], MATCH('השוואת פקטורים'!$B109, 'PPRs all'!$A$2:$A$108, 0), MATCH('השוואת פקטורים'!R$6, טבלה1[[#Headers],[SPPR_1986]:[SPPR_symbolic_full_import_as_DC]], 0)),
INDEX(טבלה2[[SPPR_1986]:[SPPR_symbolic_full_import_as_DC]], MATCH('השוואת פקטורים'!$B109, 'PPRs inner'!$A$2:$A$108, 0), MATCH('השוואת פקטורים'!S$6, טבלה2[[#Headers],[SPPR_1986]:[SPPR_symbolic_full_import_as_DC]], 0)) / INDEX(טבלה2[[SPPR_1986]:[SPPR_symbolic_full_import_as_DC]], MATCH('השוואת פקטורים'!$B109, 'PPRs inner'!$A$2:$A$108, 0), MATCH('השוואת פקטורים'!R$6, טבלה2[[#Headers],[SPPR_1986]:[SPPR_symbolic_full_import_as_DC]], 0))
)</f>
        <v>0.99940849446483782</v>
      </c>
      <c r="T109" s="9">
        <f>IF($B$4="סהכ",
INDEX(טבלה1[[SPPR_1986]:[SPPR_symbolic_full_import_as_DC]], MATCH('השוואת פקטורים'!$B109, 'PPRs all'!$A$2:$A$108, 0), MATCH('השוואת פקטורים'!T$6, טבלה1[[#Headers],[SPPR_1986]:[SPPR_symbolic_full_import_as_DC]], 0)) / INDEX(טבלה1[[SPPR_1986]:[SPPR_symbolic_full_import_as_DC]], MATCH('השוואת פקטורים'!$B109, 'PPRs all'!$A$2:$A$108, 0), MATCH('השוואת פקטורים'!S$6, טבלה1[[#Headers],[SPPR_1986]:[SPPR_symbolic_full_import_as_DC]], 0)),
INDEX(טבלה2[[SPPR_1986]:[SPPR_symbolic_full_import_as_DC]], MATCH('השוואת פקטורים'!$B109, 'PPRs inner'!$A$2:$A$108, 0), MATCH('השוואת פקטורים'!T$6, טבלה2[[#Headers],[SPPR_1986]:[SPPR_symbolic_full_import_as_DC]], 0)) / INDEX(טבלה2[[SPPR_1986]:[SPPR_symbolic_full_import_as_DC]], MATCH('השוואת פקטורים'!$B109, 'PPRs inner'!$A$2:$A$108, 0), MATCH('השוואת פקטורים'!S$6, טבלה2[[#Headers],[SPPR_1986]:[SPPR_symbolic_full_import_as_DC]], 0))
)</f>
        <v>1.000591855621038</v>
      </c>
      <c r="U109" s="9">
        <f>IF($B$4="סהכ",
INDEX(טבלה1[[SPPR_1986]:[SPPR_symbolic_full_import_as_DC]], MATCH('השוואת פקטורים'!$B109, 'PPRs all'!$A$2:$A$108, 0), MATCH('השוואת פקטורים'!U$6, טבלה1[[#Headers],[SPPR_1986]:[SPPR_symbolic_full_import_as_DC]], 0)) / INDEX(טבלה1[[SPPR_1986]:[SPPR_symbolic_full_import_as_DC]], MATCH('השוואת פקטורים'!$B109, 'PPRs all'!$A$2:$A$108, 0), MATCH('השוואת פקטורים'!T$6, טבלה1[[#Headers],[SPPR_1986]:[SPPR_symbolic_full_import_as_DC]], 0)),
INDEX(טבלה2[[SPPR_1986]:[SPPR_symbolic_full_import_as_DC]], MATCH('השוואת פקטורים'!$B109, 'PPRs inner'!$A$2:$A$108, 0), MATCH('השוואת פקטורים'!U$6, טבלה2[[#Headers],[SPPR_1986]:[SPPR_symbolic_full_import_as_DC]], 0)) / INDEX(טבלה2[[SPPR_1986]:[SPPR_symbolic_full_import_as_DC]], MATCH('השוואת פקטורים'!$B109, 'PPRs inner'!$A$2:$A$108, 0), MATCH('השוואת פקטורים'!T$6, טבלה2[[#Headers],[SPPR_1986]:[SPPR_symbolic_full_import_as_DC]], 0))
)</f>
        <v>0.99940849446483948</v>
      </c>
      <c r="V109" s="9"/>
      <c r="W109" s="9"/>
      <c r="X109" s="14"/>
      <c r="Y109" s="14"/>
      <c r="Z109" s="15">
        <f t="shared" si="6"/>
        <v>2.6081177197518364</v>
      </c>
    </row>
    <row r="110" spans="2:26" x14ac:dyDescent="0.3">
      <c r="B110" s="6" t="s">
        <v>124</v>
      </c>
      <c r="C110" s="12" t="b">
        <v>1</v>
      </c>
      <c r="D110" s="12" t="b">
        <v>1</v>
      </c>
      <c r="E110" s="12" t="b">
        <v>1</v>
      </c>
      <c r="F110" s="12" t="b">
        <f t="shared" si="5"/>
        <v>1</v>
      </c>
      <c r="G110" s="7" t="b">
        <f>ABS(INDEX(טבלה5[[SPPR_1986]:[SPPR_symbolic_full_import_as_DC]],MATCH('השוואת פקטורים'!$B110,טבלה5[עמודה1],0),MATCH($C$4,טבלה5[[#Headers],[SPPR_1986]:[SPPR_symbolic_full_import_as_DC]],0))) &lt; 5</f>
        <v>1</v>
      </c>
      <c r="H110" s="7" t="b">
        <f>INDEX(טבלה3[[SPPR_1986]:[SPPR_symbolic_full_import_as_DC]],MATCH('השוואת פקטורים'!$B110,טבלה3[עמודה1],0),MATCH($C$4,טבלה3[[#Headers],[SPPR_1986]:[SPPR_symbolic_full_import_as_DC]],0))</f>
        <v>1</v>
      </c>
      <c r="I110" s="7" t="b">
        <f t="shared" si="7"/>
        <v>1</v>
      </c>
      <c r="J110" s="13"/>
      <c r="K110" s="9">
        <f>IF($B$4="סהכ",
INDEX(טבלה1[[SPPR_1986]:[SPPR_symbolic_full_import_as_DC]], MATCH('השוואת פקטורים'!$B110, 'PPRs all'!$A$2:$A$108, 0), MATCH('השוואת פקטורים'!K$6, טבלה1[[#Headers],[SPPR_1986]:[SPPR_symbolic_full_import_as_DC]], 0)) / INDEX(טבלה1[[SPPR_1986]:[SPPR_symbolic_full_import_as_DC]], MATCH('השוואת פקטורים'!$B110, 'PPRs all'!$A$2:$A$108, 0), MATCH('השוואת פקטורים'!J$6, טבלה1[[#Headers],[SPPR_1986]:[SPPR_symbolic_full_import_as_DC]], 0)),
INDEX(טבלה2[[SPPR_1986]:[SPPR_symbolic_full_import_as_DC]], MATCH('השוואת פקטורים'!$B110, 'PPRs inner'!$A$2:$A$108, 0), MATCH('השוואת פקטורים'!K$6, טבלה2[[#Headers],[SPPR_1986]:[SPPR_symbolic_full_import_as_DC]], 0)) / INDEX(טבלה2[[SPPR_1986]:[SPPR_symbolic_full_import_as_DC]], MATCH('השוואת פקטורים'!$B110, 'PPRs inner'!$A$2:$A$108, 0), MATCH('השוואת פקטורים'!J$6, טבלה2[[#Headers],[SPPR_1986]:[SPPR_symbolic_full_import_as_DC]], 0))
)</f>
        <v>2.4141700285382339</v>
      </c>
      <c r="L110" s="9">
        <f>IF($B$4="סהכ",
INDEX(טבלה1[[SPPR_1986]:[SPPR_symbolic_full_import_as_DC]], MATCH('השוואת פקטורים'!$B110, 'PPRs all'!$A$2:$A$108, 0), MATCH('השוואת פקטורים'!L$6, טבלה1[[#Headers],[SPPR_1986]:[SPPR_symbolic_full_import_as_DC]], 0)) / INDEX(טבלה1[[SPPR_1986]:[SPPR_symbolic_full_import_as_DC]], MATCH('השוואת פקטורים'!$B110, 'PPRs all'!$A$2:$A$108, 0), MATCH('השוואת פקטורים'!K$6, טבלה1[[#Headers],[SPPR_1986]:[SPPR_symbolic_full_import_as_DC]], 0)),
INDEX(טבלה2[[SPPR_1986]:[SPPR_symbolic_full_import_as_DC]], MATCH('השוואת פקטורים'!$B110, 'PPRs inner'!$A$2:$A$108, 0), MATCH('השוואת פקטורים'!L$6, טבלה2[[#Headers],[SPPR_1986]:[SPPR_symbolic_full_import_as_DC]], 0)) / INDEX(טבלה2[[SPPR_1986]:[SPPR_symbolic_full_import_as_DC]], MATCH('השוואת פקטורים'!$B110, 'PPRs inner'!$A$2:$A$108, 0), MATCH('השוואת פקטורים'!K$6, טבלה2[[#Headers],[SPPR_1986]:[SPPR_symbolic_full_import_as_DC]], 0))
)</f>
        <v>1.6434879078203766</v>
      </c>
      <c r="M110" s="9">
        <f>IF($B$4="סהכ",
INDEX(טבלה1[[SPPR_1986]:[SPPR_symbolic_full_import_as_DC]], MATCH('השוואת פקטורים'!$B110, 'PPRs all'!$A$2:$A$108, 0), MATCH('השוואת פקטורים'!M$6, טבלה1[[#Headers],[SPPR_1986]:[SPPR_symbolic_full_import_as_DC]], 0)) / INDEX(טבלה1[[SPPR_1986]:[SPPR_symbolic_full_import_as_DC]], MATCH('השוואת פקטורים'!$B110, 'PPRs all'!$A$2:$A$108, 0), MATCH('השוואת פקטורים'!L$6, טבלה1[[#Headers],[SPPR_1986]:[SPPR_symbolic_full_import_as_DC]], 0)),
INDEX(טבלה2[[SPPR_1986]:[SPPR_symbolic_full_import_as_DC]], MATCH('השוואת פקטורים'!$B110, 'PPRs inner'!$A$2:$A$108, 0), MATCH('השוואת פקטורים'!M$6, טבלה2[[#Headers],[SPPR_1986]:[SPPR_symbolic_full_import_as_DC]], 0)) / INDEX(טבלה2[[SPPR_1986]:[SPPR_symbolic_full_import_as_DC]], MATCH('השוואת פקטורים'!$B110, 'PPRs inner'!$A$2:$A$108, 0), MATCH('השוואת פקטורים'!L$6, טבלה2[[#Headers],[SPPR_1986]:[SPPR_symbolic_full_import_as_DC]], 0))
)</f>
        <v>0.81757016359643009</v>
      </c>
      <c r="N110" s="9">
        <f>IF($B$4="סהכ",
INDEX(טבלה1[[SPPR_1986]:[SPPR_symbolic_full_import_as_DC]], MATCH('השוואת פקטורים'!$B110, 'PPRs all'!$A$2:$A$108, 0), MATCH('השוואת פקטורים'!N$6, טבלה1[[#Headers],[SPPR_1986]:[SPPR_symbolic_full_import_as_DC]], 0)) / INDEX(טבלה1[[SPPR_1986]:[SPPR_symbolic_full_import_as_DC]], MATCH('השוואת פקטורים'!$B110, 'PPRs all'!$A$2:$A$108, 0), MATCH('השוואת פקטורים'!M$6, טבלה1[[#Headers],[SPPR_1986]:[SPPR_symbolic_full_import_as_DC]], 0)),
INDEX(טבלה2[[SPPR_1986]:[SPPR_symbolic_full_import_as_DC]], MATCH('השוואת פקטורים'!$B110, 'PPRs inner'!$A$2:$A$108, 0), MATCH('השוואת פקטורים'!N$6, טבלה2[[#Headers],[SPPR_1986]:[SPPR_symbolic_full_import_as_DC]], 0)) / INDEX(טבלה2[[SPPR_1986]:[SPPR_symbolic_full_import_as_DC]], MATCH('השוואת פקטורים'!$B110, 'PPRs inner'!$A$2:$A$108, 0), MATCH('השוואת פקטורים'!M$6, טבלה2[[#Headers],[SPPR_1986]:[SPPR_symbolic_full_import_as_DC]], 0))
)</f>
        <v>1.0125150178634175</v>
      </c>
      <c r="O110" s="9">
        <f>IF($B$4="סהכ",
INDEX(טבלה1[[SPPR_1986]:[SPPR_symbolic_full_import_as_DC]], MATCH('השוואת פקטורים'!$B110, 'PPRs all'!$A$2:$A$108, 0), MATCH('השוואת פקטורים'!O$6, טבלה1[[#Headers],[SPPR_1986]:[SPPR_symbolic_full_import_as_DC]], 0)) / INDEX(טבלה1[[SPPR_1986]:[SPPR_symbolic_full_import_as_DC]], MATCH('השוואת פקטורים'!$B110, 'PPRs all'!$A$2:$A$108, 0), MATCH('השוואת פקטורים'!N$6, טבלה1[[#Headers],[SPPR_1986]:[SPPR_symbolic_full_import_as_DC]], 0)),
INDEX(טבלה2[[SPPR_1986]:[SPPR_symbolic_full_import_as_DC]], MATCH('השוואת פקטורים'!$B110, 'PPRs inner'!$A$2:$A$108, 0), MATCH('השוואת פקטורים'!O$6, טבלה2[[#Headers],[SPPR_1986]:[SPPR_symbolic_full_import_as_DC]], 0)) / INDEX(טבלה2[[SPPR_1986]:[SPPR_symbolic_full_import_as_DC]], MATCH('השוואת פקטורים'!$B110, 'PPRs inner'!$A$2:$A$108, 0), MATCH('השוואת פקטורים'!N$6, טבלה2[[#Headers],[SPPR_1986]:[SPPR_symbolic_full_import_as_DC]], 0))
)</f>
        <v>0.99999999999999878</v>
      </c>
      <c r="P110" s="9">
        <f>IF($B$4="סהכ",
INDEX(טבלה1[[SPPR_1986]:[SPPR_symbolic_full_import_as_DC]], MATCH('השוואת פקטורים'!$B110, 'PPRs all'!$A$2:$A$108, 0), MATCH('השוואת פקטורים'!P$6, טבלה1[[#Headers],[SPPR_1986]:[SPPR_symbolic_full_import_as_DC]], 0)) / INDEX(טבלה1[[SPPR_1986]:[SPPR_symbolic_full_import_as_DC]], MATCH('השוואת פקטורים'!$B110, 'PPRs all'!$A$2:$A$108, 0), MATCH('השוואת פקטורים'!O$6, טבלה1[[#Headers],[SPPR_1986]:[SPPR_symbolic_full_import_as_DC]], 0)),
INDEX(טבלה2[[SPPR_1986]:[SPPR_symbolic_full_import_as_DC]], MATCH('השוואת פקטורים'!$B110, 'PPRs inner'!$A$2:$A$108, 0), MATCH('השוואת פקטורים'!P$6, טבלה2[[#Headers],[SPPR_1986]:[SPPR_symbolic_full_import_as_DC]], 0)) / INDEX(טבלה2[[SPPR_1986]:[SPPR_symbolic_full_import_as_DC]], MATCH('השוואת פקטורים'!$B110, 'PPRs inner'!$A$2:$A$108, 0), MATCH('השוואת פקטורים'!O$6, טבלה2[[#Headers],[SPPR_1986]:[SPPR_symbolic_full_import_as_DC]], 0))
)</f>
        <v>0.2895879945768397</v>
      </c>
      <c r="Q110" s="9">
        <f>IF($B$4="סהכ",
INDEX(טבלה1[[SPPR_1986]:[SPPR_symbolic_full_import_as_DC]], MATCH('השוואת פקטורים'!$B110, 'PPRs all'!$A$2:$A$108, 0), MATCH('השוואת פקטורים'!Q$6, טבלה1[[#Headers],[SPPR_1986]:[SPPR_symbolic_full_import_as_DC]], 0)) / INDEX(טבלה1[[SPPR_1986]:[SPPR_symbolic_full_import_as_DC]], MATCH('השוואת פקטורים'!$B110, 'PPRs all'!$A$2:$A$108, 0), MATCH('השוואת פקטורים'!P$6, טבלה1[[#Headers],[SPPR_1986]:[SPPR_symbolic_full_import_as_DC]], 0)),
INDEX(טבלה2[[SPPR_1986]:[SPPR_symbolic_full_import_as_DC]], MATCH('השוואת פקטורים'!$B110, 'PPRs inner'!$A$2:$A$108, 0), MATCH('השוואת פקטורים'!Q$6, טבלה2[[#Headers],[SPPR_1986]:[SPPR_symbolic_full_import_as_DC]], 0)) / INDEX(טבלה2[[SPPR_1986]:[SPPR_symbolic_full_import_as_DC]], MATCH('השוואת פקטורים'!$B110, 'PPRs inner'!$A$2:$A$108, 0), MATCH('השוואת פקטורים'!P$6, טבלה2[[#Headers],[SPPR_1986]:[SPPR_symbolic_full_import_as_DC]], 0))
)</f>
        <v>0.99999999999999889</v>
      </c>
      <c r="R110" s="9">
        <f>IF($B$4="סהכ",
INDEX(טבלה1[[SPPR_1986]:[SPPR_symbolic_full_import_as_DC]], MATCH('השוואת פקטורים'!$B110, 'PPRs all'!$A$2:$A$108, 0), MATCH('השוואת פקטורים'!R$6, טבלה1[[#Headers],[SPPR_1986]:[SPPR_symbolic_full_import_as_DC]], 0)) / INDEX(טבלה1[[SPPR_1986]:[SPPR_symbolic_full_import_as_DC]], MATCH('השוואת פקטורים'!$B110, 'PPRs all'!$A$2:$A$108, 0), MATCH('השוואת פקטורים'!Q$6, טבלה1[[#Headers],[SPPR_1986]:[SPPR_symbolic_full_import_as_DC]], 0)),
INDEX(טבלה2[[SPPR_1986]:[SPPR_symbolic_full_import_as_DC]], MATCH('השוואת פקטורים'!$B110, 'PPRs inner'!$A$2:$A$108, 0), MATCH('השוואת פקטורים'!R$6, טבלה2[[#Headers],[SPPR_1986]:[SPPR_symbolic_full_import_as_DC]], 0)) / INDEX(טבלה2[[SPPR_1986]:[SPPR_symbolic_full_import_as_DC]], MATCH('השוואת פקטורים'!$B110, 'PPRs inner'!$A$2:$A$108, 0), MATCH('השוואת פקטורים'!Q$6, טבלה2[[#Headers],[SPPR_1986]:[SPPR_symbolic_full_import_as_DC]], 0))
)</f>
        <v>1.0002024765012367</v>
      </c>
      <c r="S110" s="9">
        <f>IF($B$4="סהכ",
INDEX(טבלה1[[SPPR_1986]:[SPPR_symbolic_full_import_as_DC]], MATCH('השוואת פקטורים'!$B110, 'PPRs all'!$A$2:$A$108, 0), MATCH('השוואת פקטורים'!S$6, טבלה1[[#Headers],[SPPR_1986]:[SPPR_symbolic_full_import_as_DC]], 0)) / INDEX(טבלה1[[SPPR_1986]:[SPPR_symbolic_full_import_as_DC]], MATCH('השוואת פקטורים'!$B110, 'PPRs all'!$A$2:$A$108, 0), MATCH('השוואת פקטורים'!R$6, טבלה1[[#Headers],[SPPR_1986]:[SPPR_symbolic_full_import_as_DC]], 0)),
INDEX(טבלה2[[SPPR_1986]:[SPPR_symbolic_full_import_as_DC]], MATCH('השוואת פקטורים'!$B110, 'PPRs inner'!$A$2:$A$108, 0), MATCH('השוואת פקטורים'!S$6, טבלה2[[#Headers],[SPPR_1986]:[SPPR_symbolic_full_import_as_DC]], 0)) / INDEX(טבלה2[[SPPR_1986]:[SPPR_symbolic_full_import_as_DC]], MATCH('השוואת פקטורים'!$B110, 'PPRs inner'!$A$2:$A$108, 0), MATCH('השוואת פקטורים'!R$6, טבלה2[[#Headers],[SPPR_1986]:[SPPR_symbolic_full_import_as_DC]], 0))
)</f>
        <v>0.9997975644871977</v>
      </c>
      <c r="T110" s="9">
        <f>IF($B$4="סהכ",
INDEX(טבלה1[[SPPR_1986]:[SPPR_symbolic_full_import_as_DC]], MATCH('השוואת פקטורים'!$B110, 'PPRs all'!$A$2:$A$108, 0), MATCH('השוואת פקטורים'!T$6, טבלה1[[#Headers],[SPPR_1986]:[SPPR_symbolic_full_import_as_DC]], 0)) / INDEX(טבלה1[[SPPR_1986]:[SPPR_symbolic_full_import_as_DC]], MATCH('השוואת פקטורים'!$B110, 'PPRs all'!$A$2:$A$108, 0), MATCH('השוואת פקטורים'!S$6, טבלה1[[#Headers],[SPPR_1986]:[SPPR_symbolic_full_import_as_DC]], 0)),
INDEX(טבלה2[[SPPR_1986]:[SPPR_symbolic_full_import_as_DC]], MATCH('השוואת פקטורים'!$B110, 'PPRs inner'!$A$2:$A$108, 0), MATCH('השוואת פקטורים'!T$6, טבלה2[[#Headers],[SPPR_1986]:[SPPR_symbolic_full_import_as_DC]], 0)) / INDEX(טבלה2[[SPPR_1986]:[SPPR_symbolic_full_import_as_DC]], MATCH('השוואת פקטורים'!$B110, 'PPRs inner'!$A$2:$A$108, 0), MATCH('השוואת פקטורים'!S$6, טבלה2[[#Headers],[SPPR_1986]:[SPPR_symbolic_full_import_as_DC]], 0))
)</f>
        <v>1.0002024765012367</v>
      </c>
      <c r="U110" s="9">
        <f>IF($B$4="סהכ",
INDEX(טבלה1[[SPPR_1986]:[SPPR_symbolic_full_import_as_DC]], MATCH('השוואת פקטורים'!$B110, 'PPRs all'!$A$2:$A$108, 0), MATCH('השוואת פקטורים'!U$6, טבלה1[[#Headers],[SPPR_1986]:[SPPR_symbolic_full_import_as_DC]], 0)) / INDEX(טבלה1[[SPPR_1986]:[SPPR_symbolic_full_import_as_DC]], MATCH('השוואת פקטורים'!$B110, 'PPRs all'!$A$2:$A$108, 0), MATCH('השוואת פקטורים'!T$6, טבלה1[[#Headers],[SPPR_1986]:[SPPR_symbolic_full_import_as_DC]], 0)),
INDEX(טבלה2[[SPPR_1986]:[SPPR_symbolic_full_import_as_DC]], MATCH('השוואת פקטורים'!$B110, 'PPRs inner'!$A$2:$A$108, 0), MATCH('השוואת פקטורים'!U$6, טבלה2[[#Headers],[SPPR_1986]:[SPPR_symbolic_full_import_as_DC]], 0)) / INDEX(טבלה2[[SPPR_1986]:[SPPR_symbolic_full_import_as_DC]], MATCH('השוואת פקטורים'!$B110, 'PPRs inner'!$A$2:$A$108, 0), MATCH('השוואת פקטורים'!T$6, טבלה2[[#Headers],[SPPR_1986]:[SPPR_symbolic_full_import_as_DC]], 0))
)</f>
        <v>0.99979756448719881</v>
      </c>
      <c r="V110" s="9"/>
      <c r="W110" s="9"/>
      <c r="X110" s="14"/>
      <c r="Y110" s="14"/>
      <c r="Z110" s="15">
        <f t="shared" si="6"/>
        <v>0.95113338945035497</v>
      </c>
    </row>
    <row r="111" spans="2:26" x14ac:dyDescent="0.3">
      <c r="B111" s="6" t="s">
        <v>125</v>
      </c>
      <c r="C111" s="12" t="b">
        <v>1</v>
      </c>
      <c r="D111" s="12" t="b">
        <v>1</v>
      </c>
      <c r="E111" s="12" t="b">
        <v>1</v>
      </c>
      <c r="F111" s="12" t="b">
        <f t="shared" si="5"/>
        <v>1</v>
      </c>
      <c r="G111" s="7" t="b">
        <f>ABS(INDEX(טבלה5[[SPPR_1986]:[SPPR_symbolic_full_import_as_DC]],MATCH('השוואת פקטורים'!$B111,טבלה5[עמודה1],0),MATCH($C$4,טבלה5[[#Headers],[SPPR_1986]:[SPPR_symbolic_full_import_as_DC]],0))) &lt; 5</f>
        <v>1</v>
      </c>
      <c r="H111" s="7" t="b">
        <f>INDEX(טבלה3[[SPPR_1986]:[SPPR_symbolic_full_import_as_DC]],MATCH('השוואת פקטורים'!$B111,טבלה3[עמודה1],0),MATCH($C$4,טבלה3[[#Headers],[SPPR_1986]:[SPPR_symbolic_full_import_as_DC]],0))</f>
        <v>1</v>
      </c>
      <c r="I111" s="7" t="b">
        <f t="shared" si="7"/>
        <v>1</v>
      </c>
      <c r="J111" s="13"/>
      <c r="K111" s="9">
        <f>IF($B$4="סהכ",
INDEX(טבלה1[[SPPR_1986]:[SPPR_symbolic_full_import_as_DC]], MATCH('השוואת פקטורים'!$B111, 'PPRs all'!$A$2:$A$108, 0), MATCH('השוואת פקטורים'!K$6, טבלה1[[#Headers],[SPPR_1986]:[SPPR_symbolic_full_import_as_DC]], 0)) / INDEX(טבלה1[[SPPR_1986]:[SPPR_symbolic_full_import_as_DC]], MATCH('השוואת פקטורים'!$B111, 'PPRs all'!$A$2:$A$108, 0), MATCH('השוואת פקטורים'!J$6, טבלה1[[#Headers],[SPPR_1986]:[SPPR_symbolic_full_import_as_DC]], 0)),
INDEX(טבלה2[[SPPR_1986]:[SPPR_symbolic_full_import_as_DC]], MATCH('השוואת פקטורים'!$B111, 'PPRs inner'!$A$2:$A$108, 0), MATCH('השוואת פקטורים'!K$6, טבלה2[[#Headers],[SPPR_1986]:[SPPR_symbolic_full_import_as_DC]], 0)) / INDEX(טבלה2[[SPPR_1986]:[SPPR_symbolic_full_import_as_DC]], MATCH('השוואת פקטורים'!$B111, 'PPRs inner'!$A$2:$A$108, 0), MATCH('השוואת פקטורים'!J$6, טבלה2[[#Headers],[SPPR_1986]:[SPPR_symbolic_full_import_as_DC]], 0))
)</f>
        <v>0.76142751154106703</v>
      </c>
      <c r="L111" s="9">
        <f>IF($B$4="סהכ",
INDEX(טבלה1[[SPPR_1986]:[SPPR_symbolic_full_import_as_DC]], MATCH('השוואת פקטורים'!$B111, 'PPRs all'!$A$2:$A$108, 0), MATCH('השוואת פקטורים'!L$6, טבלה1[[#Headers],[SPPR_1986]:[SPPR_symbolic_full_import_as_DC]], 0)) / INDEX(טבלה1[[SPPR_1986]:[SPPR_symbolic_full_import_as_DC]], MATCH('השוואת פקטורים'!$B111, 'PPRs all'!$A$2:$A$108, 0), MATCH('השוואת פקטורים'!K$6, טבלה1[[#Headers],[SPPR_1986]:[SPPR_symbolic_full_import_as_DC]], 0)),
INDEX(טבלה2[[SPPR_1986]:[SPPR_symbolic_full_import_as_DC]], MATCH('השוואת פקטורים'!$B111, 'PPRs inner'!$A$2:$A$108, 0), MATCH('השוואת פקטורים'!L$6, טבלה2[[#Headers],[SPPR_1986]:[SPPR_symbolic_full_import_as_DC]], 0)) / INDEX(טבלה2[[SPPR_1986]:[SPPR_symbolic_full_import_as_DC]], MATCH('השוואת פקטורים'!$B111, 'PPRs inner'!$A$2:$A$108, 0), MATCH('השוואת פקטורים'!K$6, טבלה2[[#Headers],[SPPR_1986]:[SPPR_symbolic_full_import_as_DC]], 0))
)</f>
        <v>1.5585854789552012</v>
      </c>
      <c r="M111" s="9">
        <f>IF($B$4="סהכ",
INDEX(טבלה1[[SPPR_1986]:[SPPR_symbolic_full_import_as_DC]], MATCH('השוואת פקטורים'!$B111, 'PPRs all'!$A$2:$A$108, 0), MATCH('השוואת פקטורים'!M$6, טבלה1[[#Headers],[SPPR_1986]:[SPPR_symbolic_full_import_as_DC]], 0)) / INDEX(טבלה1[[SPPR_1986]:[SPPR_symbolic_full_import_as_DC]], MATCH('השוואת פקטורים'!$B111, 'PPRs all'!$A$2:$A$108, 0), MATCH('השוואת פקטורים'!L$6, טבלה1[[#Headers],[SPPR_1986]:[SPPR_symbolic_full_import_as_DC]], 0)),
INDEX(טבלה2[[SPPR_1986]:[SPPR_symbolic_full_import_as_DC]], MATCH('השוואת פקטורים'!$B111, 'PPRs inner'!$A$2:$A$108, 0), MATCH('השוואת פקטורים'!M$6, טבלה2[[#Headers],[SPPR_1986]:[SPPR_symbolic_full_import_as_DC]], 0)) / INDEX(טבלה2[[SPPR_1986]:[SPPR_symbolic_full_import_as_DC]], MATCH('השוואת פקטורים'!$B111, 'PPRs inner'!$A$2:$A$108, 0), MATCH('השוואת פקטורים'!L$6, טבלה2[[#Headers],[SPPR_1986]:[SPPR_symbolic_full_import_as_DC]], 0))
)</f>
        <v>1.6750745097601365</v>
      </c>
      <c r="N111" s="9">
        <f>IF($B$4="סהכ",
INDEX(טבלה1[[SPPR_1986]:[SPPR_symbolic_full_import_as_DC]], MATCH('השוואת פקטורים'!$B111, 'PPRs all'!$A$2:$A$108, 0), MATCH('השוואת פקטורים'!N$6, טבלה1[[#Headers],[SPPR_1986]:[SPPR_symbolic_full_import_as_DC]], 0)) / INDEX(טבלה1[[SPPR_1986]:[SPPR_symbolic_full_import_as_DC]], MATCH('השוואת פקטורים'!$B111, 'PPRs all'!$A$2:$A$108, 0), MATCH('השוואת פקטורים'!M$6, טבלה1[[#Headers],[SPPR_1986]:[SPPR_symbolic_full_import_as_DC]], 0)),
INDEX(טבלה2[[SPPR_1986]:[SPPR_symbolic_full_import_as_DC]], MATCH('השוואת פקטורים'!$B111, 'PPRs inner'!$A$2:$A$108, 0), MATCH('השוואת פקטורים'!N$6, טבלה2[[#Headers],[SPPR_1986]:[SPPR_symbolic_full_import_as_DC]], 0)) / INDEX(טבלה2[[SPPR_1986]:[SPPR_symbolic_full_import_as_DC]], MATCH('השוואת פקטורים'!$B111, 'PPRs inner'!$A$2:$A$108, 0), MATCH('השוואת פקטורים'!M$6, טבלה2[[#Headers],[SPPR_1986]:[SPPR_symbolic_full_import_as_DC]], 0))
)</f>
        <v>0.97697728156042796</v>
      </c>
      <c r="O111" s="9">
        <f>IF($B$4="סהכ",
INDEX(טבלה1[[SPPR_1986]:[SPPR_symbolic_full_import_as_DC]], MATCH('השוואת פקטורים'!$B111, 'PPRs all'!$A$2:$A$108, 0), MATCH('השוואת פקטורים'!O$6, טבלה1[[#Headers],[SPPR_1986]:[SPPR_symbolic_full_import_as_DC]], 0)) / INDEX(טבלה1[[SPPR_1986]:[SPPR_symbolic_full_import_as_DC]], MATCH('השוואת פקטורים'!$B111, 'PPRs all'!$A$2:$A$108, 0), MATCH('השוואת פקטורים'!N$6, טבלה1[[#Headers],[SPPR_1986]:[SPPR_symbolic_full_import_as_DC]], 0)),
INDEX(טבלה2[[SPPR_1986]:[SPPR_symbolic_full_import_as_DC]], MATCH('השוואת פקטורים'!$B111, 'PPRs inner'!$A$2:$A$108, 0), MATCH('השוואת פקטורים'!O$6, טבלה2[[#Headers],[SPPR_1986]:[SPPR_symbolic_full_import_as_DC]], 0)) / INDEX(טבלה2[[SPPR_1986]:[SPPR_symbolic_full_import_as_DC]], MATCH('השוואת פקטורים'!$B111, 'PPRs inner'!$A$2:$A$108, 0), MATCH('השוואת פקטורים'!N$6, טבלה2[[#Headers],[SPPR_1986]:[SPPR_symbolic_full_import_as_DC]], 0))
)</f>
        <v>0.99999999999999967</v>
      </c>
      <c r="P111" s="9">
        <f>IF($B$4="סהכ",
INDEX(טבלה1[[SPPR_1986]:[SPPR_symbolic_full_import_as_DC]], MATCH('השוואת פקטורים'!$B111, 'PPRs all'!$A$2:$A$108, 0), MATCH('השוואת פקטורים'!P$6, טבלה1[[#Headers],[SPPR_1986]:[SPPR_symbolic_full_import_as_DC]], 0)) / INDEX(טבלה1[[SPPR_1986]:[SPPR_symbolic_full_import_as_DC]], MATCH('השוואת פקטורים'!$B111, 'PPRs all'!$A$2:$A$108, 0), MATCH('השוואת פקטורים'!O$6, טבלה1[[#Headers],[SPPR_1986]:[SPPR_symbolic_full_import_as_DC]], 0)),
INDEX(טבלה2[[SPPR_1986]:[SPPR_symbolic_full_import_as_DC]], MATCH('השוואת פקטורים'!$B111, 'PPRs inner'!$A$2:$A$108, 0), MATCH('השוואת פקטורים'!P$6, טבלה2[[#Headers],[SPPR_1986]:[SPPR_symbolic_full_import_as_DC]], 0)) / INDEX(טבלה2[[SPPR_1986]:[SPPR_symbolic_full_import_as_DC]], MATCH('השוואת פקטורים'!$B111, 'PPRs inner'!$A$2:$A$108, 0), MATCH('השוואת פקטורים'!O$6, טבלה2[[#Headers],[SPPR_1986]:[SPPR_symbolic_full_import_as_DC]], 0))
)</f>
        <v>0.50165462289521723</v>
      </c>
      <c r="Q111" s="9">
        <f>IF($B$4="סהכ",
INDEX(טבלה1[[SPPR_1986]:[SPPR_symbolic_full_import_as_DC]], MATCH('השוואת פקטורים'!$B111, 'PPRs all'!$A$2:$A$108, 0), MATCH('השוואת פקטורים'!Q$6, טבלה1[[#Headers],[SPPR_1986]:[SPPR_symbolic_full_import_as_DC]], 0)) / INDEX(טבלה1[[SPPR_1986]:[SPPR_symbolic_full_import_as_DC]], MATCH('השוואת פקטורים'!$B111, 'PPRs all'!$A$2:$A$108, 0), MATCH('השוואת פקטורים'!P$6, טבלה1[[#Headers],[SPPR_1986]:[SPPR_symbolic_full_import_as_DC]], 0)),
INDEX(טבלה2[[SPPR_1986]:[SPPR_symbolic_full_import_as_DC]], MATCH('השוואת פקטורים'!$B111, 'PPRs inner'!$A$2:$A$108, 0), MATCH('השוואת פקטורים'!Q$6, טבלה2[[#Headers],[SPPR_1986]:[SPPR_symbolic_full_import_as_DC]], 0)) / INDEX(טבלה2[[SPPR_1986]:[SPPR_symbolic_full_import_as_DC]], MATCH('השוואת פקטורים'!$B111, 'PPRs inner'!$A$2:$A$108, 0), MATCH('השוואת פקטורים'!P$6, טבלה2[[#Headers],[SPPR_1986]:[SPPR_symbolic_full_import_as_DC]], 0))
)</f>
        <v>0.99999999999999734</v>
      </c>
      <c r="R111" s="9">
        <f>IF($B$4="סהכ",
INDEX(טבלה1[[SPPR_1986]:[SPPR_symbolic_full_import_as_DC]], MATCH('השוואת פקטורים'!$B111, 'PPRs all'!$A$2:$A$108, 0), MATCH('השוואת פקטורים'!R$6, טבלה1[[#Headers],[SPPR_1986]:[SPPR_symbolic_full_import_as_DC]], 0)) / INDEX(טבלה1[[SPPR_1986]:[SPPR_symbolic_full_import_as_DC]], MATCH('השוואת פקטורים'!$B111, 'PPRs all'!$A$2:$A$108, 0), MATCH('השוואת פקטורים'!Q$6, טבלה1[[#Headers],[SPPR_1986]:[SPPR_symbolic_full_import_as_DC]], 0)),
INDEX(טבלה2[[SPPR_1986]:[SPPR_symbolic_full_import_as_DC]], MATCH('השוואת פקטורים'!$B111, 'PPRs inner'!$A$2:$A$108, 0), MATCH('השוואת פקטורים'!R$6, טבלה2[[#Headers],[SPPR_1986]:[SPPR_symbolic_full_import_as_DC]], 0)) / INDEX(טבלה2[[SPPR_1986]:[SPPR_symbolic_full_import_as_DC]], MATCH('השוואת פקטורים'!$B111, 'PPRs inner'!$A$2:$A$108, 0), MATCH('השוואת פקטורים'!Q$6, טבלה2[[#Headers],[SPPR_1986]:[SPPR_symbolic_full_import_as_DC]], 0))
)</f>
        <v>1.0001508376824746</v>
      </c>
      <c r="S111" s="9">
        <f>IF($B$4="סהכ",
INDEX(טבלה1[[SPPR_1986]:[SPPR_symbolic_full_import_as_DC]], MATCH('השוואת פקטורים'!$B111, 'PPRs all'!$A$2:$A$108, 0), MATCH('השוואת פקטורים'!S$6, טבלה1[[#Headers],[SPPR_1986]:[SPPR_symbolic_full_import_as_DC]], 0)) / INDEX(טבלה1[[SPPR_1986]:[SPPR_symbolic_full_import_as_DC]], MATCH('השוואת פקטורים'!$B111, 'PPRs all'!$A$2:$A$108, 0), MATCH('השוואת פקטורים'!R$6, טבלה1[[#Headers],[SPPR_1986]:[SPPR_symbolic_full_import_as_DC]], 0)),
INDEX(טבלה2[[SPPR_1986]:[SPPR_symbolic_full_import_as_DC]], MATCH('השוואת פקטורים'!$B111, 'PPRs inner'!$A$2:$A$108, 0), MATCH('השוואת פקטורים'!S$6, טבלה2[[#Headers],[SPPR_1986]:[SPPR_symbolic_full_import_as_DC]], 0)) / INDEX(טבלה2[[SPPR_1986]:[SPPR_symbolic_full_import_as_DC]], MATCH('השוואת פקטורים'!$B111, 'PPRs inner'!$A$2:$A$108, 0), MATCH('השוואת פקטורים'!R$6, טבלה2[[#Headers],[SPPR_1986]:[SPPR_symbolic_full_import_as_DC]], 0))
)</f>
        <v>0.99984918506610043</v>
      </c>
      <c r="T111" s="9">
        <f>IF($B$4="סהכ",
INDEX(טבלה1[[SPPR_1986]:[SPPR_symbolic_full_import_as_DC]], MATCH('השוואת פקטורים'!$B111, 'PPRs all'!$A$2:$A$108, 0), MATCH('השוואת פקטורים'!T$6, טבלה1[[#Headers],[SPPR_1986]:[SPPR_symbolic_full_import_as_DC]], 0)) / INDEX(טבלה1[[SPPR_1986]:[SPPR_symbolic_full_import_as_DC]], MATCH('השוואת פקטורים'!$B111, 'PPRs all'!$A$2:$A$108, 0), MATCH('השוואת פקטורים'!S$6, טבלה1[[#Headers],[SPPR_1986]:[SPPR_symbolic_full_import_as_DC]], 0)),
INDEX(טבלה2[[SPPR_1986]:[SPPR_symbolic_full_import_as_DC]], MATCH('השוואת פקטורים'!$B111, 'PPRs inner'!$A$2:$A$108, 0), MATCH('השוואת פקטורים'!T$6, טבלה2[[#Headers],[SPPR_1986]:[SPPR_symbolic_full_import_as_DC]], 0)) / INDEX(טבלה2[[SPPR_1986]:[SPPR_symbolic_full_import_as_DC]], MATCH('השוואת פקטורים'!$B111, 'PPRs inner'!$A$2:$A$108, 0), MATCH('השוואת פקטורים'!S$6, טבלה2[[#Headers],[SPPR_1986]:[SPPR_symbolic_full_import_as_DC]], 0))
)</f>
        <v>1.0001508376824746</v>
      </c>
      <c r="U111" s="9">
        <f>IF($B$4="סהכ",
INDEX(טבלה1[[SPPR_1986]:[SPPR_symbolic_full_import_as_DC]], MATCH('השוואת פקטורים'!$B111, 'PPRs all'!$A$2:$A$108, 0), MATCH('השוואת פקטורים'!U$6, טבלה1[[#Headers],[SPPR_1986]:[SPPR_symbolic_full_import_as_DC]], 0)) / INDEX(טבלה1[[SPPR_1986]:[SPPR_symbolic_full_import_as_DC]], MATCH('השוואת פקטורים'!$B111, 'PPRs all'!$A$2:$A$108, 0), MATCH('השוואת פקטורים'!T$6, טבלה1[[#Headers],[SPPR_1986]:[SPPR_symbolic_full_import_as_DC]], 0)),
INDEX(טבלה2[[SPPR_1986]:[SPPR_symbolic_full_import_as_DC]], MATCH('השוואת פקטורים'!$B111, 'PPRs inner'!$A$2:$A$108, 0), MATCH('השוואת פקטורים'!U$6, טבלה2[[#Headers],[SPPR_1986]:[SPPR_symbolic_full_import_as_DC]], 0)) / INDEX(טבלה2[[SPPR_1986]:[SPPR_symbolic_full_import_as_DC]], MATCH('השוואת פקטורים'!$B111, 'PPRs inner'!$A$2:$A$108, 0), MATCH('השוואת פקטורים'!T$6, טבלה2[[#Headers],[SPPR_1986]:[SPPR_symbolic_full_import_as_DC]], 0))
)</f>
        <v>0.99984918506610321</v>
      </c>
      <c r="V111" s="9"/>
      <c r="W111" s="9"/>
      <c r="X111" s="14"/>
      <c r="Y111" s="14"/>
      <c r="Z111" s="15">
        <f t="shared" si="6"/>
        <v>0.97427734422206713</v>
      </c>
    </row>
    <row r="112" spans="2:26" x14ac:dyDescent="0.3">
      <c r="B112" s="6" t="s">
        <v>126</v>
      </c>
      <c r="C112" s="12" t="b">
        <v>1</v>
      </c>
      <c r="D112" s="12" t="b">
        <v>0</v>
      </c>
      <c r="E112" s="12" t="b">
        <v>1</v>
      </c>
      <c r="F112" s="12" t="b">
        <f t="shared" si="5"/>
        <v>0</v>
      </c>
      <c r="G112" s="7" t="b">
        <f>ABS(INDEX(טבלה5[[SPPR_1986]:[SPPR_symbolic_full_import_as_DC]],MATCH('השוואת פקטורים'!$B112,טבלה5[עמודה1],0),MATCH($C$4,טבלה5[[#Headers],[SPPR_1986]:[SPPR_symbolic_full_import_as_DC]],0))) &lt; 5</f>
        <v>1</v>
      </c>
      <c r="H112" s="7" t="b">
        <f>INDEX(טבלה3[[SPPR_1986]:[SPPR_symbolic_full_import_as_DC]],MATCH('השוואת פקטורים'!$B112,טבלה3[עמודה1],0),MATCH($C$4,טבלה3[[#Headers],[SPPR_1986]:[SPPR_symbolic_full_import_as_DC]],0))</f>
        <v>1</v>
      </c>
      <c r="I112" s="7" t="b">
        <f t="shared" si="7"/>
        <v>0</v>
      </c>
      <c r="J112" s="13"/>
      <c r="K112" s="9">
        <f>IF($B$4="סהכ",
INDEX(טבלה1[[SPPR_1986]:[SPPR_symbolic_full_import_as_DC]], MATCH('השוואת פקטורים'!$B112, 'PPRs all'!$A$2:$A$108, 0), MATCH('השוואת פקטורים'!K$6, טבלה1[[#Headers],[SPPR_1986]:[SPPR_symbolic_full_import_as_DC]], 0)) / INDEX(טבלה1[[SPPR_1986]:[SPPR_symbolic_full_import_as_DC]], MATCH('השוואת פקטורים'!$B112, 'PPRs all'!$A$2:$A$108, 0), MATCH('השוואת פקטורים'!J$6, טבלה1[[#Headers],[SPPR_1986]:[SPPR_symbolic_full_import_as_DC]], 0)),
INDEX(טבלה2[[SPPR_1986]:[SPPR_symbolic_full_import_as_DC]], MATCH('השוואת פקטורים'!$B112, 'PPRs inner'!$A$2:$A$108, 0), MATCH('השוואת פקטורים'!K$6, טבלה2[[#Headers],[SPPR_1986]:[SPPR_symbolic_full_import_as_DC]], 0)) / INDEX(טבלה2[[SPPR_1986]:[SPPR_symbolic_full_import_as_DC]], MATCH('השוואת פקטורים'!$B112, 'PPRs inner'!$A$2:$A$108, 0), MATCH('השוואת פקטורים'!J$6, טבלה2[[#Headers],[SPPR_1986]:[SPPR_symbolic_full_import_as_DC]], 0))
)</f>
        <v>0.29697581938732293</v>
      </c>
      <c r="L112" s="9">
        <f>IF($B$4="סהכ",
INDEX(טבלה1[[SPPR_1986]:[SPPR_symbolic_full_import_as_DC]], MATCH('השוואת פקטורים'!$B112, 'PPRs all'!$A$2:$A$108, 0), MATCH('השוואת פקטורים'!L$6, טבלה1[[#Headers],[SPPR_1986]:[SPPR_symbolic_full_import_as_DC]], 0)) / INDEX(טבלה1[[SPPR_1986]:[SPPR_symbolic_full_import_as_DC]], MATCH('השוואת פקטורים'!$B112, 'PPRs all'!$A$2:$A$108, 0), MATCH('השוואת פקטורים'!K$6, טבלה1[[#Headers],[SPPR_1986]:[SPPR_symbolic_full_import_as_DC]], 0)),
INDEX(טבלה2[[SPPR_1986]:[SPPR_symbolic_full_import_as_DC]], MATCH('השוואת פקטורים'!$B112, 'PPRs inner'!$A$2:$A$108, 0), MATCH('השוואת פקטורים'!L$6, טבלה2[[#Headers],[SPPR_1986]:[SPPR_symbolic_full_import_as_DC]], 0)) / INDEX(טבלה2[[SPPR_1986]:[SPPR_symbolic_full_import_as_DC]], MATCH('השוואת פקטורים'!$B112, 'PPRs inner'!$A$2:$A$108, 0), MATCH('השוואת פקטורים'!K$6, טבלה2[[#Headers],[SPPR_1986]:[SPPR_symbolic_full_import_as_DC]], 0))
)</f>
        <v>2.9513261371770469</v>
      </c>
      <c r="M112" s="9">
        <f>IF($B$4="סהכ",
INDEX(טבלה1[[SPPR_1986]:[SPPR_symbolic_full_import_as_DC]], MATCH('השוואת פקטורים'!$B112, 'PPRs all'!$A$2:$A$108, 0), MATCH('השוואת פקטורים'!M$6, טבלה1[[#Headers],[SPPR_1986]:[SPPR_symbolic_full_import_as_DC]], 0)) / INDEX(טבלה1[[SPPR_1986]:[SPPR_symbolic_full_import_as_DC]], MATCH('השוואת פקטורים'!$B112, 'PPRs all'!$A$2:$A$108, 0), MATCH('השוואת פקטורים'!L$6, טבלה1[[#Headers],[SPPR_1986]:[SPPR_symbolic_full_import_as_DC]], 0)),
INDEX(טבלה2[[SPPR_1986]:[SPPR_symbolic_full_import_as_DC]], MATCH('השוואת פקטורים'!$B112, 'PPRs inner'!$A$2:$A$108, 0), MATCH('השוואת פקטורים'!M$6, טבלה2[[#Headers],[SPPR_1986]:[SPPR_symbolic_full_import_as_DC]], 0)) / INDEX(טבלה2[[SPPR_1986]:[SPPR_symbolic_full_import_as_DC]], MATCH('השוואת פקטורים'!$B112, 'PPRs inner'!$A$2:$A$108, 0), MATCH('השוואת פקטורים'!L$6, טבלה2[[#Headers],[SPPR_1986]:[SPPR_symbolic_full_import_as_DC]], 0))
)</f>
        <v>2.7532129310140436</v>
      </c>
      <c r="N112" s="9">
        <f>IF($B$4="סהכ",
INDEX(טבלה1[[SPPR_1986]:[SPPR_symbolic_full_import_as_DC]], MATCH('השוואת פקטורים'!$B112, 'PPRs all'!$A$2:$A$108, 0), MATCH('השוואת פקטורים'!N$6, טבלה1[[#Headers],[SPPR_1986]:[SPPR_symbolic_full_import_as_DC]], 0)) / INDEX(טבלה1[[SPPR_1986]:[SPPR_symbolic_full_import_as_DC]], MATCH('השוואת פקטורים'!$B112, 'PPRs all'!$A$2:$A$108, 0), MATCH('השוואת פקטורים'!M$6, טבלה1[[#Headers],[SPPR_1986]:[SPPR_symbolic_full_import_as_DC]], 0)),
INDEX(טבלה2[[SPPR_1986]:[SPPR_symbolic_full_import_as_DC]], MATCH('השוואת פקטורים'!$B112, 'PPRs inner'!$A$2:$A$108, 0), MATCH('השוואת פקטורים'!N$6, טבלה2[[#Headers],[SPPR_1986]:[SPPR_symbolic_full_import_as_DC]], 0)) / INDEX(טבלה2[[SPPR_1986]:[SPPR_symbolic_full_import_as_DC]], MATCH('השוואת פקטורים'!$B112, 'PPRs inner'!$A$2:$A$108, 0), MATCH('השוואת פקטורים'!M$6, טבלה2[[#Headers],[SPPR_1986]:[SPPR_symbolic_full_import_as_DC]], 0))
)</f>
        <v>2.4811703152006417</v>
      </c>
      <c r="O112" s="9">
        <f>IF($B$4="סהכ",
INDEX(טבלה1[[SPPR_1986]:[SPPR_symbolic_full_import_as_DC]], MATCH('השוואת פקטורים'!$B112, 'PPRs all'!$A$2:$A$108, 0), MATCH('השוואת פקטורים'!O$6, טבלה1[[#Headers],[SPPR_1986]:[SPPR_symbolic_full_import_as_DC]], 0)) / INDEX(טבלה1[[SPPR_1986]:[SPPR_symbolic_full_import_as_DC]], MATCH('השוואת פקטורים'!$B112, 'PPRs all'!$A$2:$A$108, 0), MATCH('השוואת פקטורים'!N$6, טבלה1[[#Headers],[SPPR_1986]:[SPPR_symbolic_full_import_as_DC]], 0)),
INDEX(טבלה2[[SPPR_1986]:[SPPR_symbolic_full_import_as_DC]], MATCH('השוואת פקטורים'!$B112, 'PPRs inner'!$A$2:$A$108, 0), MATCH('השוואת פקטורים'!O$6, טבלה2[[#Headers],[SPPR_1986]:[SPPR_symbolic_full_import_as_DC]], 0)) / INDEX(טבלה2[[SPPR_1986]:[SPPR_symbolic_full_import_as_DC]], MATCH('השוואת פקטורים'!$B112, 'PPRs inner'!$A$2:$A$108, 0), MATCH('השוואת פקטורים'!N$6, טבלה2[[#Headers],[SPPR_1986]:[SPPR_symbolic_full_import_as_DC]], 0))
)</f>
        <v>1</v>
      </c>
      <c r="P112" s="9">
        <f>IF($B$4="סהכ",
INDEX(טבלה1[[SPPR_1986]:[SPPR_symbolic_full_import_as_DC]], MATCH('השוואת פקטורים'!$B112, 'PPRs all'!$A$2:$A$108, 0), MATCH('השוואת פקטורים'!P$6, טבלה1[[#Headers],[SPPR_1986]:[SPPR_symbolic_full_import_as_DC]], 0)) / INDEX(טבלה1[[SPPR_1986]:[SPPR_symbolic_full_import_as_DC]], MATCH('השוואת פקטורים'!$B112, 'PPRs all'!$A$2:$A$108, 0), MATCH('השוואת פקטורים'!O$6, טבלה1[[#Headers],[SPPR_1986]:[SPPR_symbolic_full_import_as_DC]], 0)),
INDEX(טבלה2[[SPPR_1986]:[SPPR_symbolic_full_import_as_DC]], MATCH('השוואת פקטורים'!$B112, 'PPRs inner'!$A$2:$A$108, 0), MATCH('השוואת פקטורים'!P$6, טבלה2[[#Headers],[SPPR_1986]:[SPPR_symbolic_full_import_as_DC]], 0)) / INDEX(טבלה2[[SPPR_1986]:[SPPR_symbolic_full_import_as_DC]], MATCH('השוואת פקטורים'!$B112, 'PPRs inner'!$A$2:$A$108, 0), MATCH('השוואת פקטורים'!O$6, טבלה2[[#Headers],[SPPR_1986]:[SPPR_symbolic_full_import_as_DC]], 0))
)</f>
        <v>0.43422743360995153</v>
      </c>
      <c r="Q112" s="9">
        <f>IF($B$4="סהכ",
INDEX(טבלה1[[SPPR_1986]:[SPPR_symbolic_full_import_as_DC]], MATCH('השוואת פקטורים'!$B112, 'PPRs all'!$A$2:$A$108, 0), MATCH('השוואת פקטורים'!Q$6, טבלה1[[#Headers],[SPPR_1986]:[SPPR_symbolic_full_import_as_DC]], 0)) / INDEX(טבלה1[[SPPR_1986]:[SPPR_symbolic_full_import_as_DC]], MATCH('השוואת פקטורים'!$B112, 'PPRs all'!$A$2:$A$108, 0), MATCH('השוואת פקטורים'!P$6, טבלה1[[#Headers],[SPPR_1986]:[SPPR_symbolic_full_import_as_DC]], 0)),
INDEX(טבלה2[[SPPR_1986]:[SPPR_symbolic_full_import_as_DC]], MATCH('השוואת פקטורים'!$B112, 'PPRs inner'!$A$2:$A$108, 0), MATCH('השוואת פקטורים'!Q$6, טבלה2[[#Headers],[SPPR_1986]:[SPPR_symbolic_full_import_as_DC]], 0)) / INDEX(טבלה2[[SPPR_1986]:[SPPR_symbolic_full_import_as_DC]], MATCH('השוואת פקטורים'!$B112, 'PPRs inner'!$A$2:$A$108, 0), MATCH('השוואת פקטורים'!P$6, טבלה2[[#Headers],[SPPR_1986]:[SPPR_symbolic_full_import_as_DC]], 0))
)</f>
        <v>1.0000000000000022</v>
      </c>
      <c r="R112" s="9">
        <f>IF($B$4="סהכ",
INDEX(טבלה1[[SPPR_1986]:[SPPR_symbolic_full_import_as_DC]], MATCH('השוואת פקטורים'!$B112, 'PPRs all'!$A$2:$A$108, 0), MATCH('השוואת פקטורים'!R$6, טבלה1[[#Headers],[SPPR_1986]:[SPPR_symbolic_full_import_as_DC]], 0)) / INDEX(טבלה1[[SPPR_1986]:[SPPR_symbolic_full_import_as_DC]], MATCH('השוואת פקטורים'!$B112, 'PPRs all'!$A$2:$A$108, 0), MATCH('השוואת פקטורים'!Q$6, טבלה1[[#Headers],[SPPR_1986]:[SPPR_symbolic_full_import_as_DC]], 0)),
INDEX(טבלה2[[SPPR_1986]:[SPPR_symbolic_full_import_as_DC]], MATCH('השוואת פקטורים'!$B112, 'PPRs inner'!$A$2:$A$108, 0), MATCH('השוואת פקטורים'!R$6, טבלה2[[#Headers],[SPPR_1986]:[SPPR_symbolic_full_import_as_DC]], 0)) / INDEX(טבלה2[[SPPR_1986]:[SPPR_symbolic_full_import_as_DC]], MATCH('השוואת פקטורים'!$B112, 'PPRs inner'!$A$2:$A$108, 0), MATCH('השוואת פקטורים'!Q$6, טבלה2[[#Headers],[SPPR_1986]:[SPPR_symbolic_full_import_as_DC]], 0))
)</f>
        <v>1.0238102634132618</v>
      </c>
      <c r="S112" s="9">
        <f>IF($B$4="סהכ",
INDEX(טבלה1[[SPPR_1986]:[SPPR_symbolic_full_import_as_DC]], MATCH('השוואת פקטורים'!$B112, 'PPRs all'!$A$2:$A$108, 0), MATCH('השוואת פקטורים'!S$6, טבלה1[[#Headers],[SPPR_1986]:[SPPR_symbolic_full_import_as_DC]], 0)) / INDEX(טבלה1[[SPPR_1986]:[SPPR_symbolic_full_import_as_DC]], MATCH('השוואת פקטורים'!$B112, 'PPRs all'!$A$2:$A$108, 0), MATCH('השוואת פקטורים'!R$6, טבלה1[[#Headers],[SPPR_1986]:[SPPR_symbolic_full_import_as_DC]], 0)),
INDEX(טבלה2[[SPPR_1986]:[SPPR_symbolic_full_import_as_DC]], MATCH('השוואת פקטורים'!$B112, 'PPRs inner'!$A$2:$A$108, 0), MATCH('השוואת פקטורים'!S$6, טבלה2[[#Headers],[SPPR_1986]:[SPPR_symbolic_full_import_as_DC]], 0)) / INDEX(טבלה2[[SPPR_1986]:[SPPR_symbolic_full_import_as_DC]], MATCH('השוואת פקטורים'!$B112, 'PPRs inner'!$A$2:$A$108, 0), MATCH('השוואת פקטורים'!R$6, טבלה2[[#Headers],[SPPR_1986]:[SPPR_symbolic_full_import_as_DC]], 0))
)</f>
        <v>0.97674348044345527</v>
      </c>
      <c r="T112" s="9">
        <f>IF($B$4="סהכ",
INDEX(טבלה1[[SPPR_1986]:[SPPR_symbolic_full_import_as_DC]], MATCH('השוואת פקטורים'!$B112, 'PPRs all'!$A$2:$A$108, 0), MATCH('השוואת פקטורים'!T$6, טבלה1[[#Headers],[SPPR_1986]:[SPPR_symbolic_full_import_as_DC]], 0)) / INDEX(טבלה1[[SPPR_1986]:[SPPR_symbolic_full_import_as_DC]], MATCH('השוואת פקטורים'!$B112, 'PPRs all'!$A$2:$A$108, 0), MATCH('השוואת פקטורים'!S$6, טבלה1[[#Headers],[SPPR_1986]:[SPPR_symbolic_full_import_as_DC]], 0)),
INDEX(טבלה2[[SPPR_1986]:[SPPR_symbolic_full_import_as_DC]], MATCH('השוואת פקטורים'!$B112, 'PPRs inner'!$A$2:$A$108, 0), MATCH('השוואת פקטורים'!T$6, טבלה2[[#Headers],[SPPR_1986]:[SPPR_symbolic_full_import_as_DC]], 0)) / INDEX(טבלה2[[SPPR_1986]:[SPPR_symbolic_full_import_as_DC]], MATCH('השוואת פקטורים'!$B112, 'PPRs inner'!$A$2:$A$108, 0), MATCH('השוואת פקטורים'!S$6, טבלה2[[#Headers],[SPPR_1986]:[SPPR_symbolic_full_import_as_DC]], 0))
)</f>
        <v>1.0238102634132618</v>
      </c>
      <c r="U112" s="9">
        <f>IF($B$4="סהכ",
INDEX(טבלה1[[SPPR_1986]:[SPPR_symbolic_full_import_as_DC]], MATCH('השוואת פקטורים'!$B112, 'PPRs all'!$A$2:$A$108, 0), MATCH('השוואת פקטורים'!U$6, טבלה1[[#Headers],[SPPR_1986]:[SPPR_symbolic_full_import_as_DC]], 0)) / INDEX(טבלה1[[SPPR_1986]:[SPPR_symbolic_full_import_as_DC]], MATCH('השוואת פקטורים'!$B112, 'PPRs all'!$A$2:$A$108, 0), MATCH('השוואת פקטורים'!T$6, טבלה1[[#Headers],[SPPR_1986]:[SPPR_symbolic_full_import_as_DC]], 0)),
INDEX(טבלה2[[SPPR_1986]:[SPPR_symbolic_full_import_as_DC]], MATCH('השוואת פקטורים'!$B112, 'PPRs inner'!$A$2:$A$108, 0), MATCH('השוואת פקטורים'!U$6, טבלה2[[#Headers],[SPPR_1986]:[SPPR_symbolic_full_import_as_DC]], 0)) / INDEX(טבלה2[[SPPR_1986]:[SPPR_symbolic_full_import_as_DC]], MATCH('השוואת פקטורים'!$B112, 'PPRs inner'!$A$2:$A$108, 0), MATCH('השוואת פקטורים'!T$6, טבלה2[[#Headers],[SPPR_1986]:[SPPR_symbolic_full_import_as_DC]], 0))
)</f>
        <v>0.97674348044345316</v>
      </c>
      <c r="V112" s="9"/>
      <c r="W112" s="9"/>
      <c r="X112" s="14"/>
      <c r="Y112" s="14"/>
      <c r="Z112" s="15">
        <f t="shared" si="6"/>
        <v>2.5998717698177414</v>
      </c>
    </row>
    <row r="113" spans="2:26" ht="14.5" thickBot="1" x14ac:dyDescent="0.35">
      <c r="B113" s="6" t="s">
        <v>127</v>
      </c>
      <c r="C113" s="12" t="b">
        <v>1</v>
      </c>
      <c r="D113" s="12" t="b">
        <v>0</v>
      </c>
      <c r="E113" s="12" t="b">
        <v>1</v>
      </c>
      <c r="F113" s="12" t="b">
        <f t="shared" si="5"/>
        <v>0</v>
      </c>
      <c r="G113" s="7" t="b">
        <f>ABS(INDEX(טבלה5[[SPPR_1986]:[SPPR_symbolic_full_import_as_DC]],MATCH('השוואת פקטורים'!$B113,טבלה5[עמודה1],0),MATCH($C$4,טבלה5[[#Headers],[SPPR_1986]:[SPPR_symbolic_full_import_as_DC]],0))) &lt; 5</f>
        <v>1</v>
      </c>
      <c r="H113" s="7" t="b">
        <f>INDEX(טבלה3[[SPPR_1986]:[SPPR_symbolic_full_import_as_DC]],MATCH('השוואת פקטורים'!$B113,טבלה3[עמודה1],0),MATCH($C$4,טבלה3[[#Headers],[SPPR_1986]:[SPPR_symbolic_full_import_as_DC]],0))</f>
        <v>1</v>
      </c>
      <c r="I113" s="7" t="b">
        <f t="shared" si="7"/>
        <v>0</v>
      </c>
      <c r="J113" s="16"/>
      <c r="K113" s="9">
        <f>IF($B$4="סהכ",
INDEX(טבלה1[[SPPR_1986]:[SPPR_symbolic_full_import_as_DC]], MATCH('השוואת פקטורים'!$B113, 'PPRs all'!$A$2:$A$108, 0), MATCH('השוואת פקטורים'!K$6, טבלה1[[#Headers],[SPPR_1986]:[SPPR_symbolic_full_import_as_DC]], 0)) / INDEX(טבלה1[[SPPR_1986]:[SPPR_symbolic_full_import_as_DC]], MATCH('השוואת פקטורים'!$B113, 'PPRs all'!$A$2:$A$108, 0), MATCH('השוואת פקטורים'!J$6, טבלה1[[#Headers],[SPPR_1986]:[SPPR_symbolic_full_import_as_DC]], 0)),
INDEX(טבלה2[[SPPR_1986]:[SPPR_symbolic_full_import_as_DC]], MATCH('השוואת פקטורים'!$B113, 'PPRs inner'!$A$2:$A$108, 0), MATCH('השוואת פקטורים'!K$6, טבלה2[[#Headers],[SPPR_1986]:[SPPR_symbolic_full_import_as_DC]], 0)) / INDEX(טבלה2[[SPPR_1986]:[SPPR_symbolic_full_import_as_DC]], MATCH('השוואת פקטורים'!$B113, 'PPRs inner'!$A$2:$A$108, 0), MATCH('השוואת פקטורים'!J$6, טבלה2[[#Headers],[SPPR_1986]:[SPPR_symbolic_full_import_as_DC]], 0))
)</f>
        <v>0.39809748960176089</v>
      </c>
      <c r="L113" s="9">
        <f>IF($B$4="סהכ",
INDEX(טבלה1[[SPPR_1986]:[SPPR_symbolic_full_import_as_DC]], MATCH('השוואת פקטורים'!$B113, 'PPRs all'!$A$2:$A$108, 0), MATCH('השוואת פקטורים'!L$6, טבלה1[[#Headers],[SPPR_1986]:[SPPR_symbolic_full_import_as_DC]], 0)) / INDEX(טבלה1[[SPPR_1986]:[SPPR_symbolic_full_import_as_DC]], MATCH('השוואת פקטורים'!$B113, 'PPRs all'!$A$2:$A$108, 0), MATCH('השוואת פקטורים'!K$6, טבלה1[[#Headers],[SPPR_1986]:[SPPR_symbolic_full_import_as_DC]], 0)),
INDEX(טבלה2[[SPPR_1986]:[SPPR_symbolic_full_import_as_DC]], MATCH('השוואת פקטורים'!$B113, 'PPRs inner'!$A$2:$A$108, 0), MATCH('השוואת פקטורים'!L$6, טבלה2[[#Headers],[SPPR_1986]:[SPPR_symbolic_full_import_as_DC]], 0)) / INDEX(טבלה2[[SPPR_1986]:[SPPR_symbolic_full_import_as_DC]], MATCH('השוואת פקטורים'!$B113, 'PPRs inner'!$A$2:$A$108, 0), MATCH('השוואת פקטורים'!K$6, טבלה2[[#Headers],[SPPR_1986]:[SPPR_symbolic_full_import_as_DC]], 0))
)</f>
        <v>3.6737953820171634</v>
      </c>
      <c r="M113" s="9">
        <f>IF($B$4="סהכ",
INDEX(טבלה1[[SPPR_1986]:[SPPR_symbolic_full_import_as_DC]], MATCH('השוואת פקטורים'!$B113, 'PPRs all'!$A$2:$A$108, 0), MATCH('השוואת פקטורים'!M$6, טבלה1[[#Headers],[SPPR_1986]:[SPPR_symbolic_full_import_as_DC]], 0)) / INDEX(טבלה1[[SPPR_1986]:[SPPR_symbolic_full_import_as_DC]], MATCH('השוואת פקטורים'!$B113, 'PPRs all'!$A$2:$A$108, 0), MATCH('השוואת פקטורים'!L$6, טבלה1[[#Headers],[SPPR_1986]:[SPPR_symbolic_full_import_as_DC]], 0)),
INDEX(טבלה2[[SPPR_1986]:[SPPR_symbolic_full_import_as_DC]], MATCH('השוואת פקטורים'!$B113, 'PPRs inner'!$A$2:$A$108, 0), MATCH('השוואת פקטורים'!M$6, טבלה2[[#Headers],[SPPR_1986]:[SPPR_symbolic_full_import_as_DC]], 0)) / INDEX(טבלה2[[SPPR_1986]:[SPPR_symbolic_full_import_as_DC]], MATCH('השוואת פקטורים'!$B113, 'PPRs inner'!$A$2:$A$108, 0), MATCH('השוואת פקטורים'!L$6, טבלה2[[#Headers],[SPPR_1986]:[SPPR_symbolic_full_import_as_DC]], 0))
)</f>
        <v>3.2537849108761971</v>
      </c>
      <c r="N113" s="9">
        <f>IF($B$4="סהכ",
INDEX(טבלה1[[SPPR_1986]:[SPPR_symbolic_full_import_as_DC]], MATCH('השוואת פקטורים'!$B113, 'PPRs all'!$A$2:$A$108, 0), MATCH('השוואת פקטורים'!N$6, טבלה1[[#Headers],[SPPR_1986]:[SPPR_symbolic_full_import_as_DC]], 0)) / INDEX(טבלה1[[SPPR_1986]:[SPPR_symbolic_full_import_as_DC]], MATCH('השוואת פקטורים'!$B113, 'PPRs all'!$A$2:$A$108, 0), MATCH('השוואת פקטורים'!M$6, טבלה1[[#Headers],[SPPR_1986]:[SPPR_symbolic_full_import_as_DC]], 0)),
INDEX(טבלה2[[SPPR_1986]:[SPPR_symbolic_full_import_as_DC]], MATCH('השוואת פקטורים'!$B113, 'PPRs inner'!$A$2:$A$108, 0), MATCH('השוואת פקטורים'!N$6, טבלה2[[#Headers],[SPPR_1986]:[SPPR_symbolic_full_import_as_DC]], 0)) / INDEX(טבלה2[[SPPR_1986]:[SPPR_symbolic_full_import_as_DC]], MATCH('השוואת פקטורים'!$B113, 'PPRs inner'!$A$2:$A$108, 0), MATCH('השוואת פקטורים'!M$6, טבלה2[[#Headers],[SPPR_1986]:[SPPR_symbolic_full_import_as_DC]], 0))
)</f>
        <v>3.5965049840538033</v>
      </c>
      <c r="O113" s="9">
        <f>IF($B$4="סהכ",
INDEX(טבלה1[[SPPR_1986]:[SPPR_symbolic_full_import_as_DC]], MATCH('השוואת פקטורים'!$B113, 'PPRs all'!$A$2:$A$108, 0), MATCH('השוואת פקטורים'!O$6, טבלה1[[#Headers],[SPPR_1986]:[SPPR_symbolic_full_import_as_DC]], 0)) / INDEX(טבלה1[[SPPR_1986]:[SPPR_symbolic_full_import_as_DC]], MATCH('השוואת פקטורים'!$B113, 'PPRs all'!$A$2:$A$108, 0), MATCH('השוואת פקטורים'!N$6, טבלה1[[#Headers],[SPPR_1986]:[SPPR_symbolic_full_import_as_DC]], 0)),
INDEX(טבלה2[[SPPR_1986]:[SPPR_symbolic_full_import_as_DC]], MATCH('השוואת פקטורים'!$B113, 'PPRs inner'!$A$2:$A$108, 0), MATCH('השוואת פקטורים'!O$6, טבלה2[[#Headers],[SPPR_1986]:[SPPR_symbolic_full_import_as_DC]], 0)) / INDEX(טבלה2[[SPPR_1986]:[SPPR_symbolic_full_import_as_DC]], MATCH('השוואת פקטורים'!$B113, 'PPRs inner'!$A$2:$A$108, 0), MATCH('השוואת פקטורים'!N$6, טבלה2[[#Headers],[SPPR_1986]:[SPPR_symbolic_full_import_as_DC]], 0))
)</f>
        <v>1</v>
      </c>
      <c r="P113" s="9">
        <f>IF($B$4="סהכ",
INDEX(טבלה1[[SPPR_1986]:[SPPR_symbolic_full_import_as_DC]], MATCH('השוואת פקטורים'!$B113, 'PPRs all'!$A$2:$A$108, 0), MATCH('השוואת פקטורים'!P$6, טבלה1[[#Headers],[SPPR_1986]:[SPPR_symbolic_full_import_as_DC]], 0)) / INDEX(טבלה1[[SPPR_1986]:[SPPR_symbolic_full_import_as_DC]], MATCH('השוואת פקטורים'!$B113, 'PPRs all'!$A$2:$A$108, 0), MATCH('השוואת פקטורים'!O$6, טבלה1[[#Headers],[SPPR_1986]:[SPPR_symbolic_full_import_as_DC]], 0)),
INDEX(טבלה2[[SPPR_1986]:[SPPR_symbolic_full_import_as_DC]], MATCH('השוואת פקטורים'!$B113, 'PPRs inner'!$A$2:$A$108, 0), MATCH('השוואת פקטורים'!P$6, טבלה2[[#Headers],[SPPR_1986]:[SPPR_symbolic_full_import_as_DC]], 0)) / INDEX(טבלה2[[SPPR_1986]:[SPPR_symbolic_full_import_as_DC]], MATCH('השוואת פקטורים'!$B113, 'PPRs inner'!$A$2:$A$108, 0), MATCH('השוואת פקטורים'!O$6, טבלה2[[#Headers],[SPPR_1986]:[SPPR_symbolic_full_import_as_DC]], 0))
)</f>
        <v>0.26419560756445487</v>
      </c>
      <c r="Q113" s="9">
        <f>IF($B$4="סהכ",
INDEX(טבלה1[[SPPR_1986]:[SPPR_symbolic_full_import_as_DC]], MATCH('השוואת פקטורים'!$B113, 'PPRs all'!$A$2:$A$108, 0), MATCH('השוואת פקטורים'!Q$6, טבלה1[[#Headers],[SPPR_1986]:[SPPR_symbolic_full_import_as_DC]], 0)) / INDEX(טבלה1[[SPPR_1986]:[SPPR_symbolic_full_import_as_DC]], MATCH('השוואת פקטורים'!$B113, 'PPRs all'!$A$2:$A$108, 0), MATCH('השוואת פקטורים'!P$6, טבלה1[[#Headers],[SPPR_1986]:[SPPR_symbolic_full_import_as_DC]], 0)),
INDEX(טבלה2[[SPPR_1986]:[SPPR_symbolic_full_import_as_DC]], MATCH('השוואת פקטורים'!$B113, 'PPRs inner'!$A$2:$A$108, 0), MATCH('השוואת פקטורים'!Q$6, טבלה2[[#Headers],[SPPR_1986]:[SPPR_symbolic_full_import_as_DC]], 0)) / INDEX(טבלה2[[SPPR_1986]:[SPPR_symbolic_full_import_as_DC]], MATCH('השוואת פקטורים'!$B113, 'PPRs inner'!$A$2:$A$108, 0), MATCH('השוואת פקטורים'!P$6, טבלה2[[#Headers],[SPPR_1986]:[SPPR_symbolic_full_import_as_DC]], 0))
)</f>
        <v>0.99999999999999933</v>
      </c>
      <c r="R113" s="9">
        <f>IF($B$4="סהכ",
INDEX(טבלה1[[SPPR_1986]:[SPPR_symbolic_full_import_as_DC]], MATCH('השוואת פקטורים'!$B113, 'PPRs all'!$A$2:$A$108, 0), MATCH('השוואת פקטורים'!R$6, טבלה1[[#Headers],[SPPR_1986]:[SPPR_symbolic_full_import_as_DC]], 0)) / INDEX(טבלה1[[SPPR_1986]:[SPPR_symbolic_full_import_as_DC]], MATCH('השוואת פקטורים'!$B113, 'PPRs all'!$A$2:$A$108, 0), MATCH('השוואת פקטורים'!Q$6, טבלה1[[#Headers],[SPPR_1986]:[SPPR_symbolic_full_import_as_DC]], 0)),
INDEX(טבלה2[[SPPR_1986]:[SPPR_symbolic_full_import_as_DC]], MATCH('השוואת פקטורים'!$B113, 'PPRs inner'!$A$2:$A$108, 0), MATCH('השוואת פקטורים'!R$6, טבלה2[[#Headers],[SPPR_1986]:[SPPR_symbolic_full_import_as_DC]], 0)) / INDEX(טבלה2[[SPPR_1986]:[SPPR_symbolic_full_import_as_DC]], MATCH('השוואת פקטורים'!$B113, 'PPRs inner'!$A$2:$A$108, 0), MATCH('השוואת פקטורים'!Q$6, טבלה2[[#Headers],[SPPR_1986]:[SPPR_symbolic_full_import_as_DC]], 0))
)</f>
        <v>1.0613806973140547</v>
      </c>
      <c r="S113" s="9">
        <f>IF($B$4="סהכ",
INDEX(טבלה1[[SPPR_1986]:[SPPR_symbolic_full_import_as_DC]], MATCH('השוואת פקטורים'!$B113, 'PPRs all'!$A$2:$A$108, 0), MATCH('השוואת פקטורים'!S$6, טבלה1[[#Headers],[SPPR_1986]:[SPPR_symbolic_full_import_as_DC]], 0)) / INDEX(טבלה1[[SPPR_1986]:[SPPR_symbolic_full_import_as_DC]], MATCH('השוואת פקטורים'!$B113, 'PPRs all'!$A$2:$A$108, 0), MATCH('השוואת פקטורים'!R$6, טבלה1[[#Headers],[SPPR_1986]:[SPPR_symbolic_full_import_as_DC]], 0)),
INDEX(טבלה2[[SPPR_1986]:[SPPR_symbolic_full_import_as_DC]], MATCH('השוואת פקטורים'!$B113, 'PPRs inner'!$A$2:$A$108, 0), MATCH('השוואת פקטורים'!S$6, טבלה2[[#Headers],[SPPR_1986]:[SPPR_symbolic_full_import_as_DC]], 0)) / INDEX(טבלה2[[SPPR_1986]:[SPPR_symbolic_full_import_as_DC]], MATCH('השוואת פקטורים'!$B113, 'PPRs inner'!$A$2:$A$108, 0), MATCH('השוואת פקטורים'!R$6, טבלה2[[#Headers],[SPPR_1986]:[SPPR_symbolic_full_import_as_DC]], 0))
)</f>
        <v>0.9421690092260151</v>
      </c>
      <c r="T113" s="9">
        <f>IF($B$4="סהכ",
INDEX(טבלה1[[SPPR_1986]:[SPPR_symbolic_full_import_as_DC]], MATCH('השוואת פקטורים'!$B113, 'PPRs all'!$A$2:$A$108, 0), MATCH('השוואת פקטורים'!T$6, טבלה1[[#Headers],[SPPR_1986]:[SPPR_symbolic_full_import_as_DC]], 0)) / INDEX(טבלה1[[SPPR_1986]:[SPPR_symbolic_full_import_as_DC]], MATCH('השוואת פקטורים'!$B113, 'PPRs all'!$A$2:$A$108, 0), MATCH('השוואת פקטורים'!S$6, טבלה1[[#Headers],[SPPR_1986]:[SPPR_symbolic_full_import_as_DC]], 0)),
INDEX(טבלה2[[SPPR_1986]:[SPPR_symbolic_full_import_as_DC]], MATCH('השוואת פקטורים'!$B113, 'PPRs inner'!$A$2:$A$108, 0), MATCH('השוואת פקטורים'!T$6, טבלה2[[#Headers],[SPPR_1986]:[SPPR_symbolic_full_import_as_DC]], 0)) / INDEX(טבלה2[[SPPR_1986]:[SPPR_symbolic_full_import_as_DC]], MATCH('השוואת פקטורים'!$B113, 'PPRs inner'!$A$2:$A$108, 0), MATCH('השוואת פקטורים'!S$6, טבלה2[[#Headers],[SPPR_1986]:[SPPR_symbolic_full_import_as_DC]], 0))
)</f>
        <v>1.0613806973140547</v>
      </c>
      <c r="U113" s="9">
        <f>IF($B$4="סהכ",
INDEX(טבלה1[[SPPR_1986]:[SPPR_symbolic_full_import_as_DC]], MATCH('השוואת פקטורים'!$B113, 'PPRs all'!$A$2:$A$108, 0), MATCH('השוואת פקטורים'!U$6, טבלה1[[#Headers],[SPPR_1986]:[SPPR_symbolic_full_import_as_DC]], 0)) / INDEX(טבלה1[[SPPR_1986]:[SPPR_symbolic_full_import_as_DC]], MATCH('השוואת פקטורים'!$B113, 'PPRs all'!$A$2:$A$108, 0), MATCH('השוואת פקטורים'!T$6, טבלה1[[#Headers],[SPPR_1986]:[SPPR_symbolic_full_import_as_DC]], 0)),
INDEX(טבלה2[[SPPR_1986]:[SPPR_symbolic_full_import_as_DC]], MATCH('השוואת פקטורים'!$B113, 'PPRs inner'!$A$2:$A$108, 0), MATCH('השוואת פקטורים'!U$6, טבלה2[[#Headers],[SPPR_1986]:[SPPR_symbolic_full_import_as_DC]], 0)) / INDEX(טבלה2[[SPPR_1986]:[SPPR_symbolic_full_import_as_DC]], MATCH('השוואת פקטורים'!$B113, 'PPRs inner'!$A$2:$A$108, 0), MATCH('השוואת פקטורים'!T$6, טבלה2[[#Headers],[SPPR_1986]:[SPPR_symbolic_full_import_as_DC]], 0))
)</f>
        <v>0.94216900922601565</v>
      </c>
      <c r="V113" s="9"/>
      <c r="W113" s="9"/>
      <c r="X113" s="14"/>
      <c r="Y113" s="14"/>
      <c r="Z113" s="15">
        <f t="shared" si="6"/>
        <v>4.5216766582712049</v>
      </c>
    </row>
    <row r="114" spans="2:26" x14ac:dyDescent="0.3">
      <c r="K114">
        <f t="shared" ref="K114:U114" si="8">AVERAGEIFS(K7:K113, K7:K113, "&lt;10", K7:K113, "&gt;0.1", $I$7:$I$113, TRUE)</f>
        <v>0.92624465291113267</v>
      </c>
      <c r="L114">
        <f t="shared" si="8"/>
        <v>3.2175935201801873</v>
      </c>
      <c r="M114">
        <f t="shared" si="8"/>
        <v>1.8205109266870225</v>
      </c>
      <c r="N114">
        <f t="shared" si="8"/>
        <v>2.1620278577966143</v>
      </c>
      <c r="O114">
        <f t="shared" si="8"/>
        <v>0.99999999997685241</v>
      </c>
      <c r="P114">
        <f t="shared" si="8"/>
        <v>0.56049774986684575</v>
      </c>
      <c r="Q114">
        <f t="shared" si="8"/>
        <v>1.0000000000000027</v>
      </c>
      <c r="R114">
        <f t="shared" si="8"/>
        <v>1.0297393516929227</v>
      </c>
      <c r="S114">
        <f t="shared" si="8"/>
        <v>0.98157843287064628</v>
      </c>
      <c r="T114">
        <f t="shared" si="8"/>
        <v>1.0297393516929227</v>
      </c>
      <c r="U114">
        <f t="shared" si="8"/>
        <v>0.98157843287064261</v>
      </c>
      <c r="Z114" s="15">
        <f>PRODUCT(K114:Y114)</f>
        <v>6.7172262416087101</v>
      </c>
    </row>
    <row r="115" spans="2:26" x14ac:dyDescent="0.3">
      <c r="K115">
        <f t="shared" ref="K115:U115" si="9">AVERAGEIFS(K7:K113, K7:K113, "&lt;8", K7:K113, "&gt;0.125", $I$7:$I$113, TRUE)</f>
        <v>0.98779475323342536</v>
      </c>
      <c r="L115">
        <f t="shared" si="9"/>
        <v>2.7773977437390256</v>
      </c>
      <c r="M115">
        <f t="shared" si="9"/>
        <v>1.715144271076771</v>
      </c>
      <c r="N115">
        <f t="shared" si="9"/>
        <v>2.0796630548883388</v>
      </c>
      <c r="O115">
        <f t="shared" si="9"/>
        <v>0.99999999997685241</v>
      </c>
      <c r="P115">
        <f t="shared" si="9"/>
        <v>0.574509057512268</v>
      </c>
      <c r="Q115">
        <f t="shared" si="9"/>
        <v>1.0000000000000027</v>
      </c>
      <c r="R115">
        <f t="shared" si="9"/>
        <v>1.0297393516929227</v>
      </c>
      <c r="S115">
        <f t="shared" si="9"/>
        <v>0.98157843287064628</v>
      </c>
      <c r="T115">
        <f t="shared" si="9"/>
        <v>1.0297393516929227</v>
      </c>
      <c r="U115">
        <f t="shared" si="9"/>
        <v>0.98157843287064261</v>
      </c>
      <c r="Z115" s="15">
        <f>PRODUCT(K115:Y115)</f>
        <v>5.7438083629166865</v>
      </c>
    </row>
    <row r="116" spans="2:26" x14ac:dyDescent="0.3">
      <c r="K116">
        <f t="shared" ref="K116:U116" si="10">AVERAGEIFS(K7:K113, K7:K113, "&lt;5", K7:K113, "&gt;0.2", $I$7:$I$113, TRUE)</f>
        <v>1.0561142051750678</v>
      </c>
      <c r="L116">
        <f t="shared" si="10"/>
        <v>2.3161064756307197</v>
      </c>
      <c r="M116">
        <f t="shared" si="10"/>
        <v>1.4754053169473946</v>
      </c>
      <c r="N116">
        <f t="shared" si="10"/>
        <v>1.7482122248738872</v>
      </c>
      <c r="O116">
        <f t="shared" si="10"/>
        <v>0.99999999997685241</v>
      </c>
      <c r="P116">
        <f t="shared" si="10"/>
        <v>0.64244328187998179</v>
      </c>
      <c r="Q116">
        <f t="shared" si="10"/>
        <v>1.0000000000000027</v>
      </c>
      <c r="R116">
        <f t="shared" si="10"/>
        <v>1.0297393516929227</v>
      </c>
      <c r="S116">
        <f t="shared" si="10"/>
        <v>0.98157843287064628</v>
      </c>
      <c r="T116">
        <f t="shared" si="10"/>
        <v>1.0297393516929227</v>
      </c>
      <c r="U116">
        <f t="shared" si="10"/>
        <v>0.98157843287064261</v>
      </c>
      <c r="Z116" s="15">
        <f>PRODUCT(K116:Y116)</f>
        <v>4.1410867501574087</v>
      </c>
    </row>
    <row r="117" spans="2:26" ht="70" x14ac:dyDescent="0.3">
      <c r="K117" s="19" t="s">
        <v>140</v>
      </c>
      <c r="L117" s="20" t="s">
        <v>141</v>
      </c>
      <c r="M117" s="20" t="s">
        <v>142</v>
      </c>
      <c r="N117" s="20" t="s">
        <v>143</v>
      </c>
      <c r="O117" s="20" t="s">
        <v>144</v>
      </c>
      <c r="P117" s="20" t="s">
        <v>145</v>
      </c>
      <c r="Q117" s="20" t="s">
        <v>144</v>
      </c>
      <c r="R117" s="20" t="s">
        <v>146</v>
      </c>
    </row>
    <row r="118" spans="2:26" x14ac:dyDescent="0.3">
      <c r="K118" s="2"/>
    </row>
  </sheetData>
  <mergeCells count="5">
    <mergeCell ref="D3:G3"/>
    <mergeCell ref="J3:Z5"/>
    <mergeCell ref="B2:Z2"/>
    <mergeCell ref="B4:B5"/>
    <mergeCell ref="C4:C5"/>
  </mergeCells>
  <conditionalFormatting sqref="C7:E113 G7:I1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I113">
    <cfRule type="cellIs" dxfId="1" priority="1" operator="equal">
      <formula>FALSE</formula>
    </cfRule>
    <cfRule type="cellIs" dxfId="0" priority="2" operator="equal">
      <formula>TRUE</formula>
    </cfRule>
  </conditionalFormatting>
  <conditionalFormatting sqref="F7:F1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B4:B5" xr:uid="{D99FCDDA-D9AE-44C7-A6F8-625E5407C903}">
      <formula1>$A$1:$A$2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B9E8BF-6CD9-4328-86F3-D116F79CCEF0}">
          <x14:formula1>
            <xm:f>'PPRs all'!$B$1:$R$1</xm:f>
          </x14:formula1>
          <xm:sqref>C4 J6:V6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rightToLeft="1" topLeftCell="A77" workbookViewId="0">
      <selection activeCell="A102" sqref="A102"/>
    </sheetView>
  </sheetViews>
  <sheetFormatPr defaultRowHeight="14" x14ac:dyDescent="0.3"/>
  <cols>
    <col min="1" max="1" width="25.58203125" customWidth="1"/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3.5" customWidth="1"/>
    <col min="15" max="15" width="33" customWidth="1"/>
    <col min="16" max="17" width="33.25" customWidth="1"/>
    <col min="18" max="18" width="33.5" customWidth="1"/>
    <col min="19" max="19" width="18.5" customWidth="1"/>
    <col min="20" max="20" width="18" customWidth="1"/>
    <col min="21" max="21" width="21" customWidth="1"/>
    <col min="22" max="22" width="13.9140625" customWidth="1"/>
  </cols>
  <sheetData>
    <row r="1" spans="1:22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 t="s">
        <v>21</v>
      </c>
      <c r="B2">
        <v>1467.2723833490861</v>
      </c>
      <c r="C2">
        <v>2369.4318204819551</v>
      </c>
      <c r="D2">
        <v>4108.4661693500111</v>
      </c>
      <c r="E2">
        <v>31.7709294284967</v>
      </c>
      <c r="F2">
        <v>34.106081728636752</v>
      </c>
      <c r="G2">
        <v>34.830131099672982</v>
      </c>
      <c r="H2">
        <v>742.16202796495543</v>
      </c>
      <c r="I2">
        <v>971.16625041849773</v>
      </c>
      <c r="J2">
        <v>971.16625041832583</v>
      </c>
      <c r="K2">
        <v>199.76107599784771</v>
      </c>
      <c r="L2">
        <v>3464.9507226911028</v>
      </c>
      <c r="M2">
        <v>3464.9507226920332</v>
      </c>
      <c r="N2">
        <v>3464.9507226920332</v>
      </c>
      <c r="O2">
        <v>971.16625041829252</v>
      </c>
      <c r="P2">
        <v>971.16625041829252</v>
      </c>
      <c r="Q2">
        <v>199.76107599784771</v>
      </c>
      <c r="R2">
        <v>199.76107599784771</v>
      </c>
      <c r="S2" t="b">
        <v>1</v>
      </c>
      <c r="T2" t="b">
        <v>1</v>
      </c>
      <c r="U2" t="b">
        <v>1</v>
      </c>
      <c r="V2" t="b">
        <v>1</v>
      </c>
    </row>
    <row r="3" spans="1:22" x14ac:dyDescent="0.3">
      <c r="A3" s="1" t="s">
        <v>22</v>
      </c>
      <c r="B3">
        <v>14.43809636311101</v>
      </c>
      <c r="C3">
        <v>19.784511024015341</v>
      </c>
      <c r="D3">
        <v>28.419468225109672</v>
      </c>
      <c r="E3">
        <v>15.200121252579571</v>
      </c>
      <c r="F3">
        <v>21.18103654429903</v>
      </c>
      <c r="G3">
        <v>85.316478703273091</v>
      </c>
      <c r="H3">
        <v>183.96639052578371</v>
      </c>
      <c r="I3">
        <v>388.0933486794529</v>
      </c>
      <c r="J3">
        <v>388.09334867898258</v>
      </c>
      <c r="K3">
        <v>0.51838831906079152</v>
      </c>
      <c r="L3">
        <v>35.648286978653438</v>
      </c>
      <c r="M3">
        <v>35.648286978656742</v>
      </c>
      <c r="N3">
        <v>-25937.93338709083</v>
      </c>
      <c r="O3">
        <v>388.09334867846218</v>
      </c>
      <c r="P3">
        <v>69608384.425546736</v>
      </c>
      <c r="Q3">
        <v>0.51838831906079064</v>
      </c>
      <c r="R3">
        <v>52520.546674854653</v>
      </c>
      <c r="S3" t="b">
        <v>1</v>
      </c>
      <c r="T3" t="b">
        <v>1</v>
      </c>
      <c r="U3" t="b">
        <v>1</v>
      </c>
      <c r="V3" t="b">
        <v>1</v>
      </c>
    </row>
    <row r="4" spans="1:22" x14ac:dyDescent="0.3">
      <c r="A4" s="1" t="s">
        <v>23</v>
      </c>
      <c r="B4">
        <v>0.7369319122278416</v>
      </c>
      <c r="C4">
        <v>1.050082558801364</v>
      </c>
      <c r="D4">
        <v>1.7421633459656201</v>
      </c>
      <c r="E4">
        <v>0.1248923456533525</v>
      </c>
      <c r="F4">
        <v>0.16246365848548541</v>
      </c>
      <c r="G4">
        <v>0.26303448172806532</v>
      </c>
      <c r="H4">
        <v>91.778848195602421</v>
      </c>
      <c r="I4">
        <v>2950.0781947033688</v>
      </c>
      <c r="J4">
        <v>2950.0781947033602</v>
      </c>
      <c r="K4">
        <v>0.32711092241490652</v>
      </c>
      <c r="L4">
        <v>42.888812253769728</v>
      </c>
      <c r="M4">
        <v>42.888812253769693</v>
      </c>
      <c r="N4">
        <v>42.888812253769693</v>
      </c>
      <c r="O4">
        <v>2950.0781947033561</v>
      </c>
      <c r="P4">
        <v>2950.0781947033561</v>
      </c>
      <c r="Q4">
        <v>0.32711092241490319</v>
      </c>
      <c r="R4">
        <v>0.32711092241490319</v>
      </c>
      <c r="S4" t="b">
        <v>1</v>
      </c>
      <c r="T4" t="b">
        <v>1</v>
      </c>
      <c r="U4" t="b">
        <v>1</v>
      </c>
      <c r="V4" t="b">
        <v>1</v>
      </c>
    </row>
    <row r="5" spans="1:22" x14ac:dyDescent="0.3">
      <c r="A5" s="1" t="s">
        <v>24</v>
      </c>
      <c r="B5">
        <v>16.84817773630974</v>
      </c>
      <c r="C5">
        <v>21.681884751610639</v>
      </c>
      <c r="D5">
        <v>34.827472343966619</v>
      </c>
      <c r="E5">
        <v>19.633470098434689</v>
      </c>
      <c r="F5">
        <v>31.216568888158811</v>
      </c>
      <c r="G5">
        <v>89.676616432479918</v>
      </c>
      <c r="H5">
        <v>613.70545492120038</v>
      </c>
      <c r="I5">
        <v>2947.368640164394</v>
      </c>
      <c r="J5">
        <v>2947.3686401643909</v>
      </c>
      <c r="K5">
        <v>4.8803424607595796</v>
      </c>
      <c r="L5">
        <v>369.04344066688651</v>
      </c>
      <c r="M5">
        <v>369.04344066688401</v>
      </c>
      <c r="N5">
        <v>369.04344066688401</v>
      </c>
      <c r="O5">
        <v>2947.3686401643959</v>
      </c>
      <c r="P5">
        <v>2947.3686401643959</v>
      </c>
      <c r="Q5">
        <v>4.880342460759568</v>
      </c>
      <c r="R5">
        <v>4.880342460759568</v>
      </c>
      <c r="S5" t="b">
        <v>1</v>
      </c>
      <c r="T5" t="b">
        <v>1</v>
      </c>
      <c r="U5" t="b">
        <v>1</v>
      </c>
      <c r="V5" t="b">
        <v>1</v>
      </c>
    </row>
    <row r="6" spans="1:22" x14ac:dyDescent="0.3">
      <c r="A6" s="1" t="s">
        <v>25</v>
      </c>
      <c r="B6">
        <v>403.21853826224748</v>
      </c>
      <c r="C6">
        <v>485.82613728486939</v>
      </c>
      <c r="D6">
        <v>787.88075211201522</v>
      </c>
      <c r="E6">
        <v>236.95324611298739</v>
      </c>
      <c r="F6">
        <v>345.90773876440761</v>
      </c>
      <c r="G6">
        <v>727.51880551703834</v>
      </c>
      <c r="H6">
        <v>1588.5174215212789</v>
      </c>
      <c r="I6">
        <v>1783.2788190489071</v>
      </c>
      <c r="J6">
        <v>1783.278819048913</v>
      </c>
      <c r="K6">
        <v>33.402822587419557</v>
      </c>
      <c r="L6">
        <v>427.61432227386052</v>
      </c>
      <c r="M6">
        <v>427.61432227386058</v>
      </c>
      <c r="N6">
        <v>525.31038490280184</v>
      </c>
      <c r="O6">
        <v>1783.278819048915</v>
      </c>
      <c r="P6">
        <v>1938.2358345075199</v>
      </c>
      <c r="Q6">
        <v>33.40282258741955</v>
      </c>
      <c r="R6">
        <v>37.107480459216603</v>
      </c>
      <c r="S6" t="b">
        <v>1</v>
      </c>
      <c r="T6" t="b">
        <v>1</v>
      </c>
      <c r="U6" t="b">
        <v>1</v>
      </c>
      <c r="V6" t="b">
        <v>1</v>
      </c>
    </row>
    <row r="7" spans="1:22" x14ac:dyDescent="0.3">
      <c r="A7" s="1" t="s">
        <v>26</v>
      </c>
      <c r="B7">
        <v>79.164462239124177</v>
      </c>
      <c r="C7">
        <v>176.18512618569079</v>
      </c>
      <c r="D7">
        <v>268.50685218507112</v>
      </c>
      <c r="E7">
        <v>507.04840834103999</v>
      </c>
      <c r="F7">
        <v>891.77955923589957</v>
      </c>
      <c r="G7">
        <v>3657.5043749927509</v>
      </c>
      <c r="H7">
        <v>842.47047258764007</v>
      </c>
      <c r="I7">
        <v>1158.6051858577739</v>
      </c>
      <c r="J7">
        <v>1158.6051858577721</v>
      </c>
      <c r="K7">
        <v>44.864394121681158</v>
      </c>
      <c r="L7">
        <v>419.3315153903572</v>
      </c>
      <c r="M7">
        <v>419.33151539035867</v>
      </c>
      <c r="N7">
        <v>490.80735044867572</v>
      </c>
      <c r="O7">
        <v>1158.6051858577709</v>
      </c>
      <c r="P7">
        <v>1622.524087534985</v>
      </c>
      <c r="Q7">
        <v>44.86439412168108</v>
      </c>
      <c r="R7">
        <v>46.989834104057799</v>
      </c>
      <c r="S7" t="b">
        <v>1</v>
      </c>
      <c r="T7" t="b">
        <v>1</v>
      </c>
      <c r="U7" t="b">
        <v>1</v>
      </c>
      <c r="V7" t="b">
        <v>1</v>
      </c>
    </row>
    <row r="8" spans="1:22" x14ac:dyDescent="0.3">
      <c r="A8" s="1" t="s">
        <v>27</v>
      </c>
      <c r="B8">
        <v>567.66779343565111</v>
      </c>
      <c r="C8">
        <v>707.16331738169299</v>
      </c>
      <c r="D8">
        <v>949.98923014817751</v>
      </c>
      <c r="E8">
        <v>1444.6388483422629</v>
      </c>
      <c r="F8">
        <v>2040.2678523588879</v>
      </c>
      <c r="G8">
        <v>12484.68475115269</v>
      </c>
      <c r="H8">
        <v>1159.922641415445</v>
      </c>
      <c r="I8">
        <v>2748.272344046974</v>
      </c>
      <c r="J8">
        <v>2748.2723440469749</v>
      </c>
      <c r="K8">
        <v>27.831486828753871</v>
      </c>
      <c r="L8">
        <v>1538.5228106568011</v>
      </c>
      <c r="M8">
        <v>1538.5228106567999</v>
      </c>
      <c r="N8">
        <v>1538.5228106567999</v>
      </c>
      <c r="O8">
        <v>2748.272344046974</v>
      </c>
      <c r="P8">
        <v>2748.272344046974</v>
      </c>
      <c r="Q8">
        <v>27.83148682875386</v>
      </c>
      <c r="R8">
        <v>27.83148682875386</v>
      </c>
      <c r="S8" t="b">
        <v>1</v>
      </c>
      <c r="T8" t="b">
        <v>1</v>
      </c>
      <c r="U8" t="b">
        <v>1</v>
      </c>
      <c r="V8" t="b">
        <v>1</v>
      </c>
    </row>
    <row r="9" spans="1:22" x14ac:dyDescent="0.3">
      <c r="A9" s="1" t="s">
        <v>28</v>
      </c>
      <c r="B9">
        <v>264.13231177071049</v>
      </c>
      <c r="C9">
        <v>334.8161751974406</v>
      </c>
      <c r="D9">
        <v>461.45403653499352</v>
      </c>
      <c r="E9">
        <v>33.262960526309129</v>
      </c>
      <c r="F9">
        <v>36.361789983104167</v>
      </c>
      <c r="G9">
        <v>38.451664794399711</v>
      </c>
      <c r="H9">
        <v>216.13973299985761</v>
      </c>
      <c r="I9">
        <v>252.58044451406579</v>
      </c>
      <c r="J9">
        <v>252.58044451406579</v>
      </c>
      <c r="K9">
        <v>15.086787795232089</v>
      </c>
      <c r="L9">
        <v>136.3765452824436</v>
      </c>
      <c r="M9">
        <v>136.37654528244369</v>
      </c>
      <c r="N9">
        <v>136.37654528244369</v>
      </c>
      <c r="O9">
        <v>252.58044451406579</v>
      </c>
      <c r="P9">
        <v>252.58044451406579</v>
      </c>
      <c r="Q9">
        <v>15.0867877952321</v>
      </c>
      <c r="R9">
        <v>15.0867877952321</v>
      </c>
      <c r="S9" t="b">
        <v>1</v>
      </c>
      <c r="T9" t="b">
        <v>1</v>
      </c>
      <c r="U9" t="b">
        <v>1</v>
      </c>
      <c r="V9" t="b">
        <v>1</v>
      </c>
    </row>
    <row r="10" spans="1:22" x14ac:dyDescent="0.3">
      <c r="A10" s="1" t="s">
        <v>29</v>
      </c>
      <c r="B10">
        <v>694.16978261525537</v>
      </c>
      <c r="C10">
        <v>754.87369803354079</v>
      </c>
      <c r="D10">
        <v>865.14113241654422</v>
      </c>
      <c r="E10">
        <v>1043.8539790706441</v>
      </c>
      <c r="F10">
        <v>1213.041519615055</v>
      </c>
      <c r="G10">
        <v>4359.4889451785784</v>
      </c>
      <c r="H10">
        <v>2893.9307418290882</v>
      </c>
      <c r="I10">
        <v>5293.6314726310966</v>
      </c>
      <c r="J10">
        <v>5293.6314726310957</v>
      </c>
      <c r="K10">
        <v>30.490624924371271</v>
      </c>
      <c r="L10">
        <v>3255.1616288114092</v>
      </c>
      <c r="M10">
        <v>3255.1616288114028</v>
      </c>
      <c r="N10">
        <v>3255.1616288114028</v>
      </c>
      <c r="O10">
        <v>5293.6314726310948</v>
      </c>
      <c r="P10">
        <v>5293.6314726310948</v>
      </c>
      <c r="Q10">
        <v>30.490624924371279</v>
      </c>
      <c r="R10">
        <v>30.490624924371279</v>
      </c>
      <c r="S10" t="b">
        <v>1</v>
      </c>
      <c r="T10" t="b">
        <v>1</v>
      </c>
      <c r="U10" t="b">
        <v>1</v>
      </c>
      <c r="V10" t="b">
        <v>1</v>
      </c>
    </row>
    <row r="11" spans="1:22" x14ac:dyDescent="0.3">
      <c r="A11" s="1" t="s">
        <v>30</v>
      </c>
      <c r="B11">
        <v>845.83387881855367</v>
      </c>
      <c r="C11">
        <v>1181.478580918963</v>
      </c>
      <c r="D11">
        <v>1874.38418845098</v>
      </c>
      <c r="E11">
        <v>563.46476207676244</v>
      </c>
      <c r="F11">
        <v>809.81127415114781</v>
      </c>
      <c r="G11">
        <v>1388.4127076938521</v>
      </c>
      <c r="H11">
        <v>1704.167979482148</v>
      </c>
      <c r="I11">
        <v>1732.895726398222</v>
      </c>
      <c r="J11">
        <v>1732.8957263982211</v>
      </c>
      <c r="K11">
        <v>37.543013511968297</v>
      </c>
      <c r="L11">
        <v>524.50915589034582</v>
      </c>
      <c r="M11">
        <v>524.50915589034753</v>
      </c>
      <c r="N11">
        <v>524.50915589034753</v>
      </c>
      <c r="O11">
        <v>1732.895726398222</v>
      </c>
      <c r="P11">
        <v>1732.895726398222</v>
      </c>
      <c r="Q11">
        <v>37.543013511968333</v>
      </c>
      <c r="R11">
        <v>37.543013511968333</v>
      </c>
      <c r="S11" t="b">
        <v>1</v>
      </c>
      <c r="T11" t="b">
        <v>0</v>
      </c>
      <c r="U11" t="b">
        <v>1</v>
      </c>
      <c r="V11" t="b">
        <v>0</v>
      </c>
    </row>
    <row r="12" spans="1:22" x14ac:dyDescent="0.3">
      <c r="A12" s="1" t="s">
        <v>31</v>
      </c>
      <c r="B12">
        <v>39.521350198438647</v>
      </c>
      <c r="C12">
        <v>144.7784958204372</v>
      </c>
      <c r="D12">
        <v>240.41576836266901</v>
      </c>
      <c r="E12">
        <v>53.729836850519568</v>
      </c>
      <c r="F12">
        <v>77.60951981935446</v>
      </c>
      <c r="G12">
        <v>152.03355557207581</v>
      </c>
      <c r="H12">
        <v>1940.4138452933721</v>
      </c>
      <c r="I12">
        <v>1674.1640615437409</v>
      </c>
      <c r="J12">
        <v>1674.16406154375</v>
      </c>
      <c r="K12">
        <v>7.2041610154976556</v>
      </c>
      <c r="L12">
        <v>393.81227035854431</v>
      </c>
      <c r="M12">
        <v>393.81227035854471</v>
      </c>
      <c r="N12">
        <v>393.81227035854471</v>
      </c>
      <c r="O12">
        <v>1674.16406154375</v>
      </c>
      <c r="P12">
        <v>1674.16406154375</v>
      </c>
      <c r="Q12">
        <v>7.2041610154976503</v>
      </c>
      <c r="R12">
        <v>7.2041610154976503</v>
      </c>
      <c r="S12" t="b">
        <v>1</v>
      </c>
      <c r="T12" t="b">
        <v>1</v>
      </c>
      <c r="U12" t="b">
        <v>1</v>
      </c>
      <c r="V12" t="b">
        <v>1</v>
      </c>
    </row>
    <row r="13" spans="1:22" x14ac:dyDescent="0.3">
      <c r="A13" s="1" t="s">
        <v>32</v>
      </c>
      <c r="B13">
        <v>10.392215333011031</v>
      </c>
      <c r="C13">
        <v>14.98230542803257</v>
      </c>
      <c r="D13">
        <v>23.555702622432079</v>
      </c>
      <c r="E13">
        <v>3.8936652141501189</v>
      </c>
      <c r="F13">
        <v>5.3443143661049426</v>
      </c>
      <c r="G13">
        <v>11.040532577444489</v>
      </c>
      <c r="H13">
        <v>1056.204871243408</v>
      </c>
      <c r="I13">
        <v>3491.8433807712458</v>
      </c>
      <c r="J13">
        <v>3491.8433807712472</v>
      </c>
      <c r="K13">
        <v>4.0238507329593372</v>
      </c>
      <c r="L13">
        <v>347.46857871337232</v>
      </c>
      <c r="M13">
        <v>347.46857871337352</v>
      </c>
      <c r="N13">
        <v>347.46857871337352</v>
      </c>
      <c r="O13">
        <v>3491.8433807712458</v>
      </c>
      <c r="P13">
        <v>3491.8433807712458</v>
      </c>
      <c r="Q13">
        <v>4.0238507329593061</v>
      </c>
      <c r="R13">
        <v>4.0238507329593061</v>
      </c>
      <c r="S13" t="b">
        <v>1</v>
      </c>
      <c r="T13" t="b">
        <v>1</v>
      </c>
      <c r="U13" t="b">
        <v>1</v>
      </c>
      <c r="V13" t="b">
        <v>1</v>
      </c>
    </row>
    <row r="14" spans="1:22" x14ac:dyDescent="0.3">
      <c r="A14" s="1" t="s">
        <v>33</v>
      </c>
      <c r="B14">
        <v>42.525943244409149</v>
      </c>
      <c r="C14">
        <v>57.714227678795673</v>
      </c>
      <c r="D14">
        <v>90.123505535490366</v>
      </c>
      <c r="E14">
        <v>3.204958053522823</v>
      </c>
      <c r="F14">
        <v>3.7652796317524468</v>
      </c>
      <c r="G14">
        <v>5.5237219769839001</v>
      </c>
      <c r="H14">
        <v>1673.626591376109</v>
      </c>
      <c r="I14">
        <v>3490.8553444425279</v>
      </c>
      <c r="J14">
        <v>3490.8553444425279</v>
      </c>
      <c r="K14">
        <v>16.321159637318519</v>
      </c>
      <c r="L14">
        <v>1164.1536595702439</v>
      </c>
      <c r="M14">
        <v>1164.1536595702501</v>
      </c>
      <c r="N14">
        <v>1164.1536595702501</v>
      </c>
      <c r="O14">
        <v>3490.8553444425302</v>
      </c>
      <c r="P14">
        <v>3490.8553444425302</v>
      </c>
      <c r="Q14">
        <v>16.321159637318662</v>
      </c>
      <c r="R14">
        <v>16.321159637318662</v>
      </c>
      <c r="S14" t="b">
        <v>1</v>
      </c>
      <c r="T14" t="b">
        <v>1</v>
      </c>
      <c r="U14" t="b">
        <v>1</v>
      </c>
      <c r="V14" t="b">
        <v>1</v>
      </c>
    </row>
    <row r="15" spans="1:22" x14ac:dyDescent="0.3">
      <c r="A15" s="1" t="s">
        <v>34</v>
      </c>
      <c r="B15">
        <v>86.421437306280751</v>
      </c>
      <c r="C15">
        <v>123.81964104902281</v>
      </c>
      <c r="D15">
        <v>203.99759242274601</v>
      </c>
      <c r="E15">
        <v>378.90840235344689</v>
      </c>
      <c r="F15">
        <v>788.83718716803628</v>
      </c>
      <c r="G15">
        <v>2586.8449611805381</v>
      </c>
      <c r="H15">
        <v>1134.100492809431</v>
      </c>
      <c r="I15">
        <v>3343.8510350136112</v>
      </c>
      <c r="J15">
        <v>3343.8510350137458</v>
      </c>
      <c r="K15">
        <v>13.06370729145768</v>
      </c>
      <c r="L15">
        <v>158.83564979455161</v>
      </c>
      <c r="M15">
        <v>158.8356497945515</v>
      </c>
      <c r="N15">
        <v>161.25510351173889</v>
      </c>
      <c r="O15">
        <v>3343.8510350137581</v>
      </c>
      <c r="P15">
        <v>3885.8828956898451</v>
      </c>
      <c r="Q15">
        <v>13.06370729145767</v>
      </c>
      <c r="R15">
        <v>13.1117603186665</v>
      </c>
      <c r="S15" t="b">
        <v>1</v>
      </c>
      <c r="T15" t="b">
        <v>0</v>
      </c>
      <c r="U15" t="b">
        <v>1</v>
      </c>
      <c r="V15" t="b">
        <v>0</v>
      </c>
    </row>
    <row r="16" spans="1:22" x14ac:dyDescent="0.3">
      <c r="A16" s="1" t="s">
        <v>35</v>
      </c>
      <c r="B16">
        <v>613.98770553697238</v>
      </c>
      <c r="C16">
        <v>1171.209804991229</v>
      </c>
      <c r="D16">
        <v>1924.4558028711201</v>
      </c>
      <c r="E16">
        <v>268.85410499754659</v>
      </c>
      <c r="F16">
        <v>360.62312651676513</v>
      </c>
      <c r="G16">
        <v>483.19907435464012</v>
      </c>
      <c r="H16">
        <v>1212.8271215709869</v>
      </c>
      <c r="I16">
        <v>1280.427900193057</v>
      </c>
      <c r="J16">
        <v>1280.427900193057</v>
      </c>
      <c r="K16">
        <v>13.46416290322432</v>
      </c>
      <c r="L16">
        <v>379.67908894582013</v>
      </c>
      <c r="M16">
        <v>379.67908894581961</v>
      </c>
      <c r="N16">
        <v>379.67908894581961</v>
      </c>
      <c r="O16">
        <v>1280.4279001930579</v>
      </c>
      <c r="P16">
        <v>1280.4279001930579</v>
      </c>
      <c r="Q16">
        <v>13.464162903224331</v>
      </c>
      <c r="R16">
        <v>13.464162903224331</v>
      </c>
      <c r="S16" t="b">
        <v>1</v>
      </c>
      <c r="T16" t="b">
        <v>0</v>
      </c>
      <c r="U16" t="b">
        <v>1</v>
      </c>
      <c r="V16" t="b">
        <v>0</v>
      </c>
    </row>
    <row r="17" spans="1:22" x14ac:dyDescent="0.3">
      <c r="A17" s="1" t="s">
        <v>36</v>
      </c>
      <c r="B17">
        <v>32.259426086696543</v>
      </c>
      <c r="C17">
        <v>37.663372786098478</v>
      </c>
      <c r="D17">
        <v>55.01876278102641</v>
      </c>
      <c r="E17">
        <v>37.251713472718059</v>
      </c>
      <c r="F17">
        <v>54.316483774549837</v>
      </c>
      <c r="G17">
        <v>56.295375894079349</v>
      </c>
      <c r="H17">
        <v>737.87850256012723</v>
      </c>
      <c r="I17">
        <v>2143.223922851002</v>
      </c>
      <c r="J17">
        <v>2143.513518307097</v>
      </c>
      <c r="K17">
        <v>2.967425607344456</v>
      </c>
      <c r="L17">
        <v>12.29962912705135</v>
      </c>
      <c r="M17">
        <v>12.29962912705134</v>
      </c>
      <c r="N17">
        <v>12.299956573120109</v>
      </c>
      <c r="O17">
        <v>2143.5135183070888</v>
      </c>
      <c r="P17">
        <v>2143.5135183070888</v>
      </c>
      <c r="Q17">
        <v>2.9674256073444538</v>
      </c>
      <c r="R17">
        <v>2.9674390912560842</v>
      </c>
      <c r="S17" t="b">
        <v>1</v>
      </c>
      <c r="T17" t="b">
        <v>0</v>
      </c>
      <c r="U17" t="b">
        <v>1</v>
      </c>
      <c r="V17" t="b">
        <v>0</v>
      </c>
    </row>
    <row r="18" spans="1:22" x14ac:dyDescent="0.3">
      <c r="A18" s="1" t="s">
        <v>37</v>
      </c>
      <c r="B18">
        <v>13.682411709467409</v>
      </c>
      <c r="C18">
        <v>34.129845240856149</v>
      </c>
      <c r="D18">
        <v>44.355161622617238</v>
      </c>
      <c r="E18">
        <v>26.796414069937839</v>
      </c>
      <c r="F18">
        <v>34.202447087056882</v>
      </c>
      <c r="G18">
        <v>174.6853010086507</v>
      </c>
      <c r="H18">
        <v>93.075162185915502</v>
      </c>
      <c r="I18">
        <v>1307.1033459912651</v>
      </c>
      <c r="J18">
        <v>1307.1033459912419</v>
      </c>
      <c r="K18">
        <v>2.2689145683611471</v>
      </c>
      <c r="L18">
        <v>177.1423917057493</v>
      </c>
      <c r="M18">
        <v>177.14239170574911</v>
      </c>
      <c r="N18">
        <v>177.55813538363969</v>
      </c>
      <c r="O18">
        <v>1307.1033459912439</v>
      </c>
      <c r="P18">
        <v>1307.4477485520199</v>
      </c>
      <c r="Q18">
        <v>2.2689145683611458</v>
      </c>
      <c r="R18">
        <v>2.270124471034674</v>
      </c>
      <c r="S18" t="b">
        <v>1</v>
      </c>
      <c r="T18" t="b">
        <v>1</v>
      </c>
      <c r="U18" t="b">
        <v>1</v>
      </c>
      <c r="V18" t="b">
        <v>1</v>
      </c>
    </row>
    <row r="19" spans="1:22" x14ac:dyDescent="0.3">
      <c r="A19" s="1" t="s">
        <v>38</v>
      </c>
      <c r="B19">
        <v>89.530381856907383</v>
      </c>
      <c r="C19">
        <v>253.9996967626121</v>
      </c>
      <c r="D19">
        <v>375.76773007811153</v>
      </c>
      <c r="E19">
        <v>315.45815238646611</v>
      </c>
      <c r="F19">
        <v>480.13873271073288</v>
      </c>
      <c r="G19">
        <v>2692.8349868364649</v>
      </c>
      <c r="H19">
        <v>555.7107320596682</v>
      </c>
      <c r="I19">
        <v>1236.390684910416</v>
      </c>
      <c r="J19">
        <v>1236.390684910413</v>
      </c>
      <c r="K19">
        <v>12.043629617442161</v>
      </c>
      <c r="L19">
        <v>373.50305008988317</v>
      </c>
      <c r="M19">
        <v>373.50305008988209</v>
      </c>
      <c r="N19">
        <v>373.95476596183198</v>
      </c>
      <c r="O19">
        <v>1236.390684910413</v>
      </c>
      <c r="P19">
        <v>1253.06230555924</v>
      </c>
      <c r="Q19">
        <v>12.04362961744215</v>
      </c>
      <c r="R19">
        <v>12.04657891811158</v>
      </c>
      <c r="S19" t="b">
        <v>1</v>
      </c>
      <c r="T19" t="b">
        <v>1</v>
      </c>
      <c r="U19" t="b">
        <v>1</v>
      </c>
      <c r="V19" t="b">
        <v>1</v>
      </c>
    </row>
    <row r="20" spans="1:22" x14ac:dyDescent="0.3">
      <c r="A20" s="1" t="s">
        <v>39</v>
      </c>
      <c r="B20">
        <v>82.641622283341789</v>
      </c>
      <c r="C20">
        <v>212.28556652948001</v>
      </c>
      <c r="D20">
        <v>324.64560594244989</v>
      </c>
      <c r="E20">
        <v>109.91496198115701</v>
      </c>
      <c r="F20">
        <v>153.9617557633114</v>
      </c>
      <c r="G20">
        <v>519.28859289943898</v>
      </c>
      <c r="H20">
        <v>311.66085075394977</v>
      </c>
      <c r="I20">
        <v>1035.0316128058821</v>
      </c>
      <c r="J20">
        <v>1035.0316128058821</v>
      </c>
      <c r="K20">
        <v>9.6905623775222391</v>
      </c>
      <c r="L20">
        <v>180.1331071801022</v>
      </c>
      <c r="M20">
        <v>180.133107180102</v>
      </c>
      <c r="N20">
        <v>180.2522796565828</v>
      </c>
      <c r="O20">
        <v>1035.0316128058839</v>
      </c>
      <c r="P20">
        <v>1046.806547793057</v>
      </c>
      <c r="Q20">
        <v>9.6905623775222427</v>
      </c>
      <c r="R20">
        <v>9.6916081161471546</v>
      </c>
      <c r="S20" t="b">
        <v>1</v>
      </c>
      <c r="T20" t="b">
        <v>1</v>
      </c>
      <c r="U20" t="b">
        <v>1</v>
      </c>
      <c r="V20" t="b">
        <v>1</v>
      </c>
    </row>
    <row r="21" spans="1:22" x14ac:dyDescent="0.3">
      <c r="A21" s="1" t="s">
        <v>40</v>
      </c>
      <c r="B21">
        <v>402.54717244395522</v>
      </c>
      <c r="C21">
        <v>528.65378872470012</v>
      </c>
      <c r="D21">
        <v>883.99676870033181</v>
      </c>
      <c r="E21">
        <v>305.53439234370012</v>
      </c>
      <c r="F21">
        <v>463.4342550601454</v>
      </c>
      <c r="G21">
        <v>709.09258303296428</v>
      </c>
      <c r="H21">
        <v>825.07414110792195</v>
      </c>
      <c r="I21">
        <v>1054.6418938836609</v>
      </c>
      <c r="J21">
        <v>1054.6418938836609</v>
      </c>
      <c r="K21">
        <v>20.899250133561701</v>
      </c>
      <c r="L21">
        <v>225.9463539003784</v>
      </c>
      <c r="M21">
        <v>225.94635390037851</v>
      </c>
      <c r="N21">
        <v>225.94635390037851</v>
      </c>
      <c r="O21">
        <v>1054.6418938836621</v>
      </c>
      <c r="P21">
        <v>1054.6418938836621</v>
      </c>
      <c r="Q21">
        <v>20.899250133561701</v>
      </c>
      <c r="R21">
        <v>20.899250133561701</v>
      </c>
      <c r="S21" t="b">
        <v>1</v>
      </c>
      <c r="T21" t="b">
        <v>1</v>
      </c>
      <c r="U21" t="b">
        <v>1</v>
      </c>
      <c r="V21" t="b">
        <v>1</v>
      </c>
    </row>
    <row r="22" spans="1:22" x14ac:dyDescent="0.3">
      <c r="A22" s="1" t="s">
        <v>41</v>
      </c>
      <c r="B22">
        <v>37.640690295223543</v>
      </c>
      <c r="C22">
        <v>103.3005885733421</v>
      </c>
      <c r="D22">
        <v>143.0173870313595</v>
      </c>
      <c r="E22">
        <v>367.14641173969568</v>
      </c>
      <c r="F22">
        <v>587.34113832633795</v>
      </c>
      <c r="G22">
        <v>2268.4187082152698</v>
      </c>
      <c r="H22">
        <v>309.54856988226101</v>
      </c>
      <c r="I22">
        <v>317.09612410262122</v>
      </c>
      <c r="J22">
        <v>317.09612410262099</v>
      </c>
      <c r="K22">
        <v>4.2827456333857263</v>
      </c>
      <c r="L22">
        <v>30.262282939211051</v>
      </c>
      <c r="M22">
        <v>30.262282939211019</v>
      </c>
      <c r="N22">
        <v>30.275956755362611</v>
      </c>
      <c r="O22">
        <v>317.0961241026211</v>
      </c>
      <c r="P22">
        <v>326.6208229007803</v>
      </c>
      <c r="Q22">
        <v>4.2827456333857334</v>
      </c>
      <c r="R22">
        <v>4.2834855977339412</v>
      </c>
      <c r="S22" t="b">
        <v>1</v>
      </c>
      <c r="T22" t="b">
        <v>1</v>
      </c>
      <c r="U22" t="b">
        <v>1</v>
      </c>
      <c r="V22" t="b">
        <v>1</v>
      </c>
    </row>
    <row r="23" spans="1:22" x14ac:dyDescent="0.3">
      <c r="A23" s="1" t="s">
        <v>42</v>
      </c>
      <c r="B23">
        <v>57.059552373186129</v>
      </c>
      <c r="C23">
        <v>130.28752848190561</v>
      </c>
      <c r="D23">
        <v>176.6683965579839</v>
      </c>
      <c r="E23">
        <v>30.284126433027101</v>
      </c>
      <c r="F23">
        <v>36.912361790051158</v>
      </c>
      <c r="G23">
        <v>73.681984411628747</v>
      </c>
      <c r="H23">
        <v>368.00660735815461</v>
      </c>
      <c r="I23">
        <v>1101.1298929757511</v>
      </c>
      <c r="J23">
        <v>1101.129892975752</v>
      </c>
      <c r="K23">
        <v>21.21091094266632</v>
      </c>
      <c r="L23">
        <v>610.96453923806166</v>
      </c>
      <c r="M23">
        <v>610.96453923806212</v>
      </c>
      <c r="N23">
        <v>871.05343508269527</v>
      </c>
      <c r="O23">
        <v>1101.129892975752</v>
      </c>
      <c r="P23">
        <v>1521.0801225251939</v>
      </c>
      <c r="Q23">
        <v>21.21091094266631</v>
      </c>
      <c r="R23">
        <v>23.303643056783692</v>
      </c>
      <c r="S23" t="b">
        <v>1</v>
      </c>
      <c r="T23" t="b">
        <v>1</v>
      </c>
      <c r="U23" t="b">
        <v>1</v>
      </c>
      <c r="V23" t="b">
        <v>1</v>
      </c>
    </row>
    <row r="24" spans="1:22" x14ac:dyDescent="0.3">
      <c r="A24" s="1" t="s">
        <v>43</v>
      </c>
      <c r="B24">
        <v>962.99432812300063</v>
      </c>
      <c r="C24">
        <v>1207.442372386309</v>
      </c>
      <c r="D24">
        <v>1866.033855756242</v>
      </c>
      <c r="E24">
        <v>369.09948722556061</v>
      </c>
      <c r="F24">
        <v>491.55363715614362</v>
      </c>
      <c r="G24">
        <v>1105.978083892282</v>
      </c>
      <c r="H24">
        <v>2844.9618406553891</v>
      </c>
      <c r="I24">
        <v>3637.0005566868022</v>
      </c>
      <c r="J24">
        <v>3637.0005566868008</v>
      </c>
      <c r="K24">
        <v>33.963056981971583</v>
      </c>
      <c r="L24">
        <v>899.57517078667354</v>
      </c>
      <c r="M24">
        <v>899.57517078667183</v>
      </c>
      <c r="N24">
        <v>1257.626806268127</v>
      </c>
      <c r="O24">
        <v>3637.0005566868022</v>
      </c>
      <c r="P24">
        <v>5054.5336768660854</v>
      </c>
      <c r="Q24">
        <v>33.963056981971583</v>
      </c>
      <c r="R24">
        <v>39.856981224945237</v>
      </c>
      <c r="S24" t="b">
        <v>1</v>
      </c>
      <c r="T24" t="b">
        <v>0</v>
      </c>
      <c r="U24" t="b">
        <v>1</v>
      </c>
      <c r="V24" t="b">
        <v>0</v>
      </c>
    </row>
    <row r="25" spans="1:22" x14ac:dyDescent="0.3">
      <c r="A25" s="1" t="s">
        <v>44</v>
      </c>
      <c r="B25">
        <v>382.06393947159728</v>
      </c>
      <c r="C25">
        <v>752.78037527937988</v>
      </c>
      <c r="D25">
        <v>1018.878295454545</v>
      </c>
      <c r="E25">
        <v>432.51929458400281</v>
      </c>
      <c r="F25">
        <v>523.47751613016408</v>
      </c>
      <c r="G25">
        <v>727.3445151903079</v>
      </c>
      <c r="H25">
        <v>1541.6947708298969</v>
      </c>
      <c r="I25">
        <v>1483.044688748043</v>
      </c>
      <c r="J25">
        <v>1483.0446860985171</v>
      </c>
      <c r="K25">
        <v>400.44061644208517</v>
      </c>
      <c r="L25">
        <v>2062.3103451272332</v>
      </c>
      <c r="M25">
        <v>2062.3103451271841</v>
      </c>
      <c r="N25">
        <v>2062.3103451271841</v>
      </c>
      <c r="O25">
        <v>1483.0445780756961</v>
      </c>
      <c r="P25">
        <v>1483.0445780756961</v>
      </c>
      <c r="Q25">
        <v>400.4406164420858</v>
      </c>
      <c r="R25">
        <v>400.4406164420858</v>
      </c>
      <c r="S25" t="b">
        <v>1</v>
      </c>
      <c r="T25" t="b">
        <v>1</v>
      </c>
      <c r="U25" t="b">
        <v>1</v>
      </c>
      <c r="V25" t="b">
        <v>1</v>
      </c>
    </row>
    <row r="26" spans="1:22" x14ac:dyDescent="0.3">
      <c r="A26" s="1" t="s">
        <v>45</v>
      </c>
      <c r="B26">
        <v>3827.9846740382841</v>
      </c>
      <c r="C26">
        <v>5607.293641152135</v>
      </c>
      <c r="D26">
        <v>9048.8840927310121</v>
      </c>
      <c r="E26">
        <v>4517.183824409939</v>
      </c>
      <c r="F26">
        <v>6841.9980228281784</v>
      </c>
      <c r="G26">
        <v>9709.4097726433574</v>
      </c>
      <c r="H26">
        <v>3777.276865896737</v>
      </c>
      <c r="I26">
        <v>7953.0333298657824</v>
      </c>
      <c r="J26">
        <v>7953.0333298657924</v>
      </c>
      <c r="K26">
        <v>2187.409659096355</v>
      </c>
      <c r="L26">
        <v>7224.3095904427973</v>
      </c>
      <c r="M26">
        <v>7224.3095904428046</v>
      </c>
      <c r="N26">
        <v>7224.3095904428046</v>
      </c>
      <c r="O26">
        <v>7953.033329865787</v>
      </c>
      <c r="P26">
        <v>7953.033329865787</v>
      </c>
      <c r="Q26">
        <v>2187.4096590963541</v>
      </c>
      <c r="R26">
        <v>2187.4096590963541</v>
      </c>
      <c r="S26" t="b">
        <v>1</v>
      </c>
      <c r="T26" t="b">
        <v>1</v>
      </c>
      <c r="U26" t="b">
        <v>1</v>
      </c>
      <c r="V26" t="b">
        <v>1</v>
      </c>
    </row>
    <row r="27" spans="1:22" x14ac:dyDescent="0.3">
      <c r="A27" s="1" t="s">
        <v>46</v>
      </c>
      <c r="B27">
        <v>5169.59049059073</v>
      </c>
      <c r="C27">
        <v>7951.3928205325637</v>
      </c>
      <c r="D27">
        <v>12419.978457221619</v>
      </c>
      <c r="E27">
        <v>4155.9297761804419</v>
      </c>
      <c r="F27">
        <v>5929.1402659973701</v>
      </c>
      <c r="G27">
        <v>11221.336561941471</v>
      </c>
      <c r="H27">
        <v>65007.829097013353</v>
      </c>
      <c r="I27">
        <v>44625.135976185949</v>
      </c>
      <c r="J27">
        <v>44625.135976185993</v>
      </c>
      <c r="K27">
        <v>2491.1863627522098</v>
      </c>
      <c r="L27">
        <v>16096.8222890957</v>
      </c>
      <c r="M27">
        <v>16096.8222890956</v>
      </c>
      <c r="N27">
        <v>16096.8222890956</v>
      </c>
      <c r="O27">
        <v>44625.135976186</v>
      </c>
      <c r="P27">
        <v>44625.135976186</v>
      </c>
      <c r="Q27">
        <v>2491.1863627522048</v>
      </c>
      <c r="R27">
        <v>2491.1863627522048</v>
      </c>
      <c r="S27" t="b">
        <v>1</v>
      </c>
      <c r="T27" t="b">
        <v>0</v>
      </c>
      <c r="U27" t="b">
        <v>1</v>
      </c>
      <c r="V27" t="b">
        <v>0</v>
      </c>
    </row>
    <row r="28" spans="1:22" x14ac:dyDescent="0.3">
      <c r="A28" s="1" t="s">
        <v>47</v>
      </c>
      <c r="B28">
        <v>470.90183903731929</v>
      </c>
      <c r="C28">
        <v>560.78826741642365</v>
      </c>
      <c r="D28">
        <v>883.47467475934013</v>
      </c>
      <c r="E28">
        <v>122.1546510059207</v>
      </c>
      <c r="F28">
        <v>158.47264586151971</v>
      </c>
      <c r="G28">
        <v>190.0511114174324</v>
      </c>
      <c r="H28">
        <v>531.37130010597002</v>
      </c>
      <c r="I28">
        <v>797.28980317295577</v>
      </c>
      <c r="J28">
        <v>797.28980317295589</v>
      </c>
      <c r="K28">
        <v>15.836486054875961</v>
      </c>
      <c r="L28">
        <v>462.21721042744548</v>
      </c>
      <c r="M28">
        <v>462.21721042744542</v>
      </c>
      <c r="N28">
        <v>462.21721042744542</v>
      </c>
      <c r="O28">
        <v>797.28980317295634</v>
      </c>
      <c r="P28">
        <v>797.28980317295634</v>
      </c>
      <c r="Q28">
        <v>15.836486054875961</v>
      </c>
      <c r="R28">
        <v>15.836486054875961</v>
      </c>
      <c r="S28" t="b">
        <v>1</v>
      </c>
      <c r="T28" t="b">
        <v>1</v>
      </c>
      <c r="U28" t="b">
        <v>1</v>
      </c>
      <c r="V28" t="b">
        <v>1</v>
      </c>
    </row>
    <row r="29" spans="1:22" x14ac:dyDescent="0.3">
      <c r="A29" s="1" t="s">
        <v>48</v>
      </c>
      <c r="B29">
        <v>975.73925019578155</v>
      </c>
      <c r="C29">
        <v>1621.1022626543529</v>
      </c>
      <c r="D29">
        <v>2829.5304593226551</v>
      </c>
      <c r="E29">
        <v>1445.475452402844</v>
      </c>
      <c r="F29">
        <v>2467.9412469962358</v>
      </c>
      <c r="G29">
        <v>3203.2925133076319</v>
      </c>
      <c r="H29">
        <v>1378.202349742279</v>
      </c>
      <c r="I29">
        <v>4270.8482765119779</v>
      </c>
      <c r="J29">
        <v>4270.8482765119779</v>
      </c>
      <c r="K29">
        <v>56.495848710269627</v>
      </c>
      <c r="L29">
        <v>1958.9055490523181</v>
      </c>
      <c r="M29">
        <v>1958.905549052319</v>
      </c>
      <c r="N29">
        <v>1958.905549052319</v>
      </c>
      <c r="O29">
        <v>4270.8482765119797</v>
      </c>
      <c r="P29">
        <v>4270.8482765119797</v>
      </c>
      <c r="Q29">
        <v>56.495848710269627</v>
      </c>
      <c r="R29">
        <v>56.495848710269627</v>
      </c>
      <c r="S29" t="b">
        <v>1</v>
      </c>
      <c r="T29" t="b">
        <v>1</v>
      </c>
      <c r="U29" t="b">
        <v>1</v>
      </c>
      <c r="V29" t="b">
        <v>1</v>
      </c>
    </row>
    <row r="30" spans="1:22" x14ac:dyDescent="0.3">
      <c r="A30" s="1" t="s">
        <v>49</v>
      </c>
      <c r="B30">
        <v>100.9525925111982</v>
      </c>
      <c r="C30">
        <v>177.13612899627921</v>
      </c>
      <c r="D30">
        <v>280.24985200852262</v>
      </c>
      <c r="E30">
        <v>301.78995289087379</v>
      </c>
      <c r="F30">
        <v>515.86241404133352</v>
      </c>
      <c r="G30">
        <v>1832.9977788583799</v>
      </c>
      <c r="H30">
        <v>981.29702515389647</v>
      </c>
      <c r="I30">
        <v>1711.19174275925</v>
      </c>
      <c r="J30">
        <v>1711.1917427592471</v>
      </c>
      <c r="K30">
        <v>8.1839610081175298</v>
      </c>
      <c r="L30">
        <v>513.90750391882773</v>
      </c>
      <c r="M30">
        <v>513.90750391882739</v>
      </c>
      <c r="N30">
        <v>513.90750391882739</v>
      </c>
      <c r="O30">
        <v>1711.191742759245</v>
      </c>
      <c r="P30">
        <v>1711.191742759245</v>
      </c>
      <c r="Q30">
        <v>8.1839610081175351</v>
      </c>
      <c r="R30">
        <v>8.1839610081175351</v>
      </c>
      <c r="S30" t="b">
        <v>1</v>
      </c>
      <c r="T30" t="b">
        <v>1</v>
      </c>
      <c r="U30" t="b">
        <v>1</v>
      </c>
      <c r="V30" t="b">
        <v>1</v>
      </c>
    </row>
    <row r="31" spans="1:22" x14ac:dyDescent="0.3">
      <c r="A31" s="1" t="s">
        <v>50</v>
      </c>
      <c r="B31">
        <v>217.86581282268679</v>
      </c>
      <c r="C31">
        <v>254.37960184876019</v>
      </c>
      <c r="D31">
        <v>455.17714345623301</v>
      </c>
      <c r="E31">
        <v>71.135249215938458</v>
      </c>
      <c r="F31">
        <v>92.43596904425587</v>
      </c>
      <c r="G31">
        <v>105.6017322800876</v>
      </c>
      <c r="H31">
        <v>189.77991988818169</v>
      </c>
      <c r="I31">
        <v>1520.1236581738931</v>
      </c>
      <c r="J31">
        <v>1520.123658173896</v>
      </c>
      <c r="K31">
        <v>35.082603024738098</v>
      </c>
      <c r="L31">
        <v>149.38191488848139</v>
      </c>
      <c r="M31">
        <v>149.38191488848159</v>
      </c>
      <c r="N31">
        <v>149.38191488848159</v>
      </c>
      <c r="O31">
        <v>1520.1236581738981</v>
      </c>
      <c r="P31">
        <v>1520.1236581738981</v>
      </c>
      <c r="Q31">
        <v>35.082603024738113</v>
      </c>
      <c r="R31">
        <v>35.082603024738113</v>
      </c>
      <c r="S31" t="b">
        <v>1</v>
      </c>
      <c r="T31" t="b">
        <v>1</v>
      </c>
      <c r="U31" t="b">
        <v>1</v>
      </c>
      <c r="V31" t="b">
        <v>1</v>
      </c>
    </row>
    <row r="32" spans="1:22" x14ac:dyDescent="0.3">
      <c r="A32" s="1" t="s">
        <v>51</v>
      </c>
      <c r="B32">
        <v>739.07739184014758</v>
      </c>
      <c r="C32">
        <v>902.14996060508838</v>
      </c>
      <c r="D32">
        <v>1362.5106549988111</v>
      </c>
      <c r="E32">
        <v>163.00469034346219</v>
      </c>
      <c r="F32">
        <v>191.48690623349259</v>
      </c>
      <c r="G32">
        <v>299.12066817735348</v>
      </c>
      <c r="H32">
        <v>269.3278175197978</v>
      </c>
      <c r="I32">
        <v>1974.323741381837</v>
      </c>
      <c r="J32">
        <v>1974.3237413818381</v>
      </c>
      <c r="K32">
        <v>103.0620131111539</v>
      </c>
      <c r="L32">
        <v>661.42229301506768</v>
      </c>
      <c r="M32">
        <v>661.42229301506791</v>
      </c>
      <c r="N32">
        <v>661.42229301506791</v>
      </c>
      <c r="O32">
        <v>1974.323741381837</v>
      </c>
      <c r="P32">
        <v>1974.323741381837</v>
      </c>
      <c r="Q32">
        <v>103.0620131111539</v>
      </c>
      <c r="R32">
        <v>103.0620131111539</v>
      </c>
      <c r="S32" t="b">
        <v>1</v>
      </c>
      <c r="T32" t="b">
        <v>1</v>
      </c>
      <c r="U32" t="b">
        <v>1</v>
      </c>
      <c r="V32" t="b">
        <v>1</v>
      </c>
    </row>
    <row r="33" spans="1:22" x14ac:dyDescent="0.3">
      <c r="A33" s="1" t="s">
        <v>52</v>
      </c>
      <c r="B33">
        <v>43.452103134741179</v>
      </c>
      <c r="C33">
        <v>60.158293870362563</v>
      </c>
      <c r="D33">
        <v>92.126572633719093</v>
      </c>
      <c r="E33">
        <v>54.895182411258787</v>
      </c>
      <c r="F33">
        <v>82.543217670096425</v>
      </c>
      <c r="G33">
        <v>155.24525537140761</v>
      </c>
      <c r="H33">
        <v>221.2676603599399</v>
      </c>
      <c r="I33">
        <v>530.73107835886867</v>
      </c>
      <c r="J33">
        <v>530.7310783588689</v>
      </c>
      <c r="K33">
        <v>7.9392716500536187</v>
      </c>
      <c r="L33">
        <v>76.384983567289794</v>
      </c>
      <c r="M33">
        <v>76.384983567289837</v>
      </c>
      <c r="N33">
        <v>76.384983567289837</v>
      </c>
      <c r="O33">
        <v>530.73107835886913</v>
      </c>
      <c r="P33">
        <v>530.73107835886913</v>
      </c>
      <c r="Q33">
        <v>7.9392716500536196</v>
      </c>
      <c r="R33">
        <v>7.9392716500536196</v>
      </c>
      <c r="S33" t="b">
        <v>1</v>
      </c>
      <c r="T33" t="b">
        <v>1</v>
      </c>
      <c r="U33" t="b">
        <v>1</v>
      </c>
      <c r="V33" t="b">
        <v>1</v>
      </c>
    </row>
    <row r="34" spans="1:22" x14ac:dyDescent="0.3">
      <c r="A34" s="1" t="s">
        <v>53</v>
      </c>
      <c r="B34">
        <v>142.69003005878309</v>
      </c>
      <c r="C34">
        <v>172.7381325228404</v>
      </c>
      <c r="D34">
        <v>307.24696340253058</v>
      </c>
      <c r="E34">
        <v>145.27972215172579</v>
      </c>
      <c r="F34">
        <v>249.20182070396089</v>
      </c>
      <c r="G34">
        <v>392.23220810333908</v>
      </c>
      <c r="H34">
        <v>496.76900977568698</v>
      </c>
      <c r="I34">
        <v>1279.974039343811</v>
      </c>
      <c r="J34">
        <v>1279.974039343811</v>
      </c>
      <c r="K34">
        <v>94.723749518491658</v>
      </c>
      <c r="L34">
        <v>1051.1017645540801</v>
      </c>
      <c r="M34">
        <v>1051.101764554079</v>
      </c>
      <c r="N34">
        <v>1051.101764554079</v>
      </c>
      <c r="O34">
        <v>1279.974039343813</v>
      </c>
      <c r="P34">
        <v>1279.974039343813</v>
      </c>
      <c r="Q34">
        <v>94.723749518492042</v>
      </c>
      <c r="R34">
        <v>94.723749518492042</v>
      </c>
      <c r="S34" t="b">
        <v>1</v>
      </c>
      <c r="T34" t="b">
        <v>1</v>
      </c>
      <c r="U34" t="b">
        <v>1</v>
      </c>
      <c r="V34" t="b">
        <v>1</v>
      </c>
    </row>
    <row r="35" spans="1:22" x14ac:dyDescent="0.3">
      <c r="A35" s="1" t="s">
        <v>54</v>
      </c>
      <c r="B35">
        <v>61.658732051480591</v>
      </c>
      <c r="C35">
        <v>61.658732051480591</v>
      </c>
      <c r="D35">
        <v>113.7549705557801</v>
      </c>
      <c r="E35">
        <v>11.26401565696824</v>
      </c>
      <c r="F35">
        <v>15.270518806787839</v>
      </c>
      <c r="G35">
        <v>20.910561981849408</v>
      </c>
      <c r="H35">
        <v>67.891572321754495</v>
      </c>
      <c r="I35">
        <v>1025.8565439719421</v>
      </c>
      <c r="J35">
        <v>1025.856543971958</v>
      </c>
      <c r="K35">
        <v>2.7171229169751761</v>
      </c>
      <c r="L35">
        <v>13.42794376401849</v>
      </c>
      <c r="M35">
        <v>13.427943764018449</v>
      </c>
      <c r="N35">
        <v>13.427943764018449</v>
      </c>
      <c r="O35">
        <v>1025.856543971955</v>
      </c>
      <c r="P35">
        <v>1025.856543971955</v>
      </c>
      <c r="Q35">
        <v>2.7171229169751778</v>
      </c>
      <c r="R35">
        <v>2.7171229169751778</v>
      </c>
      <c r="S35" t="b">
        <v>1</v>
      </c>
      <c r="T35" t="b">
        <v>0</v>
      </c>
      <c r="U35" t="b">
        <v>1</v>
      </c>
      <c r="V35" t="b">
        <v>0</v>
      </c>
    </row>
    <row r="36" spans="1:22" x14ac:dyDescent="0.3">
      <c r="A36" s="1" t="s">
        <v>55</v>
      </c>
      <c r="B36">
        <v>210.9554719262147</v>
      </c>
      <c r="C36">
        <v>432.4204918435517</v>
      </c>
      <c r="D36">
        <v>633.35246125251001</v>
      </c>
      <c r="E36">
        <v>53.180548928582567</v>
      </c>
      <c r="F36">
        <v>64.20027248414344</v>
      </c>
      <c r="G36">
        <v>124.3343434834443</v>
      </c>
      <c r="H36">
        <v>1307.922864227568</v>
      </c>
      <c r="I36">
        <v>6548.4601380330278</v>
      </c>
      <c r="J36">
        <v>6548.4601380324457</v>
      </c>
      <c r="K36">
        <v>155.73263897572599</v>
      </c>
      <c r="L36">
        <v>1614.970325922312</v>
      </c>
      <c r="M36">
        <v>1614.970325922307</v>
      </c>
      <c r="N36">
        <v>1614.970325922307</v>
      </c>
      <c r="O36">
        <v>6548.4601380325839</v>
      </c>
      <c r="P36">
        <v>6548.4601380325839</v>
      </c>
      <c r="Q36">
        <v>155.7326389757263</v>
      </c>
      <c r="R36">
        <v>155.7326389757263</v>
      </c>
      <c r="S36" t="b">
        <v>1</v>
      </c>
      <c r="T36" t="b">
        <v>1</v>
      </c>
      <c r="U36" t="b">
        <v>1</v>
      </c>
      <c r="V36" t="b">
        <v>1</v>
      </c>
    </row>
    <row r="37" spans="1:22" x14ac:dyDescent="0.3">
      <c r="A37" s="1" t="s">
        <v>56</v>
      </c>
      <c r="B37">
        <v>22185.966795701868</v>
      </c>
      <c r="C37">
        <v>56343.245304171141</v>
      </c>
      <c r="D37">
        <v>91951.24861285607</v>
      </c>
      <c r="E37">
        <v>8004.5033859726518</v>
      </c>
      <c r="F37">
        <v>9175.6507934167657</v>
      </c>
      <c r="G37">
        <v>13349.766704442</v>
      </c>
      <c r="H37">
        <v>61728.38898010616</v>
      </c>
      <c r="I37">
        <v>48385.370773500857</v>
      </c>
      <c r="J37">
        <v>48385.37077350093</v>
      </c>
      <c r="K37">
        <v>22598.55365261648</v>
      </c>
      <c r="L37">
        <v>47511.846698884379</v>
      </c>
      <c r="M37">
        <v>47511.846698884459</v>
      </c>
      <c r="N37">
        <v>47511.846698884459</v>
      </c>
      <c r="O37">
        <v>48385.370773500908</v>
      </c>
      <c r="P37">
        <v>48385.370773500908</v>
      </c>
      <c r="Q37">
        <v>22598.553652616491</v>
      </c>
      <c r="R37">
        <v>22598.553652616491</v>
      </c>
      <c r="S37" t="b">
        <v>1</v>
      </c>
      <c r="T37" t="b">
        <v>1</v>
      </c>
      <c r="U37" t="b">
        <v>1</v>
      </c>
      <c r="V37" t="b">
        <v>1</v>
      </c>
    </row>
    <row r="38" spans="1:22" x14ac:dyDescent="0.3">
      <c r="A38" s="1" t="s">
        <v>57</v>
      </c>
      <c r="B38">
        <v>280.28217111146103</v>
      </c>
      <c r="C38">
        <v>457.99830944602093</v>
      </c>
      <c r="D38">
        <v>718.57728103275974</v>
      </c>
      <c r="E38">
        <v>247.17951732466759</v>
      </c>
      <c r="F38">
        <v>350.05829226774108</v>
      </c>
      <c r="G38">
        <v>427.58849886461189</v>
      </c>
      <c r="H38">
        <v>847.71706564677004</v>
      </c>
      <c r="I38">
        <v>2451.2333392504938</v>
      </c>
      <c r="J38">
        <v>2451.2333392504952</v>
      </c>
      <c r="K38">
        <v>39.90866416976327</v>
      </c>
      <c r="L38">
        <v>1691.8457235443479</v>
      </c>
      <c r="M38">
        <v>1691.8457235443479</v>
      </c>
      <c r="N38">
        <v>1691.8457235443479</v>
      </c>
      <c r="O38">
        <v>2451.2333392504961</v>
      </c>
      <c r="P38">
        <v>2451.2333392504961</v>
      </c>
      <c r="Q38">
        <v>39.90866416976327</v>
      </c>
      <c r="R38">
        <v>39.90866416976327</v>
      </c>
      <c r="S38" t="b">
        <v>1</v>
      </c>
      <c r="T38" t="b">
        <v>1</v>
      </c>
      <c r="U38" t="b">
        <v>1</v>
      </c>
      <c r="V38" t="b">
        <v>1</v>
      </c>
    </row>
    <row r="39" spans="1:22" x14ac:dyDescent="0.3">
      <c r="A39" s="1" t="s">
        <v>58</v>
      </c>
      <c r="B39">
        <v>465.21182871350828</v>
      </c>
      <c r="C39">
        <v>1020.138096257316</v>
      </c>
      <c r="D39">
        <v>1410.988933141512</v>
      </c>
      <c r="E39">
        <v>105.757737049064</v>
      </c>
      <c r="F39">
        <v>118.5544178821939</v>
      </c>
      <c r="G39">
        <v>126.15431713182601</v>
      </c>
      <c r="H39">
        <v>1202.5734760817909</v>
      </c>
      <c r="I39">
        <v>1618.1996631845591</v>
      </c>
      <c r="J39">
        <v>1618.19966318456</v>
      </c>
      <c r="K39">
        <v>54.716531341327801</v>
      </c>
      <c r="L39">
        <v>655.26292563456218</v>
      </c>
      <c r="M39">
        <v>655.26292563456218</v>
      </c>
      <c r="N39">
        <v>655.26292563456218</v>
      </c>
      <c r="O39">
        <v>1618.19966318456</v>
      </c>
      <c r="P39">
        <v>1618.19966318456</v>
      </c>
      <c r="Q39">
        <v>54.716531341327837</v>
      </c>
      <c r="R39">
        <v>54.716531341327837</v>
      </c>
      <c r="S39" t="b">
        <v>1</v>
      </c>
      <c r="T39" t="b">
        <v>1</v>
      </c>
      <c r="U39" t="b">
        <v>1</v>
      </c>
      <c r="V39" t="b">
        <v>1</v>
      </c>
    </row>
    <row r="40" spans="1:22" x14ac:dyDescent="0.3">
      <c r="A40" s="1" t="s">
        <v>59</v>
      </c>
      <c r="B40">
        <v>270.01419347621339</v>
      </c>
      <c r="C40">
        <v>525.87206070719662</v>
      </c>
      <c r="D40">
        <v>837.88813431301901</v>
      </c>
      <c r="E40">
        <v>122.9399836229066</v>
      </c>
      <c r="F40">
        <v>162.12397357111439</v>
      </c>
      <c r="G40">
        <v>332.02402167588718</v>
      </c>
      <c r="H40">
        <v>698.4532113537698</v>
      </c>
      <c r="I40">
        <v>724.26047151210969</v>
      </c>
      <c r="J40">
        <v>724.26047151210969</v>
      </c>
      <c r="K40">
        <v>25.8658061774074</v>
      </c>
      <c r="L40">
        <v>475.2483293346138</v>
      </c>
      <c r="M40">
        <v>475.24832933461369</v>
      </c>
      <c r="N40">
        <v>475.24832933461369</v>
      </c>
      <c r="O40">
        <v>724.26047151210992</v>
      </c>
      <c r="P40">
        <v>724.26047151210992</v>
      </c>
      <c r="Q40">
        <v>25.8658061774074</v>
      </c>
      <c r="R40">
        <v>25.8658061774074</v>
      </c>
      <c r="S40" t="b">
        <v>1</v>
      </c>
      <c r="T40" t="b">
        <v>1</v>
      </c>
      <c r="U40" t="b">
        <v>1</v>
      </c>
      <c r="V40" t="b">
        <v>1</v>
      </c>
    </row>
    <row r="41" spans="1:22" x14ac:dyDescent="0.3">
      <c r="A41" s="1" t="s">
        <v>60</v>
      </c>
      <c r="B41">
        <v>139.5911175840499</v>
      </c>
      <c r="C41">
        <v>238.1371920939437</v>
      </c>
      <c r="D41">
        <v>421.82872287256509</v>
      </c>
      <c r="E41">
        <v>151.375952984625</v>
      </c>
      <c r="F41">
        <v>238.41804910917759</v>
      </c>
      <c r="G41">
        <v>258.09375015418613</v>
      </c>
      <c r="H41">
        <v>2637.701602725449</v>
      </c>
      <c r="I41">
        <v>13568.365911944729</v>
      </c>
      <c r="J41">
        <v>13568.365911944749</v>
      </c>
      <c r="K41">
        <v>31.92306590926998</v>
      </c>
      <c r="L41">
        <v>584.58817896227924</v>
      </c>
      <c r="M41">
        <v>584.58817896227913</v>
      </c>
      <c r="N41">
        <v>584.58817896227913</v>
      </c>
      <c r="O41">
        <v>13568.36591194474</v>
      </c>
      <c r="P41">
        <v>13568.36591194474</v>
      </c>
      <c r="Q41">
        <v>31.923065909269951</v>
      </c>
      <c r="R41">
        <v>31.923065909269951</v>
      </c>
      <c r="S41" t="b">
        <v>1</v>
      </c>
      <c r="T41" t="b">
        <v>1</v>
      </c>
      <c r="U41" t="b">
        <v>1</v>
      </c>
      <c r="V41" t="b">
        <v>1</v>
      </c>
    </row>
    <row r="42" spans="1:22" x14ac:dyDescent="0.3">
      <c r="A42" s="1" t="s">
        <v>61</v>
      </c>
      <c r="B42">
        <v>1491.423350784803</v>
      </c>
      <c r="C42">
        <v>1585.327690768308</v>
      </c>
      <c r="D42">
        <v>2783.479915001185</v>
      </c>
      <c r="E42">
        <v>1004.062102408879</v>
      </c>
      <c r="F42">
        <v>1490.604409524864</v>
      </c>
      <c r="G42">
        <v>1492.2133094263941</v>
      </c>
      <c r="H42">
        <v>3818.183126539489</v>
      </c>
      <c r="I42">
        <v>10397.84257596194</v>
      </c>
      <c r="J42">
        <v>10397.842575961949</v>
      </c>
      <c r="K42">
        <v>332.15202495513051</v>
      </c>
      <c r="L42">
        <v>1656.474060960162</v>
      </c>
      <c r="M42">
        <v>1656.4740609601649</v>
      </c>
      <c r="N42">
        <v>1656.4740609601649</v>
      </c>
      <c r="O42">
        <v>10397.842575961949</v>
      </c>
      <c r="P42">
        <v>10397.842575961949</v>
      </c>
      <c r="Q42">
        <v>332.15202495513029</v>
      </c>
      <c r="R42">
        <v>332.15202495513029</v>
      </c>
      <c r="S42" t="b">
        <v>1</v>
      </c>
      <c r="T42" t="b">
        <v>1</v>
      </c>
      <c r="U42" t="b">
        <v>1</v>
      </c>
      <c r="V42" t="b">
        <v>1</v>
      </c>
    </row>
    <row r="43" spans="1:22" x14ac:dyDescent="0.3">
      <c r="A43" s="1" t="s">
        <v>62</v>
      </c>
      <c r="B43">
        <v>91.888683306677208</v>
      </c>
      <c r="C43">
        <v>183.1609019323094</v>
      </c>
      <c r="D43">
        <v>283.89680480799802</v>
      </c>
      <c r="E43">
        <v>86.372997147435811</v>
      </c>
      <c r="F43">
        <v>124.89055857755029</v>
      </c>
      <c r="G43">
        <v>639.47083641904089</v>
      </c>
      <c r="H43">
        <v>594.27726368210426</v>
      </c>
      <c r="I43">
        <v>467.98196628040392</v>
      </c>
      <c r="J43">
        <v>467.98196628040409</v>
      </c>
      <c r="K43">
        <v>-2.8913441132896009</v>
      </c>
      <c r="L43">
        <v>1325.088419849887</v>
      </c>
      <c r="M43">
        <v>1325.088419849887</v>
      </c>
      <c r="N43">
        <v>1325.088419849887</v>
      </c>
      <c r="O43">
        <v>467.98196628040392</v>
      </c>
      <c r="P43">
        <v>467.98196628040392</v>
      </c>
      <c r="Q43">
        <v>-2.891344113289597</v>
      </c>
      <c r="R43">
        <v>-2.891344113289597</v>
      </c>
      <c r="S43" t="b">
        <v>1</v>
      </c>
      <c r="T43" t="b">
        <v>1</v>
      </c>
      <c r="U43" t="b">
        <v>1</v>
      </c>
      <c r="V43" t="b">
        <v>1</v>
      </c>
    </row>
    <row r="44" spans="1:22" x14ac:dyDescent="0.3">
      <c r="A44" s="1" t="s">
        <v>63</v>
      </c>
      <c r="B44">
        <v>463.4158608699276</v>
      </c>
      <c r="C44">
        <v>514.59779928014689</v>
      </c>
      <c r="D44">
        <v>695.51095115978649</v>
      </c>
      <c r="E44">
        <v>382.53315767811881</v>
      </c>
      <c r="F44">
        <v>495.7664701478447</v>
      </c>
      <c r="G44">
        <v>1357.06823537323</v>
      </c>
      <c r="H44">
        <v>369.0593115596381</v>
      </c>
      <c r="I44">
        <v>486.80863887946521</v>
      </c>
      <c r="J44">
        <v>486.80863887946509</v>
      </c>
      <c r="K44">
        <v>-79.243763872127246</v>
      </c>
      <c r="L44">
        <v>581.67908547544539</v>
      </c>
      <c r="M44">
        <v>581.67908547544516</v>
      </c>
      <c r="N44">
        <v>581.67908547544516</v>
      </c>
      <c r="O44">
        <v>486.80863887946521</v>
      </c>
      <c r="P44">
        <v>486.80863887946521</v>
      </c>
      <c r="Q44">
        <v>-79.243763872127261</v>
      </c>
      <c r="R44">
        <v>-79.243763872127261</v>
      </c>
      <c r="S44" t="b">
        <v>1</v>
      </c>
      <c r="T44" t="b">
        <v>1</v>
      </c>
      <c r="U44" t="b">
        <v>1</v>
      </c>
      <c r="V44" t="b">
        <v>1</v>
      </c>
    </row>
    <row r="45" spans="1:22" x14ac:dyDescent="0.3">
      <c r="A45" s="1" t="s">
        <v>64</v>
      </c>
      <c r="B45">
        <v>318.75431651297208</v>
      </c>
      <c r="C45">
        <v>580.77636049191005</v>
      </c>
      <c r="D45">
        <v>808.49724352378007</v>
      </c>
      <c r="E45">
        <v>126.505631938428</v>
      </c>
      <c r="F45">
        <v>149.07434912923651</v>
      </c>
      <c r="G45">
        <v>166.34763363208941</v>
      </c>
      <c r="H45">
        <v>255.7982437285944</v>
      </c>
      <c r="I45">
        <v>2335.9133510145939</v>
      </c>
      <c r="J45">
        <v>2335.9133510145971</v>
      </c>
      <c r="K45">
        <v>62.87454942630221</v>
      </c>
      <c r="L45">
        <v>433.72265803221518</v>
      </c>
      <c r="M45">
        <v>433.72265803221552</v>
      </c>
      <c r="N45">
        <v>433.72265803221552</v>
      </c>
      <c r="O45">
        <v>2335.913351014598</v>
      </c>
      <c r="P45">
        <v>2335.913351014598</v>
      </c>
      <c r="Q45">
        <v>62.874549426302153</v>
      </c>
      <c r="R45">
        <v>62.874549426302153</v>
      </c>
      <c r="S45" t="b">
        <v>1</v>
      </c>
      <c r="T45" t="b">
        <v>0</v>
      </c>
      <c r="U45" t="b">
        <v>1</v>
      </c>
      <c r="V45" t="b">
        <v>0</v>
      </c>
    </row>
    <row r="46" spans="1:22" x14ac:dyDescent="0.3">
      <c r="A46" s="1" t="s">
        <v>65</v>
      </c>
      <c r="B46">
        <v>21.88555557410568</v>
      </c>
      <c r="C46">
        <v>34.709537440776842</v>
      </c>
      <c r="D46">
        <v>50.333242001922613</v>
      </c>
      <c r="E46">
        <v>135.56744662360481</v>
      </c>
      <c r="F46">
        <v>228.41731898336039</v>
      </c>
      <c r="G46">
        <v>1955.3326389350029</v>
      </c>
      <c r="H46">
        <v>733.2500085884443</v>
      </c>
      <c r="I46">
        <v>5472.8579898526832</v>
      </c>
      <c r="J46">
        <v>5472.8579898527096</v>
      </c>
      <c r="K46">
        <v>1.5326639375168629</v>
      </c>
      <c r="L46">
        <v>67.458953294052023</v>
      </c>
      <c r="M46">
        <v>67.458953294052208</v>
      </c>
      <c r="N46">
        <v>67.458953294052208</v>
      </c>
      <c r="O46">
        <v>5472.8579898527269</v>
      </c>
      <c r="P46">
        <v>5472.8579898527269</v>
      </c>
      <c r="Q46">
        <v>1.5326639375168629</v>
      </c>
      <c r="R46">
        <v>1.5326639375168629</v>
      </c>
      <c r="S46" t="b">
        <v>1</v>
      </c>
      <c r="T46" t="b">
        <v>1</v>
      </c>
      <c r="U46" t="b">
        <v>1</v>
      </c>
      <c r="V46" t="b">
        <v>1</v>
      </c>
    </row>
    <row r="47" spans="1:22" x14ac:dyDescent="0.3">
      <c r="A47" s="1" t="s">
        <v>66</v>
      </c>
      <c r="B47">
        <v>-10250.82031090384</v>
      </c>
      <c r="C47">
        <v>-24913.557815356999</v>
      </c>
      <c r="D47">
        <v>-32728.921333662249</v>
      </c>
      <c r="E47">
        <v>-6253.1961400632954</v>
      </c>
      <c r="F47">
        <v>-6950.4031396654073</v>
      </c>
      <c r="G47">
        <v>-7222.9008474031943</v>
      </c>
      <c r="H47">
        <v>-11749.99382479318</v>
      </c>
      <c r="I47">
        <v>-31043.965794612079</v>
      </c>
      <c r="J47">
        <v>-31043.96579461209</v>
      </c>
      <c r="K47">
        <v>2390.8640072805961</v>
      </c>
      <c r="L47">
        <v>1380.246343646123</v>
      </c>
      <c r="M47">
        <v>1380.2463436461221</v>
      </c>
      <c r="N47">
        <v>1366.7843910258721</v>
      </c>
      <c r="O47">
        <v>-31043.965794612101</v>
      </c>
      <c r="P47">
        <v>-31043.965794612061</v>
      </c>
      <c r="Q47">
        <v>2390.8640072805961</v>
      </c>
      <c r="R47">
        <v>2384.977442429763</v>
      </c>
      <c r="S47" t="b">
        <v>1</v>
      </c>
      <c r="T47" t="b">
        <v>0</v>
      </c>
      <c r="U47" t="b">
        <v>0</v>
      </c>
      <c r="V47" t="b">
        <v>0</v>
      </c>
    </row>
    <row r="48" spans="1:22" x14ac:dyDescent="0.3">
      <c r="A48" s="1" t="s">
        <v>67</v>
      </c>
      <c r="B48">
        <v>125.2885630895868</v>
      </c>
      <c r="C48">
        <v>203.85013085672071</v>
      </c>
      <c r="D48">
        <v>290.14829082031832</v>
      </c>
      <c r="E48">
        <v>91.579172357310881</v>
      </c>
      <c r="F48">
        <v>120.7161398936575</v>
      </c>
      <c r="G48">
        <v>264.0759571723583</v>
      </c>
      <c r="H48">
        <v>3751.1648858573458</v>
      </c>
      <c r="I48">
        <v>6695.5308273054916</v>
      </c>
      <c r="J48">
        <v>6695.5308273012124</v>
      </c>
      <c r="K48">
        <v>6.5755612077516776</v>
      </c>
      <c r="L48">
        <v>70.782511482489127</v>
      </c>
      <c r="M48">
        <v>70.782511482489298</v>
      </c>
      <c r="N48">
        <v>70.782511482489298</v>
      </c>
      <c r="O48">
        <v>6695.5308273003084</v>
      </c>
      <c r="P48">
        <v>6695.5308273003084</v>
      </c>
      <c r="Q48">
        <v>6.5755612077516759</v>
      </c>
      <c r="R48">
        <v>6.5755612077516759</v>
      </c>
      <c r="S48" t="b">
        <v>1</v>
      </c>
      <c r="T48" t="b">
        <v>0</v>
      </c>
      <c r="U48" t="b">
        <v>1</v>
      </c>
      <c r="V48" t="b">
        <v>0</v>
      </c>
    </row>
    <row r="49" spans="1:22" x14ac:dyDescent="0.3">
      <c r="A49" s="1" t="s">
        <v>68</v>
      </c>
      <c r="B49">
        <v>13.864577582558571</v>
      </c>
      <c r="C49">
        <v>20.776065358724569</v>
      </c>
      <c r="D49">
        <v>32.432879450489381</v>
      </c>
      <c r="E49">
        <v>27.963007758059081</v>
      </c>
      <c r="F49">
        <v>45.912622264665501</v>
      </c>
      <c r="G49">
        <v>188.9036543747423</v>
      </c>
      <c r="H49">
        <v>32.309219223776118</v>
      </c>
      <c r="I49">
        <v>340.27052654440308</v>
      </c>
      <c r="J49">
        <v>340.27052654628619</v>
      </c>
      <c r="K49">
        <v>1.199455797885876</v>
      </c>
      <c r="L49">
        <v>36.142214774388847</v>
      </c>
      <c r="M49">
        <v>36.142214774384307</v>
      </c>
      <c r="N49">
        <v>2034056150299.311</v>
      </c>
      <c r="O49">
        <v>340.27052654496572</v>
      </c>
      <c r="P49">
        <v>487.81548730673398</v>
      </c>
      <c r="Q49">
        <v>1.199455797885876</v>
      </c>
      <c r="R49">
        <v>-79.151632377879807</v>
      </c>
      <c r="S49" t="b">
        <v>1</v>
      </c>
      <c r="T49" t="b">
        <v>1</v>
      </c>
      <c r="U49" t="b">
        <v>1</v>
      </c>
      <c r="V49" t="b">
        <v>1</v>
      </c>
    </row>
    <row r="50" spans="1:22" x14ac:dyDescent="0.3">
      <c r="A50" s="1" t="s">
        <v>69</v>
      </c>
      <c r="B50">
        <v>3906.3789537654602</v>
      </c>
      <c r="C50">
        <v>5848.3226722736172</v>
      </c>
      <c r="D50">
        <v>9554.2601835833066</v>
      </c>
      <c r="E50">
        <v>554.35300792113617</v>
      </c>
      <c r="F50">
        <v>689.73867578301531</v>
      </c>
      <c r="G50">
        <v>1192.39223492171</v>
      </c>
      <c r="H50">
        <v>5957.3772282467589</v>
      </c>
      <c r="I50">
        <v>4869.5917825069173</v>
      </c>
      <c r="J50">
        <v>4869.5917825069073</v>
      </c>
      <c r="K50">
        <v>197.67495901838129</v>
      </c>
      <c r="L50">
        <v>4797.5465666264618</v>
      </c>
      <c r="M50">
        <v>4797.5465666264536</v>
      </c>
      <c r="N50">
        <v>4797.5465666264536</v>
      </c>
      <c r="O50">
        <v>4869.59178250691</v>
      </c>
      <c r="P50">
        <v>4869.59178250691</v>
      </c>
      <c r="Q50">
        <v>197.67495901838149</v>
      </c>
      <c r="R50">
        <v>197.67495901838149</v>
      </c>
      <c r="S50" t="b">
        <v>1</v>
      </c>
      <c r="T50" t="b">
        <v>1</v>
      </c>
      <c r="U50" t="b">
        <v>1</v>
      </c>
      <c r="V50" t="b">
        <v>1</v>
      </c>
    </row>
    <row r="51" spans="1:22" x14ac:dyDescent="0.3">
      <c r="A51" s="1" t="s">
        <v>70</v>
      </c>
      <c r="B51">
        <v>261.11739215801703</v>
      </c>
      <c r="C51">
        <v>526.07886581456319</v>
      </c>
      <c r="D51">
        <v>822.67612719566898</v>
      </c>
      <c r="E51">
        <v>72.149799246175007</v>
      </c>
      <c r="F51">
        <v>86.023819676484379</v>
      </c>
      <c r="G51">
        <v>127.28307803649911</v>
      </c>
      <c r="H51">
        <v>308.19058167822391</v>
      </c>
      <c r="I51">
        <v>549.52185653843344</v>
      </c>
      <c r="J51">
        <v>549.52185653843321</v>
      </c>
      <c r="K51">
        <v>17.74536752329259</v>
      </c>
      <c r="L51">
        <v>106.2728748324497</v>
      </c>
      <c r="M51">
        <v>106.2728748324495</v>
      </c>
      <c r="N51">
        <v>106.2728748324495</v>
      </c>
      <c r="O51">
        <v>549.52185653843355</v>
      </c>
      <c r="P51">
        <v>549.52185653843355</v>
      </c>
      <c r="Q51">
        <v>17.74536752329259</v>
      </c>
      <c r="R51">
        <v>17.74536752329259</v>
      </c>
      <c r="S51" t="b">
        <v>1</v>
      </c>
      <c r="T51" t="b">
        <v>1</v>
      </c>
      <c r="U51" t="b">
        <v>1</v>
      </c>
      <c r="V51" t="b">
        <v>1</v>
      </c>
    </row>
    <row r="52" spans="1:22" x14ac:dyDescent="0.3">
      <c r="A52" s="1" t="s">
        <v>71</v>
      </c>
      <c r="B52">
        <v>56.462579118873073</v>
      </c>
      <c r="C52">
        <v>87.410388469908838</v>
      </c>
      <c r="D52">
        <v>144.98853655460741</v>
      </c>
      <c r="E52">
        <v>98.704875859482442</v>
      </c>
      <c r="F52">
        <v>166.99146687916701</v>
      </c>
      <c r="G52">
        <v>227.50622472529381</v>
      </c>
      <c r="H52">
        <v>944.66737808253879</v>
      </c>
      <c r="I52">
        <v>826.21484318752118</v>
      </c>
      <c r="J52">
        <v>826.21484318752198</v>
      </c>
      <c r="K52">
        <v>-101.3686172084423</v>
      </c>
      <c r="L52">
        <v>-4501.3875945008058</v>
      </c>
      <c r="M52">
        <v>-4501.3875945006421</v>
      </c>
      <c r="N52">
        <v>-4501.3875945006421</v>
      </c>
      <c r="O52">
        <v>826.21484318752141</v>
      </c>
      <c r="P52">
        <v>826.21484318752141</v>
      </c>
      <c r="Q52">
        <v>-101.3686172084429</v>
      </c>
      <c r="R52">
        <v>-101.3686172084429</v>
      </c>
      <c r="S52" t="b">
        <v>1</v>
      </c>
      <c r="T52" t="b">
        <v>0</v>
      </c>
      <c r="U52" t="b">
        <v>1</v>
      </c>
      <c r="V52" t="b">
        <v>0</v>
      </c>
    </row>
    <row r="53" spans="1:22" x14ac:dyDescent="0.3">
      <c r="A53" s="1" t="s">
        <v>72</v>
      </c>
      <c r="B53">
        <v>106.46026214798469</v>
      </c>
      <c r="C53">
        <v>313.39928243080078</v>
      </c>
      <c r="D53">
        <v>485.20701276864708</v>
      </c>
      <c r="E53">
        <v>44.959906922386033</v>
      </c>
      <c r="F53">
        <v>56.436156546293162</v>
      </c>
      <c r="G53">
        <v>82.928568584220798</v>
      </c>
      <c r="H53">
        <v>514.39661912533109</v>
      </c>
      <c r="I53">
        <v>2073.3344369673459</v>
      </c>
      <c r="J53">
        <v>2073.3344369673459</v>
      </c>
      <c r="K53">
        <v>7.2864298977752933</v>
      </c>
      <c r="L53">
        <v>472.95082382202759</v>
      </c>
      <c r="M53">
        <v>472.95082382202821</v>
      </c>
      <c r="N53">
        <v>472.95082382202821</v>
      </c>
      <c r="O53">
        <v>2073.3344369673468</v>
      </c>
      <c r="P53">
        <v>2073.3344369673468</v>
      </c>
      <c r="Q53">
        <v>7.2864298977752942</v>
      </c>
      <c r="R53">
        <v>7.2864298977752942</v>
      </c>
      <c r="S53" t="b">
        <v>1</v>
      </c>
      <c r="T53" t="b">
        <v>1</v>
      </c>
      <c r="U53" t="b">
        <v>1</v>
      </c>
      <c r="V53" t="b">
        <v>1</v>
      </c>
    </row>
    <row r="54" spans="1:22" x14ac:dyDescent="0.3">
      <c r="A54" s="1" t="s">
        <v>73</v>
      </c>
      <c r="B54">
        <v>97.757910782312166</v>
      </c>
      <c r="C54">
        <v>101.68768819030259</v>
      </c>
      <c r="D54">
        <v>180.5936060681907</v>
      </c>
      <c r="E54">
        <v>126.4168799959416</v>
      </c>
      <c r="F54">
        <v>235.3155620116753</v>
      </c>
      <c r="G54">
        <v>347.4781831812474</v>
      </c>
      <c r="H54">
        <v>542.43122458730045</v>
      </c>
      <c r="I54">
        <v>546.67797005235786</v>
      </c>
      <c r="J54">
        <v>546.67797005235786</v>
      </c>
      <c r="K54">
        <v>13.098842726421751</v>
      </c>
      <c r="L54">
        <v>195.81457798029771</v>
      </c>
      <c r="M54">
        <v>195.81457798029811</v>
      </c>
      <c r="N54">
        <v>195.81457798029811</v>
      </c>
      <c r="O54">
        <v>546.67797005235752</v>
      </c>
      <c r="P54">
        <v>546.67797005235752</v>
      </c>
      <c r="Q54">
        <v>13.098842726421751</v>
      </c>
      <c r="R54">
        <v>13.098842726421751</v>
      </c>
      <c r="S54" t="b">
        <v>1</v>
      </c>
      <c r="T54" t="b">
        <v>1</v>
      </c>
      <c r="U54" t="b">
        <v>1</v>
      </c>
      <c r="V54" t="b">
        <v>1</v>
      </c>
    </row>
    <row r="55" spans="1:22" x14ac:dyDescent="0.3">
      <c r="A55" s="1" t="s">
        <v>74</v>
      </c>
      <c r="B55">
        <v>47.698371788215972</v>
      </c>
      <c r="C55">
        <v>48.605549412903898</v>
      </c>
      <c r="D55">
        <v>59.420000000000023</v>
      </c>
      <c r="E55">
        <v>36.917639090064469</v>
      </c>
      <c r="F55">
        <v>43.77500749810519</v>
      </c>
      <c r="G55">
        <v>87.982363066089221</v>
      </c>
      <c r="H55">
        <v>968.98352711722237</v>
      </c>
      <c r="I55">
        <v>836.34909670655486</v>
      </c>
      <c r="J55">
        <v>836.3490967065552</v>
      </c>
      <c r="K55">
        <v>38.285032043873578</v>
      </c>
      <c r="L55">
        <v>221.27038516024709</v>
      </c>
      <c r="M55">
        <v>221.2703851602472</v>
      </c>
      <c r="N55">
        <v>290.13825871192029</v>
      </c>
      <c r="O55">
        <v>836.34909670655509</v>
      </c>
      <c r="P55">
        <v>1109.675623303666</v>
      </c>
      <c r="Q55">
        <v>38.285032043873457</v>
      </c>
      <c r="R55">
        <v>45.64977233028273</v>
      </c>
      <c r="S55" t="b">
        <v>1</v>
      </c>
      <c r="T55" t="b">
        <v>1</v>
      </c>
      <c r="U55" t="b">
        <v>1</v>
      </c>
      <c r="V55" t="b">
        <v>1</v>
      </c>
    </row>
    <row r="56" spans="1:22" x14ac:dyDescent="0.3">
      <c r="A56" s="1" t="s">
        <v>75</v>
      </c>
      <c r="B56">
        <v>45.807824096609423</v>
      </c>
      <c r="C56">
        <v>46.705549412903913</v>
      </c>
      <c r="D56">
        <v>57.52000000000001</v>
      </c>
      <c r="E56">
        <v>7.8526272843965916</v>
      </c>
      <c r="F56">
        <v>8.3366444843329859</v>
      </c>
      <c r="G56">
        <v>11.9733960486531</v>
      </c>
      <c r="H56">
        <v>15.927453967348651</v>
      </c>
      <c r="I56">
        <v>35.396676828376449</v>
      </c>
      <c r="J56">
        <v>35.396676828376407</v>
      </c>
      <c r="K56">
        <v>2.7555507181330392</v>
      </c>
      <c r="L56">
        <v>17.707906867571889</v>
      </c>
      <c r="M56">
        <v>17.707906867571861</v>
      </c>
      <c r="N56">
        <v>22.149496540956051</v>
      </c>
      <c r="O56">
        <v>35.396676828376421</v>
      </c>
      <c r="P56">
        <v>44.510891653379822</v>
      </c>
      <c r="Q56">
        <v>2.755550718133037</v>
      </c>
      <c r="R56">
        <v>3.1559475994035942</v>
      </c>
      <c r="S56" t="b">
        <v>1</v>
      </c>
      <c r="T56" t="b">
        <v>1</v>
      </c>
      <c r="U56" t="b">
        <v>1</v>
      </c>
      <c r="V56" t="b">
        <v>1</v>
      </c>
    </row>
    <row r="57" spans="1:22" x14ac:dyDescent="0.3">
      <c r="A57" s="1" t="s">
        <v>76</v>
      </c>
      <c r="B57">
        <v>156.43245518299619</v>
      </c>
      <c r="C57">
        <v>171.5216814947967</v>
      </c>
      <c r="D57">
        <v>292.24319339276042</v>
      </c>
      <c r="E57">
        <v>385.52259880372247</v>
      </c>
      <c r="F57">
        <v>754.71169991980946</v>
      </c>
      <c r="G57">
        <v>2463.965153849239</v>
      </c>
      <c r="H57">
        <v>3814.911711413009</v>
      </c>
      <c r="I57">
        <v>5899.5909549088074</v>
      </c>
      <c r="J57">
        <v>5899.5909549087582</v>
      </c>
      <c r="K57">
        <v>9.2913613582898975</v>
      </c>
      <c r="L57">
        <v>98.165350569552189</v>
      </c>
      <c r="M57">
        <v>98.165350569552203</v>
      </c>
      <c r="N57">
        <v>98.165350569552203</v>
      </c>
      <c r="O57">
        <v>5899.5909549087846</v>
      </c>
      <c r="P57">
        <v>5899.5909549087846</v>
      </c>
      <c r="Q57">
        <v>9.291361358289894</v>
      </c>
      <c r="R57">
        <v>9.291361358289894</v>
      </c>
      <c r="S57" t="b">
        <v>1</v>
      </c>
      <c r="T57" t="b">
        <v>0</v>
      </c>
      <c r="U57" t="b">
        <v>1</v>
      </c>
      <c r="V57" t="b">
        <v>0</v>
      </c>
    </row>
    <row r="58" spans="1:22" x14ac:dyDescent="0.3">
      <c r="A58" s="1" t="s">
        <v>77</v>
      </c>
      <c r="B58">
        <v>419.87820981111707</v>
      </c>
      <c r="C58">
        <v>771.57460635372672</v>
      </c>
      <c r="D58">
        <v>1326.3080100445511</v>
      </c>
      <c r="E58">
        <v>428.93248434926289</v>
      </c>
      <c r="F58">
        <v>688.58914782938041</v>
      </c>
      <c r="G58">
        <v>2387.9921953073449</v>
      </c>
      <c r="H58">
        <v>1075.6607624409789</v>
      </c>
      <c r="I58">
        <v>1796.297878180279</v>
      </c>
      <c r="J58">
        <v>1796.297878180854</v>
      </c>
      <c r="K58">
        <v>15.468608929076879</v>
      </c>
      <c r="L58">
        <v>1028.981222725648</v>
      </c>
      <c r="M58">
        <v>1028.9812227256471</v>
      </c>
      <c r="N58">
        <v>1130.119048700654</v>
      </c>
      <c r="O58">
        <v>1796.297878180854</v>
      </c>
      <c r="P58">
        <v>3675.6800840130641</v>
      </c>
      <c r="Q58">
        <v>15.46860892907687</v>
      </c>
      <c r="R58">
        <v>17.351211799489271</v>
      </c>
      <c r="S58" t="b">
        <v>1</v>
      </c>
      <c r="T58" t="b">
        <v>0</v>
      </c>
      <c r="U58" t="b">
        <v>1</v>
      </c>
      <c r="V58" t="b">
        <v>0</v>
      </c>
    </row>
    <row r="59" spans="1:22" x14ac:dyDescent="0.3">
      <c r="A59" s="1" t="s">
        <v>78</v>
      </c>
      <c r="B59">
        <v>58.768207141293033</v>
      </c>
      <c r="C59">
        <v>90.968591010469908</v>
      </c>
      <c r="D59">
        <v>130.25069548980809</v>
      </c>
      <c r="E59">
        <v>25.156549105494339</v>
      </c>
      <c r="F59">
        <v>30.916846816499451</v>
      </c>
      <c r="G59">
        <v>54.323845472002319</v>
      </c>
      <c r="H59">
        <v>63.601048544225087</v>
      </c>
      <c r="I59">
        <v>1816.728178065945</v>
      </c>
      <c r="J59">
        <v>1816.728178065945</v>
      </c>
      <c r="K59">
        <v>7.7160586668395084</v>
      </c>
      <c r="L59">
        <v>62.306784814117137</v>
      </c>
      <c r="M59">
        <v>62.306784814117123</v>
      </c>
      <c r="N59">
        <v>62.306784814117123</v>
      </c>
      <c r="O59">
        <v>1816.72817806595</v>
      </c>
      <c r="P59">
        <v>1816.72817806595</v>
      </c>
      <c r="Q59">
        <v>7.716058666839511</v>
      </c>
      <c r="R59">
        <v>7.716058666839511</v>
      </c>
      <c r="S59" t="b">
        <v>1</v>
      </c>
      <c r="T59" t="b">
        <v>0</v>
      </c>
      <c r="U59" t="b">
        <v>1</v>
      </c>
      <c r="V59" t="b">
        <v>0</v>
      </c>
    </row>
    <row r="60" spans="1:22" x14ac:dyDescent="0.3">
      <c r="A60" s="1" t="s">
        <v>79</v>
      </c>
      <c r="B60">
        <v>10.39356347728684</v>
      </c>
      <c r="C60">
        <v>25.58108893757959</v>
      </c>
      <c r="D60">
        <v>37.520411639117711</v>
      </c>
      <c r="E60">
        <v>17.12734833463027</v>
      </c>
      <c r="F60">
        <v>24.00447638710925</v>
      </c>
      <c r="G60">
        <v>199.94034478732581</v>
      </c>
      <c r="H60">
        <v>652.32764076890544</v>
      </c>
      <c r="I60">
        <v>1289.180929707381</v>
      </c>
      <c r="J60">
        <v>1289.1809297073789</v>
      </c>
      <c r="K60">
        <v>1.076869118573889</v>
      </c>
      <c r="L60">
        <v>84.586308098737732</v>
      </c>
      <c r="M60">
        <v>84.586308098737675</v>
      </c>
      <c r="N60">
        <v>922.35363533840541</v>
      </c>
      <c r="O60">
        <v>1289.1809297073789</v>
      </c>
      <c r="P60">
        <v>4592.3496889537673</v>
      </c>
      <c r="Q60">
        <v>1.0768691185738899</v>
      </c>
      <c r="R60">
        <v>2.3724384285231168</v>
      </c>
      <c r="S60" t="b">
        <v>1</v>
      </c>
      <c r="T60" t="b">
        <v>1</v>
      </c>
      <c r="U60" t="b">
        <v>1</v>
      </c>
      <c r="V60" t="b">
        <v>1</v>
      </c>
    </row>
    <row r="61" spans="1:22" x14ac:dyDescent="0.3">
      <c r="A61" s="1" t="s">
        <v>80</v>
      </c>
      <c r="B61">
        <v>467.53288356197618</v>
      </c>
      <c r="C61">
        <v>763.01606622358452</v>
      </c>
      <c r="D61">
        <v>1196.4127527778489</v>
      </c>
      <c r="E61">
        <v>86.015290793197735</v>
      </c>
      <c r="F61">
        <v>104.5499428871908</v>
      </c>
      <c r="G61">
        <v>154.96492939568691</v>
      </c>
      <c r="H61">
        <v>280.59605376366829</v>
      </c>
      <c r="I61">
        <v>2056.4602934239242</v>
      </c>
      <c r="J61">
        <v>2056.4602934239242</v>
      </c>
      <c r="K61">
        <v>20.092946619043609</v>
      </c>
      <c r="L61">
        <v>536.86965363281001</v>
      </c>
      <c r="M61">
        <v>536.8696536328107</v>
      </c>
      <c r="N61">
        <v>536.8696536328107</v>
      </c>
      <c r="O61">
        <v>2056.4602934239251</v>
      </c>
      <c r="P61">
        <v>2056.4602934239251</v>
      </c>
      <c r="Q61">
        <v>20.092946619043609</v>
      </c>
      <c r="R61">
        <v>20.092946619043609</v>
      </c>
      <c r="S61" t="b">
        <v>1</v>
      </c>
      <c r="T61" t="b">
        <v>1</v>
      </c>
      <c r="U61" t="b">
        <v>1</v>
      </c>
      <c r="V61" t="b">
        <v>1</v>
      </c>
    </row>
    <row r="62" spans="1:22" x14ac:dyDescent="0.3">
      <c r="A62" s="1" t="s">
        <v>81</v>
      </c>
      <c r="B62">
        <v>50.423657557993828</v>
      </c>
      <c r="C62">
        <v>82.755881618494925</v>
      </c>
      <c r="D62">
        <v>137.09687701680059</v>
      </c>
      <c r="E62">
        <v>20.91196400328667</v>
      </c>
      <c r="F62">
        <v>27.862263601546879</v>
      </c>
      <c r="G62">
        <v>34.914504213538521</v>
      </c>
      <c r="H62">
        <v>650.40011943081868</v>
      </c>
      <c r="I62">
        <v>1093.2376217517331</v>
      </c>
      <c r="J62">
        <v>1093.237621751734</v>
      </c>
      <c r="K62">
        <v>3.059760695144913</v>
      </c>
      <c r="L62">
        <v>129.414892230541</v>
      </c>
      <c r="M62">
        <v>129.41489223054089</v>
      </c>
      <c r="N62">
        <v>129.41489223054089</v>
      </c>
      <c r="O62">
        <v>1093.237621751734</v>
      </c>
      <c r="P62">
        <v>1093.237621751734</v>
      </c>
      <c r="Q62">
        <v>3.0597606951449121</v>
      </c>
      <c r="R62">
        <v>3.0597606951449121</v>
      </c>
      <c r="S62" t="b">
        <v>1</v>
      </c>
      <c r="T62" t="b">
        <v>1</v>
      </c>
      <c r="U62" t="b">
        <v>1</v>
      </c>
      <c r="V62" t="b">
        <v>1</v>
      </c>
    </row>
    <row r="63" spans="1:22" x14ac:dyDescent="0.3">
      <c r="A63" s="1" t="s">
        <v>82</v>
      </c>
      <c r="B63">
        <v>346.98408358255961</v>
      </c>
      <c r="C63">
        <v>414.64236868863861</v>
      </c>
      <c r="D63">
        <v>535.35849400000006</v>
      </c>
      <c r="E63">
        <v>464.5021711713099</v>
      </c>
      <c r="F63">
        <v>609.44830671252771</v>
      </c>
      <c r="G63">
        <v>609.44830671252782</v>
      </c>
      <c r="H63">
        <v>1254.736041122685</v>
      </c>
      <c r="I63">
        <v>766.63552612918795</v>
      </c>
      <c r="J63">
        <v>766.63552612918784</v>
      </c>
      <c r="K63">
        <v>31.13765268753307</v>
      </c>
      <c r="L63">
        <v>360.77725384896581</v>
      </c>
      <c r="M63">
        <v>360.7772538489661</v>
      </c>
      <c r="N63">
        <v>360.7772538489661</v>
      </c>
      <c r="O63">
        <v>766.63552612918795</v>
      </c>
      <c r="P63">
        <v>766.63552612918795</v>
      </c>
      <c r="Q63">
        <v>31.137652687533059</v>
      </c>
      <c r="R63">
        <v>31.137652687533059</v>
      </c>
      <c r="S63" t="b">
        <v>1</v>
      </c>
      <c r="T63" t="b">
        <v>1</v>
      </c>
      <c r="U63" t="b">
        <v>1</v>
      </c>
      <c r="V63" t="b">
        <v>1</v>
      </c>
    </row>
    <row r="64" spans="1:22" x14ac:dyDescent="0.3">
      <c r="A64" s="1" t="s">
        <v>83</v>
      </c>
      <c r="B64">
        <v>135.69235849498909</v>
      </c>
      <c r="C64">
        <v>186.54600974882479</v>
      </c>
      <c r="D64">
        <v>324.71300000000008</v>
      </c>
      <c r="E64">
        <v>20.631396688789181</v>
      </c>
      <c r="F64">
        <v>25.320234239132951</v>
      </c>
      <c r="G64">
        <v>42.250229938332737</v>
      </c>
      <c r="H64">
        <v>3118.488308390466</v>
      </c>
      <c r="I64">
        <v>3054.3709976016498</v>
      </c>
      <c r="J64">
        <v>3054.3709976016462</v>
      </c>
      <c r="K64">
        <v>5.5795542040015347</v>
      </c>
      <c r="L64">
        <v>36.391540945822243</v>
      </c>
      <c r="M64">
        <v>36.39154094582225</v>
      </c>
      <c r="N64">
        <v>40.924925355105238</v>
      </c>
      <c r="O64">
        <v>3054.3709976016489</v>
      </c>
      <c r="P64">
        <v>3260.064458053967</v>
      </c>
      <c r="Q64">
        <v>5.57955420400154</v>
      </c>
      <c r="R64">
        <v>5.9429836493347121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3">
      <c r="A65" s="1" t="s">
        <v>84</v>
      </c>
      <c r="B65">
        <v>164.32896635742429</v>
      </c>
      <c r="C65">
        <v>239.53902741990311</v>
      </c>
      <c r="D65">
        <v>416.26637602202572</v>
      </c>
      <c r="E65">
        <v>1032.628308589982</v>
      </c>
      <c r="F65">
        <v>2603.0280297006389</v>
      </c>
      <c r="G65">
        <v>385613.29155231628</v>
      </c>
      <c r="H65">
        <v>2230.7604012264578</v>
      </c>
      <c r="I65">
        <v>3155.512520314508</v>
      </c>
      <c r="J65">
        <v>3155.5125203145089</v>
      </c>
      <c r="K65">
        <v>266.69292684516608</v>
      </c>
      <c r="L65">
        <v>2720.643033126958</v>
      </c>
      <c r="M65">
        <v>2720.643033126963</v>
      </c>
      <c r="N65">
        <v>-453.81110190549879</v>
      </c>
      <c r="O65">
        <v>3155.5125203145099</v>
      </c>
      <c r="P65">
        <v>8705.8242610690322</v>
      </c>
      <c r="Q65">
        <v>266.69292684516608</v>
      </c>
      <c r="R65">
        <v>-88.192435842750868</v>
      </c>
      <c r="S65" t="b">
        <v>1</v>
      </c>
      <c r="T65" t="b">
        <v>1</v>
      </c>
      <c r="U65" t="b">
        <v>1</v>
      </c>
      <c r="V65" t="b">
        <v>1</v>
      </c>
    </row>
    <row r="66" spans="1:22" x14ac:dyDescent="0.3">
      <c r="A66" s="1" t="s">
        <v>85</v>
      </c>
      <c r="B66">
        <v>1295.685307459217</v>
      </c>
      <c r="C66">
        <v>1910.532202172086</v>
      </c>
      <c r="D66">
        <v>2978.8466773665568</v>
      </c>
      <c r="E66">
        <v>732.22824758833326</v>
      </c>
      <c r="F66">
        <v>1006.704052211269</v>
      </c>
      <c r="G66">
        <v>1653.0076443645401</v>
      </c>
      <c r="H66">
        <v>1200.1094205942161</v>
      </c>
      <c r="I66">
        <v>2156.4706355551962</v>
      </c>
      <c r="J66">
        <v>2156.4706355551989</v>
      </c>
      <c r="K66">
        <v>55.104922957470308</v>
      </c>
      <c r="L66">
        <v>583.48707726316479</v>
      </c>
      <c r="M66">
        <v>583.48707726316502</v>
      </c>
      <c r="N66">
        <v>713.88033742921255</v>
      </c>
      <c r="O66">
        <v>2156.4706355551989</v>
      </c>
      <c r="P66">
        <v>2156.4706355551989</v>
      </c>
      <c r="Q66">
        <v>55.104922957470308</v>
      </c>
      <c r="R66">
        <v>75.556820157512789</v>
      </c>
      <c r="S66" t="b">
        <v>1</v>
      </c>
      <c r="T66" t="b">
        <v>1</v>
      </c>
      <c r="U66" t="b">
        <v>1</v>
      </c>
      <c r="V66" t="b">
        <v>1</v>
      </c>
    </row>
    <row r="67" spans="1:22" x14ac:dyDescent="0.3">
      <c r="A67" s="1" t="s">
        <v>86</v>
      </c>
      <c r="B67">
        <v>608.69738639166803</v>
      </c>
      <c r="C67">
        <v>931.44217453304918</v>
      </c>
      <c r="D67">
        <v>1478.8080050247149</v>
      </c>
      <c r="E67">
        <v>484.41324998213202</v>
      </c>
      <c r="F67">
        <v>704.37507576191365</v>
      </c>
      <c r="G67">
        <v>1457.2274567331019</v>
      </c>
      <c r="H67">
        <v>618.23001965153458</v>
      </c>
      <c r="I67">
        <v>1578.6951864985961</v>
      </c>
      <c r="J67">
        <v>1578.695186498594</v>
      </c>
      <c r="K67">
        <v>26.727381564304562</v>
      </c>
      <c r="L67">
        <v>286.90586632764968</v>
      </c>
      <c r="M67">
        <v>286.90586632764962</v>
      </c>
      <c r="N67">
        <v>286.90586632764962</v>
      </c>
      <c r="O67">
        <v>1578.6951864985949</v>
      </c>
      <c r="P67">
        <v>1578.6951864985949</v>
      </c>
      <c r="Q67">
        <v>26.727381564304562</v>
      </c>
      <c r="R67">
        <v>26.727381564304562</v>
      </c>
      <c r="S67" t="b">
        <v>1</v>
      </c>
      <c r="T67" t="b">
        <v>1</v>
      </c>
      <c r="U67" t="b">
        <v>1</v>
      </c>
      <c r="V67" t="b">
        <v>1</v>
      </c>
    </row>
    <row r="68" spans="1:22" x14ac:dyDescent="0.3">
      <c r="A68" s="1" t="s">
        <v>87</v>
      </c>
      <c r="B68">
        <v>377.50448196294622</v>
      </c>
      <c r="C68">
        <v>600.19019446434095</v>
      </c>
      <c r="D68">
        <v>937.88574084107222</v>
      </c>
      <c r="E68">
        <v>351.57400302855882</v>
      </c>
      <c r="F68">
        <v>512.95053994926957</v>
      </c>
      <c r="G68">
        <v>1393.7457054042379</v>
      </c>
      <c r="H68">
        <v>503.1154194581726</v>
      </c>
      <c r="I68">
        <v>1088.033115687796</v>
      </c>
      <c r="J68">
        <v>1088.0331156877969</v>
      </c>
      <c r="K68">
        <v>19.098587711970168</v>
      </c>
      <c r="L68">
        <v>243.87428068656331</v>
      </c>
      <c r="M68">
        <v>243.87428068656351</v>
      </c>
      <c r="N68">
        <v>243.87428068656351</v>
      </c>
      <c r="O68">
        <v>1088.033115687796</v>
      </c>
      <c r="P68">
        <v>1088.033115687796</v>
      </c>
      <c r="Q68">
        <v>19.09858771197019</v>
      </c>
      <c r="R68">
        <v>19.09858771197019</v>
      </c>
      <c r="S68" t="b">
        <v>1</v>
      </c>
      <c r="T68" t="b">
        <v>1</v>
      </c>
      <c r="U68" t="b">
        <v>1</v>
      </c>
      <c r="V68" t="b">
        <v>1</v>
      </c>
    </row>
    <row r="69" spans="1:22" x14ac:dyDescent="0.3">
      <c r="A69" s="1" t="s">
        <v>88</v>
      </c>
      <c r="B69">
        <v>1394.2690363835179</v>
      </c>
      <c r="C69">
        <v>3036.3065070562002</v>
      </c>
      <c r="D69">
        <v>4770.475561536733</v>
      </c>
      <c r="E69">
        <v>2158.7582902347299</v>
      </c>
      <c r="F69">
        <v>3276.9049422650028</v>
      </c>
      <c r="G69">
        <v>11384.57426506823</v>
      </c>
      <c r="H69">
        <v>1094.115667162007</v>
      </c>
      <c r="I69">
        <v>1618.414250185996</v>
      </c>
      <c r="J69">
        <v>1618.4142501862841</v>
      </c>
      <c r="K69">
        <v>34.419824677683287</v>
      </c>
      <c r="L69">
        <v>1184.464723972869</v>
      </c>
      <c r="M69">
        <v>1184.464723973141</v>
      </c>
      <c r="N69">
        <v>1187.0135609857989</v>
      </c>
      <c r="O69">
        <v>1618.41425018563</v>
      </c>
      <c r="P69">
        <v>1621.850990444691</v>
      </c>
      <c r="Q69">
        <v>34.419824677683259</v>
      </c>
      <c r="R69">
        <v>34.456603228691478</v>
      </c>
      <c r="S69" t="b">
        <v>1</v>
      </c>
      <c r="T69" t="b">
        <v>0</v>
      </c>
      <c r="U69" t="b">
        <v>1</v>
      </c>
      <c r="V69" t="b">
        <v>0</v>
      </c>
    </row>
    <row r="70" spans="1:22" x14ac:dyDescent="0.3">
      <c r="A70" s="1" t="s">
        <v>89</v>
      </c>
      <c r="B70">
        <v>244.211769042622</v>
      </c>
      <c r="C70">
        <v>305.20494639545058</v>
      </c>
      <c r="D70">
        <v>443.18463842106138</v>
      </c>
      <c r="E70">
        <v>486.60143037867999</v>
      </c>
      <c r="F70">
        <v>755.75298287789496</v>
      </c>
      <c r="G70">
        <v>7108.6941220680601</v>
      </c>
      <c r="H70">
        <v>1079.9096174441311</v>
      </c>
      <c r="I70">
        <v>1032.0503088717139</v>
      </c>
      <c r="J70">
        <v>1032.0503088717139</v>
      </c>
      <c r="K70">
        <v>72.95678787763373</v>
      </c>
      <c r="L70">
        <v>862.96432057922516</v>
      </c>
      <c r="M70">
        <v>862.96432057922573</v>
      </c>
      <c r="N70">
        <v>2012.913909299125</v>
      </c>
      <c r="O70">
        <v>1032.050308871713</v>
      </c>
      <c r="P70">
        <v>2212.2980117294419</v>
      </c>
      <c r="Q70">
        <v>72.956787877633701</v>
      </c>
      <c r="R70">
        <v>108.4096243863906</v>
      </c>
      <c r="S70" t="b">
        <v>1</v>
      </c>
      <c r="T70" t="b">
        <v>1</v>
      </c>
      <c r="U70" t="b">
        <v>1</v>
      </c>
      <c r="V70" t="b">
        <v>1</v>
      </c>
    </row>
    <row r="71" spans="1:22" x14ac:dyDescent="0.3">
      <c r="A71" s="1" t="s">
        <v>90</v>
      </c>
      <c r="B71">
        <v>1667.2498413857611</v>
      </c>
      <c r="C71">
        <v>3100.6007373697089</v>
      </c>
      <c r="D71">
        <v>5057.7357038339778</v>
      </c>
      <c r="E71">
        <v>10947.943430419649</v>
      </c>
      <c r="F71">
        <v>22389.530753468331</v>
      </c>
      <c r="G71">
        <v>104599.4888181703</v>
      </c>
      <c r="H71">
        <v>6711.6474720820579</v>
      </c>
      <c r="I71">
        <v>13028.435782656779</v>
      </c>
      <c r="J71">
        <v>13028.435782658629</v>
      </c>
      <c r="K71">
        <v>334.9996235683829</v>
      </c>
      <c r="L71">
        <v>7390.9700051738037</v>
      </c>
      <c r="M71">
        <v>7390.9700051736954</v>
      </c>
      <c r="N71">
        <v>9426.8960333628638</v>
      </c>
      <c r="O71">
        <v>13028.43578265862</v>
      </c>
      <c r="P71">
        <v>-159053133.9019855</v>
      </c>
      <c r="Q71">
        <v>334.99962356838398</v>
      </c>
      <c r="R71">
        <v>2066.172011096995</v>
      </c>
      <c r="S71" t="b">
        <v>1</v>
      </c>
      <c r="T71" t="b">
        <v>1</v>
      </c>
      <c r="U71" t="b">
        <v>1</v>
      </c>
      <c r="V71" t="b">
        <v>1</v>
      </c>
    </row>
    <row r="72" spans="1:22" x14ac:dyDescent="0.3">
      <c r="A72" s="1" t="s">
        <v>91</v>
      </c>
      <c r="B72">
        <v>3131.946942316943</v>
      </c>
      <c r="C72">
        <v>3959.6103699636701</v>
      </c>
      <c r="D72">
        <v>5916.6570517195214</v>
      </c>
      <c r="E72">
        <v>9687.4525760979759</v>
      </c>
      <c r="F72">
        <v>16713.858598759682</v>
      </c>
      <c r="G72">
        <v>32755.047392810739</v>
      </c>
      <c r="H72">
        <v>4560.8042069523544</v>
      </c>
      <c r="I72">
        <v>5337.21056883042</v>
      </c>
      <c r="J72">
        <v>5337.2105688302536</v>
      </c>
      <c r="K72">
        <v>374.63242185266421</v>
      </c>
      <c r="L72">
        <v>4460.9014582898017</v>
      </c>
      <c r="M72">
        <v>4460.9014582899154</v>
      </c>
      <c r="N72">
        <v>8426.023940178522</v>
      </c>
      <c r="O72">
        <v>5337.2105688302536</v>
      </c>
      <c r="P72">
        <v>5357.7525861768854</v>
      </c>
      <c r="Q72">
        <v>374.63242185266392</v>
      </c>
      <c r="R72">
        <v>453.49519370586302</v>
      </c>
      <c r="S72" t="b">
        <v>1</v>
      </c>
      <c r="T72" t="b">
        <v>0</v>
      </c>
      <c r="U72" t="b">
        <v>1</v>
      </c>
      <c r="V72" t="b">
        <v>0</v>
      </c>
    </row>
    <row r="73" spans="1:22" x14ac:dyDescent="0.3">
      <c r="A73" s="1" t="s">
        <v>92</v>
      </c>
      <c r="B73">
        <v>1167.2181979652009</v>
      </c>
      <c r="C73">
        <v>1314.140490115411</v>
      </c>
      <c r="D73">
        <v>1937.7259155732011</v>
      </c>
      <c r="E73">
        <v>2389.268743574678</v>
      </c>
      <c r="F73">
        <v>4301.7625467776479</v>
      </c>
      <c r="G73">
        <v>4741.55188919794</v>
      </c>
      <c r="H73">
        <v>2294.9416966555291</v>
      </c>
      <c r="I73">
        <v>5672.6677329086169</v>
      </c>
      <c r="J73">
        <v>5672.6677329085996</v>
      </c>
      <c r="K73">
        <v>368.83106970938479</v>
      </c>
      <c r="L73">
        <v>1783.178855585345</v>
      </c>
      <c r="M73">
        <v>1783.178855585347</v>
      </c>
      <c r="N73">
        <v>1783.178855585347</v>
      </c>
      <c r="O73">
        <v>5672.6677329086042</v>
      </c>
      <c r="P73">
        <v>5672.6677329086042</v>
      </c>
      <c r="Q73">
        <v>368.83106970938519</v>
      </c>
      <c r="R73">
        <v>368.83106970938519</v>
      </c>
      <c r="S73" t="b">
        <v>1</v>
      </c>
      <c r="T73" t="b">
        <v>1</v>
      </c>
      <c r="U73" t="b">
        <v>1</v>
      </c>
      <c r="V73" t="b">
        <v>1</v>
      </c>
    </row>
    <row r="74" spans="1:22" x14ac:dyDescent="0.3">
      <c r="A74" s="1" t="s">
        <v>93</v>
      </c>
      <c r="B74">
        <v>528.12493401165693</v>
      </c>
      <c r="C74">
        <v>915.15563264087132</v>
      </c>
      <c r="D74">
        <v>1392.128476647126</v>
      </c>
      <c r="E74">
        <v>251.1797461723732</v>
      </c>
      <c r="F74">
        <v>305.41615451955141</v>
      </c>
      <c r="G74">
        <v>401.84900733565291</v>
      </c>
      <c r="H74">
        <v>518.61485966970599</v>
      </c>
      <c r="I74">
        <v>5949.3208487914972</v>
      </c>
      <c r="J74">
        <v>5949.3208487915217</v>
      </c>
      <c r="K74">
        <v>98.795702783867725</v>
      </c>
      <c r="L74">
        <v>1781.427109588594</v>
      </c>
      <c r="M74">
        <v>1781.4271095885999</v>
      </c>
      <c r="N74">
        <v>1781.4271095885999</v>
      </c>
      <c r="O74">
        <v>5949.3208487915244</v>
      </c>
      <c r="P74">
        <v>5949.3208487915244</v>
      </c>
      <c r="Q74">
        <v>98.795702783867654</v>
      </c>
      <c r="R74">
        <v>98.795702783867654</v>
      </c>
      <c r="S74" t="b">
        <v>1</v>
      </c>
      <c r="T74" t="b">
        <v>1</v>
      </c>
      <c r="U74" t="b">
        <v>1</v>
      </c>
      <c r="V74" t="b">
        <v>1</v>
      </c>
    </row>
    <row r="75" spans="1:22" x14ac:dyDescent="0.3">
      <c r="A75" s="1" t="s">
        <v>94</v>
      </c>
      <c r="B75">
        <v>97.595690131726343</v>
      </c>
      <c r="C75">
        <v>100.63152176082789</v>
      </c>
      <c r="D75">
        <v>140.52577358408871</v>
      </c>
      <c r="E75">
        <v>315.20772167535063</v>
      </c>
      <c r="F75">
        <v>484.05438154671941</v>
      </c>
      <c r="G75">
        <v>4556.9374748830369</v>
      </c>
      <c r="H75">
        <v>311.71626326399308</v>
      </c>
      <c r="I75">
        <v>15765.416113872039</v>
      </c>
      <c r="J75">
        <v>15765.416113872039</v>
      </c>
      <c r="K75">
        <v>16.8071628139359</v>
      </c>
      <c r="L75">
        <v>946.88486077604455</v>
      </c>
      <c r="M75">
        <v>946.88486077604693</v>
      </c>
      <c r="N75">
        <v>946.88486077604693</v>
      </c>
      <c r="O75">
        <v>15765.41611387205</v>
      </c>
      <c r="P75">
        <v>15765.41611387205</v>
      </c>
      <c r="Q75">
        <v>16.807162813935911</v>
      </c>
      <c r="R75">
        <v>16.807162813935911</v>
      </c>
      <c r="S75" t="b">
        <v>1</v>
      </c>
      <c r="T75" t="b">
        <v>1</v>
      </c>
      <c r="U75" t="b">
        <v>1</v>
      </c>
      <c r="V75" t="b">
        <v>1</v>
      </c>
    </row>
    <row r="76" spans="1:22" x14ac:dyDescent="0.3">
      <c r="A76" s="1" t="s">
        <v>95</v>
      </c>
      <c r="B76">
        <v>60.980236054849513</v>
      </c>
      <c r="C76">
        <v>113.4145962702992</v>
      </c>
      <c r="D76">
        <v>155.15664987951871</v>
      </c>
      <c r="E76">
        <v>196.27910392993431</v>
      </c>
      <c r="F76">
        <v>280.85321330631842</v>
      </c>
      <c r="G76">
        <v>3657.0271148699121</v>
      </c>
      <c r="H76">
        <v>892.80963425098378</v>
      </c>
      <c r="I76">
        <v>1240.628481950806</v>
      </c>
      <c r="J76">
        <v>1240.628481950806</v>
      </c>
      <c r="K76">
        <v>9.022582491464286</v>
      </c>
      <c r="L76">
        <v>277.89543078814501</v>
      </c>
      <c r="M76">
        <v>277.89543078814552</v>
      </c>
      <c r="N76">
        <v>557.13913528644821</v>
      </c>
      <c r="O76">
        <v>1240.628481950808</v>
      </c>
      <c r="P76">
        <v>1548.6092162972541</v>
      </c>
      <c r="Q76">
        <v>9.0225824914642789</v>
      </c>
      <c r="R76">
        <v>11.25417085960833</v>
      </c>
      <c r="S76" t="b">
        <v>1</v>
      </c>
      <c r="T76" t="b">
        <v>0</v>
      </c>
      <c r="U76" t="b">
        <v>1</v>
      </c>
      <c r="V76" t="b">
        <v>0</v>
      </c>
    </row>
    <row r="77" spans="1:22" x14ac:dyDescent="0.3">
      <c r="A77" s="1" t="s">
        <v>96</v>
      </c>
      <c r="B77">
        <v>12.09254454138803</v>
      </c>
      <c r="C77">
        <v>24.34434412350473</v>
      </c>
      <c r="D77">
        <v>37.005834722650071</v>
      </c>
      <c r="E77">
        <v>260.61314294790151</v>
      </c>
      <c r="F77">
        <v>747.64048559884861</v>
      </c>
      <c r="G77">
        <v>9319.6197531720936</v>
      </c>
      <c r="H77">
        <v>2813.3404960405269</v>
      </c>
      <c r="I77">
        <v>3890.1573529433158</v>
      </c>
      <c r="J77">
        <v>3890.1573529433081</v>
      </c>
      <c r="K77">
        <v>9.3194681206656504</v>
      </c>
      <c r="L77">
        <v>121.355644251299</v>
      </c>
      <c r="M77">
        <v>121.3556442512989</v>
      </c>
      <c r="N77">
        <v>450.15117933299399</v>
      </c>
      <c r="O77">
        <v>3890.1573529433099</v>
      </c>
      <c r="P77">
        <v>11482.87001059573</v>
      </c>
      <c r="Q77">
        <v>9.3194681206656522</v>
      </c>
      <c r="R77">
        <v>11.453868457913879</v>
      </c>
      <c r="S77" t="b">
        <v>1</v>
      </c>
      <c r="T77" t="b">
        <v>0</v>
      </c>
      <c r="U77" t="b">
        <v>1</v>
      </c>
      <c r="V77" t="b">
        <v>0</v>
      </c>
    </row>
    <row r="78" spans="1:22" x14ac:dyDescent="0.3">
      <c r="A78" s="1" t="s">
        <v>97</v>
      </c>
      <c r="B78">
        <v>4.1438917209180488</v>
      </c>
      <c r="C78">
        <v>4.3060920651132824</v>
      </c>
      <c r="D78">
        <v>7.624441646729549</v>
      </c>
      <c r="E78">
        <v>22113.56739660287</v>
      </c>
      <c r="F78">
        <v>141274.07463659879</v>
      </c>
      <c r="G78">
        <v>8307849842.4102945</v>
      </c>
      <c r="H78">
        <v>130.83988846360239</v>
      </c>
      <c r="I78">
        <v>3306.422732781482</v>
      </c>
      <c r="J78">
        <v>3306.4227327783069</v>
      </c>
      <c r="K78">
        <v>21.285722357184099</v>
      </c>
      <c r="L78">
        <v>6996.3192512469104</v>
      </c>
      <c r="M78">
        <v>6996.3192512148944</v>
      </c>
      <c r="N78">
        <v>6996.3192512148944</v>
      </c>
      <c r="O78">
        <v>3306.4227327769122</v>
      </c>
      <c r="P78">
        <v>3306.4227327769122</v>
      </c>
      <c r="Q78">
        <v>21.28572235718417</v>
      </c>
      <c r="R78">
        <v>21.28572235718417</v>
      </c>
      <c r="S78" t="b">
        <v>1</v>
      </c>
      <c r="T78" t="b">
        <v>0</v>
      </c>
      <c r="U78" t="b">
        <v>1</v>
      </c>
      <c r="V78" t="b">
        <v>0</v>
      </c>
    </row>
    <row r="79" spans="1:22" x14ac:dyDescent="0.3">
      <c r="A79" s="1" t="s">
        <v>98</v>
      </c>
      <c r="B79">
        <v>1276.130214370753</v>
      </c>
      <c r="C79">
        <v>3134.3100345729508</v>
      </c>
      <c r="D79">
        <v>4112.7964098726488</v>
      </c>
      <c r="E79">
        <v>2591.3192871321899</v>
      </c>
      <c r="F79">
        <v>3353.6255504237279</v>
      </c>
      <c r="G79">
        <v>45755.260422209562</v>
      </c>
      <c r="H79">
        <v>1778.7168701638061</v>
      </c>
      <c r="I79">
        <v>6446.4616893710636</v>
      </c>
      <c r="J79">
        <v>6446.4616893715784</v>
      </c>
      <c r="K79">
        <v>1069.111928004653</v>
      </c>
      <c r="L79">
        <v>7238.3019742229708</v>
      </c>
      <c r="M79">
        <v>7238.3019742234474</v>
      </c>
      <c r="N79">
        <v>7238.3019742234474</v>
      </c>
      <c r="O79">
        <v>6446.4616893728553</v>
      </c>
      <c r="P79">
        <v>6446.4616893728553</v>
      </c>
      <c r="Q79">
        <v>1069.1119280046539</v>
      </c>
      <c r="R79">
        <v>1069.1119280046539</v>
      </c>
      <c r="S79" t="b">
        <v>1</v>
      </c>
      <c r="T79" t="b">
        <v>1</v>
      </c>
      <c r="U79" t="b">
        <v>1</v>
      </c>
      <c r="V79" t="b">
        <v>1</v>
      </c>
    </row>
    <row r="80" spans="1:22" x14ac:dyDescent="0.3">
      <c r="A80" s="1" t="s">
        <v>99</v>
      </c>
      <c r="B80">
        <v>1226.578652064678</v>
      </c>
      <c r="C80">
        <v>1798.51817173874</v>
      </c>
      <c r="D80">
        <v>2795.9131037809598</v>
      </c>
      <c r="E80">
        <v>1342.66742179317</v>
      </c>
      <c r="F80">
        <v>2012.496971489159</v>
      </c>
      <c r="G80">
        <v>14225.74548026971</v>
      </c>
      <c r="H80">
        <v>1392.2109536310591</v>
      </c>
      <c r="I80">
        <v>4290.3134220193506</v>
      </c>
      <c r="J80">
        <v>4290.313422011508</v>
      </c>
      <c r="K80">
        <v>165.54822866658941</v>
      </c>
      <c r="L80">
        <v>4378.9509049309336</v>
      </c>
      <c r="M80">
        <v>4378.9509049306043</v>
      </c>
      <c r="N80">
        <v>4378.9509049306043</v>
      </c>
      <c r="O80">
        <v>4290.3134220114371</v>
      </c>
      <c r="P80">
        <v>4290.3134220114371</v>
      </c>
      <c r="Q80">
        <v>165.54822866658961</v>
      </c>
      <c r="R80">
        <v>165.54822866658961</v>
      </c>
      <c r="S80" t="b">
        <v>1</v>
      </c>
      <c r="T80" t="b">
        <v>0</v>
      </c>
      <c r="U80" t="b">
        <v>1</v>
      </c>
      <c r="V80" t="b">
        <v>0</v>
      </c>
    </row>
    <row r="81" spans="1:22" x14ac:dyDescent="0.3">
      <c r="A81" s="1" t="s">
        <v>100</v>
      </c>
      <c r="B81">
        <v>44.93902988369355</v>
      </c>
      <c r="C81">
        <v>45.894176933805532</v>
      </c>
      <c r="D81">
        <v>83.174188723363287</v>
      </c>
      <c r="E81">
        <v>65.684890931254401</v>
      </c>
      <c r="F81">
        <v>125.1948230107907</v>
      </c>
      <c r="G81">
        <v>859.12870027402028</v>
      </c>
      <c r="H81">
        <v>264.92034948823442</v>
      </c>
      <c r="I81">
        <v>800.12329039067231</v>
      </c>
      <c r="J81">
        <v>800.12329039089866</v>
      </c>
      <c r="K81">
        <v>0.61529889028169249</v>
      </c>
      <c r="L81">
        <v>100.5253145743813</v>
      </c>
      <c r="M81">
        <v>100.525314574348</v>
      </c>
      <c r="N81">
        <v>102.000601586004</v>
      </c>
      <c r="O81">
        <v>800.12329039120334</v>
      </c>
      <c r="P81">
        <v>801.57308658830789</v>
      </c>
      <c r="Q81">
        <v>0.6152988902816936</v>
      </c>
      <c r="R81">
        <v>0.63956915187163199</v>
      </c>
      <c r="S81" t="b">
        <v>1</v>
      </c>
      <c r="T81" t="b">
        <v>0</v>
      </c>
      <c r="U81" t="b">
        <v>1</v>
      </c>
      <c r="V81" t="b">
        <v>0</v>
      </c>
    </row>
    <row r="82" spans="1:22" x14ac:dyDescent="0.3">
      <c r="A82" s="1" t="s">
        <v>101</v>
      </c>
      <c r="B82">
        <v>890.99407563118427</v>
      </c>
      <c r="C82">
        <v>2983.4856319593059</v>
      </c>
      <c r="D82">
        <v>4904.1926046913204</v>
      </c>
      <c r="E82">
        <v>2781.4985668803429</v>
      </c>
      <c r="F82">
        <v>4534.1410114098417</v>
      </c>
      <c r="G82">
        <v>18988.694928872581</v>
      </c>
      <c r="H82">
        <v>1040.151890377155</v>
      </c>
      <c r="I82">
        <v>1605.8910844235011</v>
      </c>
      <c r="J82">
        <v>1605.8910844235611</v>
      </c>
      <c r="K82">
        <v>33.223398083067949</v>
      </c>
      <c r="L82">
        <v>1054.0804185908189</v>
      </c>
      <c r="M82">
        <v>1054.080418590793</v>
      </c>
      <c r="N82">
        <v>1056.031856031871</v>
      </c>
      <c r="O82">
        <v>1605.891084422555</v>
      </c>
      <c r="P82">
        <v>1608.1064137748019</v>
      </c>
      <c r="Q82">
        <v>33.223398083067913</v>
      </c>
      <c r="R82">
        <v>33.255617515896063</v>
      </c>
      <c r="S82" t="b">
        <v>1</v>
      </c>
      <c r="T82" t="b">
        <v>0</v>
      </c>
      <c r="U82" t="b">
        <v>1</v>
      </c>
      <c r="V82" t="b">
        <v>0</v>
      </c>
    </row>
    <row r="83" spans="1:22" x14ac:dyDescent="0.3">
      <c r="A83" s="1" t="s">
        <v>102</v>
      </c>
      <c r="B83">
        <v>213.77476687004341</v>
      </c>
      <c r="C83">
        <v>317.10883288925442</v>
      </c>
      <c r="D83">
        <v>387.41460372580917</v>
      </c>
      <c r="E83">
        <v>11.23748571605714</v>
      </c>
      <c r="F83">
        <v>11.439963336561091</v>
      </c>
      <c r="G83">
        <v>12.193732439210359</v>
      </c>
      <c r="H83">
        <v>123.09714811836599</v>
      </c>
      <c r="I83">
        <v>200.023904769409</v>
      </c>
      <c r="J83">
        <v>200.02390476940869</v>
      </c>
      <c r="K83">
        <v>9.3170097928245035</v>
      </c>
      <c r="L83">
        <v>63.603729642307442</v>
      </c>
      <c r="M83">
        <v>63.603729642307499</v>
      </c>
      <c r="N83">
        <v>63.603729642307499</v>
      </c>
      <c r="O83">
        <v>200.02390476940869</v>
      </c>
      <c r="P83">
        <v>200.02390476940869</v>
      </c>
      <c r="Q83">
        <v>9.3170097928245035</v>
      </c>
      <c r="R83">
        <v>9.3170097928245035</v>
      </c>
      <c r="S83" t="b">
        <v>1</v>
      </c>
      <c r="T83" t="b">
        <v>1</v>
      </c>
      <c r="U83" t="b">
        <v>1</v>
      </c>
      <c r="V83" t="b">
        <v>1</v>
      </c>
    </row>
    <row r="84" spans="1:22" x14ac:dyDescent="0.3">
      <c r="A84" s="1" t="s">
        <v>103</v>
      </c>
      <c r="B84">
        <v>677.08158200341813</v>
      </c>
      <c r="C84">
        <v>962.56970595362827</v>
      </c>
      <c r="D84">
        <v>1395.3591935767629</v>
      </c>
      <c r="E84">
        <v>3010.5255553553088</v>
      </c>
      <c r="F84">
        <v>5088.6967088960519</v>
      </c>
      <c r="G84">
        <v>12512.37872709705</v>
      </c>
      <c r="H84">
        <v>6980.7871096195022</v>
      </c>
      <c r="I84">
        <v>369135.81060722662</v>
      </c>
      <c r="J84">
        <v>369135.81060722412</v>
      </c>
      <c r="K84">
        <v>28.891862412622729</v>
      </c>
      <c r="L84">
        <v>573.91889084192906</v>
      </c>
      <c r="M84">
        <v>573.91889084193008</v>
      </c>
      <c r="N84">
        <v>573.91889084193008</v>
      </c>
      <c r="O84">
        <v>369135.8106072332</v>
      </c>
      <c r="P84">
        <v>369135.8106072332</v>
      </c>
      <c r="Q84">
        <v>28.891862412622711</v>
      </c>
      <c r="R84">
        <v>28.891862412622711</v>
      </c>
      <c r="S84" t="b">
        <v>1</v>
      </c>
      <c r="T84" t="b">
        <v>0</v>
      </c>
      <c r="U84" t="b">
        <v>1</v>
      </c>
      <c r="V84" t="b">
        <v>0</v>
      </c>
    </row>
    <row r="85" spans="1:22" x14ac:dyDescent="0.3">
      <c r="A85" s="1" t="s">
        <v>104</v>
      </c>
      <c r="B85">
        <v>729.56548476023011</v>
      </c>
      <c r="C85">
        <v>1025.8521520809511</v>
      </c>
      <c r="D85">
        <v>1719.021620589727</v>
      </c>
      <c r="E85">
        <v>704.65535488735225</v>
      </c>
      <c r="F85">
        <v>1103.6523196973089</v>
      </c>
      <c r="G85">
        <v>1354.1268004153669</v>
      </c>
      <c r="H85">
        <v>1787.9820196665089</v>
      </c>
      <c r="I85">
        <v>1708.140672422061</v>
      </c>
      <c r="J85">
        <v>1708.140672422061</v>
      </c>
      <c r="K85">
        <v>69.401283235223588</v>
      </c>
      <c r="L85">
        <v>616.91562370880945</v>
      </c>
      <c r="M85">
        <v>616.9156237088082</v>
      </c>
      <c r="N85">
        <v>616.9156237088082</v>
      </c>
      <c r="O85">
        <v>1708.1406724220601</v>
      </c>
      <c r="P85">
        <v>1708.1406724220601</v>
      </c>
      <c r="Q85">
        <v>69.401283235223445</v>
      </c>
      <c r="R85">
        <v>69.401283235223445</v>
      </c>
      <c r="S85" t="b">
        <v>1</v>
      </c>
      <c r="T85" t="b">
        <v>1</v>
      </c>
      <c r="U85" t="b">
        <v>1</v>
      </c>
      <c r="V85" t="b">
        <v>1</v>
      </c>
    </row>
    <row r="86" spans="1:22" x14ac:dyDescent="0.3">
      <c r="A86" s="1" t="s">
        <v>105</v>
      </c>
      <c r="B86">
        <v>1749.7838661850319</v>
      </c>
      <c r="C86">
        <v>2224.8781189043648</v>
      </c>
      <c r="D86">
        <v>3082.7633066237122</v>
      </c>
      <c r="E86">
        <v>5267.4103040321697</v>
      </c>
      <c r="F86">
        <v>8371.5204516372069</v>
      </c>
      <c r="G86">
        <v>12942.92481077386</v>
      </c>
      <c r="H86">
        <v>4773.1047130871784</v>
      </c>
      <c r="I86">
        <v>4566.2098265066943</v>
      </c>
      <c r="J86">
        <v>4566.2098265067052</v>
      </c>
      <c r="K86">
        <v>100.26295565372089</v>
      </c>
      <c r="L86">
        <v>756.34991835728738</v>
      </c>
      <c r="M86">
        <v>756.3499183572867</v>
      </c>
      <c r="N86">
        <v>757.4860377493344</v>
      </c>
      <c r="O86">
        <v>4566.2098265067061</v>
      </c>
      <c r="P86">
        <v>4630.3456806942577</v>
      </c>
      <c r="Q86">
        <v>100.26295565372089</v>
      </c>
      <c r="R86">
        <v>100.2811479113259</v>
      </c>
      <c r="S86" t="b">
        <v>1</v>
      </c>
      <c r="T86" t="b">
        <v>0</v>
      </c>
      <c r="U86" t="b">
        <v>1</v>
      </c>
      <c r="V86" t="b">
        <v>0</v>
      </c>
    </row>
    <row r="87" spans="1:22" x14ac:dyDescent="0.3">
      <c r="A87" s="1" t="s">
        <v>106</v>
      </c>
      <c r="B87">
        <v>307.06610239671011</v>
      </c>
      <c r="C87">
        <v>421.56364836195303</v>
      </c>
      <c r="D87">
        <v>615.52382290785329</v>
      </c>
      <c r="E87">
        <v>441.14186929839752</v>
      </c>
      <c r="F87">
        <v>647.45080197488915</v>
      </c>
      <c r="G87">
        <v>4048.9282416375581</v>
      </c>
      <c r="H87">
        <v>1450.9314918503419</v>
      </c>
      <c r="I87">
        <v>2658.381106372914</v>
      </c>
      <c r="J87">
        <v>2658.381106372919</v>
      </c>
      <c r="K87">
        <v>40.466548479778041</v>
      </c>
      <c r="L87">
        <v>1426.2247078904261</v>
      </c>
      <c r="M87">
        <v>1426.224707890414</v>
      </c>
      <c r="N87">
        <v>1426.224707890414</v>
      </c>
      <c r="O87">
        <v>2658.3811063729022</v>
      </c>
      <c r="P87">
        <v>2658.3811063729022</v>
      </c>
      <c r="Q87">
        <v>40.466548479778062</v>
      </c>
      <c r="R87">
        <v>40.466548479778062</v>
      </c>
      <c r="S87" t="b">
        <v>1</v>
      </c>
      <c r="T87" t="b">
        <v>1</v>
      </c>
      <c r="U87" t="b">
        <v>1</v>
      </c>
      <c r="V87" t="b">
        <v>1</v>
      </c>
    </row>
    <row r="88" spans="1:22" x14ac:dyDescent="0.3">
      <c r="A88" s="1" t="s">
        <v>107</v>
      </c>
      <c r="B88">
        <v>292.91738451800228</v>
      </c>
      <c r="C88">
        <v>381.91008834426509</v>
      </c>
      <c r="D88">
        <v>564.33835339376139</v>
      </c>
      <c r="E88">
        <v>408.56599788807449</v>
      </c>
      <c r="F88">
        <v>608.09353021406514</v>
      </c>
      <c r="G88">
        <v>4733.8514663804217</v>
      </c>
      <c r="H88">
        <v>1281.8216036926269</v>
      </c>
      <c r="I88">
        <v>2658.098762402276</v>
      </c>
      <c r="J88">
        <v>2658.0987624022741</v>
      </c>
      <c r="K88">
        <v>37.768322711835708</v>
      </c>
      <c r="L88">
        <v>1597.0914955697849</v>
      </c>
      <c r="M88">
        <v>1597.091495569784</v>
      </c>
      <c r="N88">
        <v>1597.091495569784</v>
      </c>
      <c r="O88">
        <v>2658.0987624022782</v>
      </c>
      <c r="P88">
        <v>2658.0987624022782</v>
      </c>
      <c r="Q88">
        <v>37.768322711835673</v>
      </c>
      <c r="R88">
        <v>37.768322711835673</v>
      </c>
      <c r="S88" t="b">
        <v>1</v>
      </c>
      <c r="T88" t="b">
        <v>1</v>
      </c>
      <c r="U88" t="b">
        <v>1</v>
      </c>
      <c r="V88" t="b">
        <v>1</v>
      </c>
    </row>
    <row r="89" spans="1:22" x14ac:dyDescent="0.3">
      <c r="A89" s="1" t="s">
        <v>108</v>
      </c>
      <c r="B89">
        <v>463.12119716616792</v>
      </c>
      <c r="C89">
        <v>1747.4893673391409</v>
      </c>
      <c r="D89">
        <v>2850.1451290790501</v>
      </c>
      <c r="E89">
        <v>4360.1497059556477</v>
      </c>
      <c r="F89">
        <v>8303.0654749882578</v>
      </c>
      <c r="G89">
        <v>14461.40387096057</v>
      </c>
      <c r="H89">
        <v>6040.980583508619</v>
      </c>
      <c r="I89">
        <v>10687.964895718629</v>
      </c>
      <c r="J89">
        <v>10687.964895718629</v>
      </c>
      <c r="K89">
        <v>150.73248624411389</v>
      </c>
      <c r="L89">
        <v>3379.6559578795182</v>
      </c>
      <c r="M89">
        <v>3379.6559578795191</v>
      </c>
      <c r="N89">
        <v>3914.3556055004251</v>
      </c>
      <c r="O89">
        <v>10687.96489571864</v>
      </c>
      <c r="P89">
        <v>12506.44418091694</v>
      </c>
      <c r="Q89">
        <v>150.73248624411431</v>
      </c>
      <c r="R89">
        <v>158.68645469729049</v>
      </c>
      <c r="S89" t="b">
        <v>1</v>
      </c>
      <c r="T89" t="b">
        <v>0</v>
      </c>
      <c r="U89" t="b">
        <v>1</v>
      </c>
      <c r="V89" t="b">
        <v>0</v>
      </c>
    </row>
    <row r="90" spans="1:22" x14ac:dyDescent="0.3">
      <c r="A90" s="1" t="s">
        <v>109</v>
      </c>
      <c r="B90">
        <v>142.14085571918031</v>
      </c>
      <c r="C90">
        <v>312.45642185669118</v>
      </c>
      <c r="D90">
        <v>413.47155107990989</v>
      </c>
      <c r="E90">
        <v>180.09145725979249</v>
      </c>
      <c r="F90">
        <v>228.8761528162444</v>
      </c>
      <c r="G90">
        <v>856.35496860767034</v>
      </c>
      <c r="H90">
        <v>1749.3082468222269</v>
      </c>
      <c r="I90">
        <v>3404.523914791077</v>
      </c>
      <c r="J90">
        <v>3404.5239147910711</v>
      </c>
      <c r="K90">
        <v>23.101167491117831</v>
      </c>
      <c r="L90">
        <v>1144.0468523075961</v>
      </c>
      <c r="M90">
        <v>1144.046852307594</v>
      </c>
      <c r="N90">
        <v>-2796.913644584889</v>
      </c>
      <c r="O90">
        <v>3404.523914791072</v>
      </c>
      <c r="P90">
        <v>3407.4023253315108</v>
      </c>
      <c r="Q90">
        <v>23.10116749111782</v>
      </c>
      <c r="R90">
        <v>-634.6958409090737</v>
      </c>
      <c r="S90" t="b">
        <v>1</v>
      </c>
      <c r="T90" t="b">
        <v>1</v>
      </c>
      <c r="U90" t="b">
        <v>1</v>
      </c>
      <c r="V90" t="b">
        <v>1</v>
      </c>
    </row>
    <row r="91" spans="1:22" x14ac:dyDescent="0.3">
      <c r="A91" s="1" t="s">
        <v>110</v>
      </c>
      <c r="B91">
        <v>665.38052370845969</v>
      </c>
      <c r="C91">
        <v>1082.2802950837349</v>
      </c>
      <c r="D91">
        <v>1517.283984670722</v>
      </c>
      <c r="E91">
        <v>618.57246701227973</v>
      </c>
      <c r="F91">
        <v>819.3800036178726</v>
      </c>
      <c r="G91">
        <v>1854.0709505615</v>
      </c>
      <c r="H91">
        <v>1804.733027945364</v>
      </c>
      <c r="I91">
        <v>2755.0298204533128</v>
      </c>
      <c r="J91">
        <v>2755.0298204533142</v>
      </c>
      <c r="K91">
        <v>46.117262557164793</v>
      </c>
      <c r="L91">
        <v>1242.8049956603941</v>
      </c>
      <c r="M91">
        <v>1242.804995660392</v>
      </c>
      <c r="N91">
        <v>1242.804995660392</v>
      </c>
      <c r="O91">
        <v>2755.0298204533119</v>
      </c>
      <c r="P91">
        <v>2755.0298204533119</v>
      </c>
      <c r="Q91">
        <v>46.117262557164807</v>
      </c>
      <c r="R91">
        <v>46.117262557164807</v>
      </c>
      <c r="S91" t="b">
        <v>1</v>
      </c>
      <c r="T91" t="b">
        <v>1</v>
      </c>
      <c r="U91" t="b">
        <v>1</v>
      </c>
      <c r="V91" t="b">
        <v>1</v>
      </c>
    </row>
    <row r="92" spans="1:22" x14ac:dyDescent="0.3">
      <c r="A92" s="1" t="s">
        <v>111</v>
      </c>
      <c r="B92">
        <v>441.01400803586188</v>
      </c>
      <c r="C92">
        <v>650.12666841029954</v>
      </c>
      <c r="D92">
        <v>910.54723240320027</v>
      </c>
      <c r="E92">
        <v>1493.86361946121</v>
      </c>
      <c r="F92">
        <v>2355.7952761482879</v>
      </c>
      <c r="G92">
        <v>12478.521726169291</v>
      </c>
      <c r="H92">
        <v>1820.151319738977</v>
      </c>
      <c r="I92">
        <v>2714.6266933241718</v>
      </c>
      <c r="J92">
        <v>2714.6266933241709</v>
      </c>
      <c r="K92">
        <v>34.195256712750833</v>
      </c>
      <c r="L92">
        <v>683.79706204765057</v>
      </c>
      <c r="M92">
        <v>683.79706204765239</v>
      </c>
      <c r="N92">
        <v>683.79706204765239</v>
      </c>
      <c r="O92">
        <v>2714.6266933241709</v>
      </c>
      <c r="P92">
        <v>2714.6266933241709</v>
      </c>
      <c r="Q92">
        <v>34.19525671275084</v>
      </c>
      <c r="R92">
        <v>34.19525671275084</v>
      </c>
      <c r="S92" t="b">
        <v>1</v>
      </c>
      <c r="T92" t="b">
        <v>1</v>
      </c>
      <c r="U92" t="b">
        <v>1</v>
      </c>
      <c r="V92" t="b">
        <v>1</v>
      </c>
    </row>
    <row r="93" spans="1:22" x14ac:dyDescent="0.3">
      <c r="A93" s="1" t="s">
        <v>112</v>
      </c>
      <c r="B93">
        <v>1109.3475037405931</v>
      </c>
      <c r="C93">
        <v>1479.8235443093261</v>
      </c>
      <c r="D93">
        <v>2362.8815024322921</v>
      </c>
      <c r="E93">
        <v>854.69659454034013</v>
      </c>
      <c r="F93">
        <v>1256.4289149237241</v>
      </c>
      <c r="G93">
        <v>2363.5624132324492</v>
      </c>
      <c r="H93">
        <v>1957.018137704453</v>
      </c>
      <c r="I93">
        <v>4704.0607484774964</v>
      </c>
      <c r="J93">
        <v>4704.060748477099</v>
      </c>
      <c r="K93">
        <v>116.9853233427053</v>
      </c>
      <c r="L93">
        <v>2967.498118217276</v>
      </c>
      <c r="M93">
        <v>2967.4981182172191</v>
      </c>
      <c r="N93">
        <v>-223285076642546.81</v>
      </c>
      <c r="O93">
        <v>4704.0607484773482</v>
      </c>
      <c r="P93">
        <v>1.6912619401677741E+17</v>
      </c>
      <c r="Q93">
        <v>116.9853233427054</v>
      </c>
      <c r="R93">
        <v>-4816823062916896</v>
      </c>
      <c r="S93" t="b">
        <v>1</v>
      </c>
      <c r="T93" t="b">
        <v>1</v>
      </c>
      <c r="U93" t="b">
        <v>1</v>
      </c>
      <c r="V93" t="b">
        <v>1</v>
      </c>
    </row>
    <row r="94" spans="1:22" x14ac:dyDescent="0.3">
      <c r="A94" s="1" t="s">
        <v>113</v>
      </c>
      <c r="B94">
        <v>925.08901661957384</v>
      </c>
      <c r="C94">
        <v>1286.154365671885</v>
      </c>
      <c r="D94">
        <v>2107.490755430124</v>
      </c>
      <c r="E94">
        <v>393.41223290328941</v>
      </c>
      <c r="F94">
        <v>549.4297669145443</v>
      </c>
      <c r="G94">
        <v>794.04602632360888</v>
      </c>
      <c r="H94">
        <v>1508.5730368224361</v>
      </c>
      <c r="I94">
        <v>1644.1775710962741</v>
      </c>
      <c r="J94">
        <v>1644.177571096272</v>
      </c>
      <c r="K94">
        <v>21.245945892632591</v>
      </c>
      <c r="L94">
        <v>286.83663212413819</v>
      </c>
      <c r="M94">
        <v>286.83663212413819</v>
      </c>
      <c r="N94">
        <v>286.83663212413819</v>
      </c>
      <c r="O94">
        <v>1644.177571096272</v>
      </c>
      <c r="P94">
        <v>1644.177571096272</v>
      </c>
      <c r="Q94">
        <v>21.245945892632609</v>
      </c>
      <c r="R94">
        <v>21.245945892632609</v>
      </c>
      <c r="S94" t="b">
        <v>1</v>
      </c>
      <c r="T94" t="b">
        <v>1</v>
      </c>
      <c r="U94" t="b">
        <v>1</v>
      </c>
      <c r="V94" t="b">
        <v>1</v>
      </c>
    </row>
    <row r="95" spans="1:22" x14ac:dyDescent="0.3">
      <c r="A95" s="1" t="s">
        <v>114</v>
      </c>
      <c r="B95">
        <v>1295.4277328843909</v>
      </c>
      <c r="C95">
        <v>1883.7890289526781</v>
      </c>
      <c r="D95">
        <v>3238.7346499304931</v>
      </c>
      <c r="E95">
        <v>1231.621140747272</v>
      </c>
      <c r="F95">
        <v>1935.771299648246</v>
      </c>
      <c r="G95">
        <v>2156.5581696911941</v>
      </c>
      <c r="H95">
        <v>13373.320423780669</v>
      </c>
      <c r="I95">
        <v>15704.567549784149</v>
      </c>
      <c r="J95">
        <v>15704.5675497842</v>
      </c>
      <c r="K95">
        <v>202.1673096771874</v>
      </c>
      <c r="L95">
        <v>5904.4500927527424</v>
      </c>
      <c r="M95">
        <v>5904.4500927526997</v>
      </c>
      <c r="N95">
        <v>5904.4500927526997</v>
      </c>
      <c r="O95">
        <v>15704.56754978428</v>
      </c>
      <c r="P95">
        <v>15704.56754978428</v>
      </c>
      <c r="Q95">
        <v>202.1673096771876</v>
      </c>
      <c r="R95">
        <v>202.1673096771876</v>
      </c>
      <c r="S95" t="b">
        <v>1</v>
      </c>
      <c r="T95" t="b">
        <v>1</v>
      </c>
      <c r="U95" t="b">
        <v>1</v>
      </c>
      <c r="V95" t="b">
        <v>1</v>
      </c>
    </row>
    <row r="96" spans="1:22" x14ac:dyDescent="0.3">
      <c r="A96" s="1" t="s">
        <v>115</v>
      </c>
      <c r="B96">
        <v>10.866356998637601</v>
      </c>
      <c r="C96">
        <v>64.32114220754417</v>
      </c>
      <c r="D96">
        <v>119.1824260983458</v>
      </c>
      <c r="E96">
        <v>6.0662840548272561</v>
      </c>
      <c r="F96">
        <v>8.1058772106783401</v>
      </c>
      <c r="G96">
        <v>10.84002722797195</v>
      </c>
      <c r="H96">
        <v>212.93877311096259</v>
      </c>
      <c r="I96">
        <v>313.45388136578418</v>
      </c>
      <c r="J96">
        <v>313.45388136577759</v>
      </c>
      <c r="K96">
        <v>1.390651488952666</v>
      </c>
      <c r="L96">
        <v>45.952932052312818</v>
      </c>
      <c r="M96">
        <v>45.952932052312917</v>
      </c>
      <c r="N96">
        <v>45.956105596468213</v>
      </c>
      <c r="O96">
        <v>313.45388136577782</v>
      </c>
      <c r="P96">
        <v>313.45388136577782</v>
      </c>
      <c r="Q96">
        <v>1.390651488952666</v>
      </c>
      <c r="R96">
        <v>1.3906581810617991</v>
      </c>
      <c r="S96" t="b">
        <v>1</v>
      </c>
      <c r="T96" t="b">
        <v>1</v>
      </c>
      <c r="U96" t="b">
        <v>1</v>
      </c>
      <c r="V96" t="b">
        <v>1</v>
      </c>
    </row>
    <row r="97" spans="1:22" x14ac:dyDescent="0.3">
      <c r="A97" s="1" t="s">
        <v>116</v>
      </c>
      <c r="B97">
        <v>119.72031456793231</v>
      </c>
      <c r="C97">
        <v>142.8298347798704</v>
      </c>
      <c r="D97">
        <v>214.10500643818841</v>
      </c>
      <c r="E97">
        <v>72.961535398487072</v>
      </c>
      <c r="F97">
        <v>98.099837278165111</v>
      </c>
      <c r="G97">
        <v>227.99317657160981</v>
      </c>
      <c r="H97">
        <v>462.04282294107418</v>
      </c>
      <c r="I97">
        <v>1687.0674647741259</v>
      </c>
      <c r="J97">
        <v>1687.067464774125</v>
      </c>
      <c r="K97">
        <v>-52.429392940103547</v>
      </c>
      <c r="L97">
        <v>-1568.7405161477111</v>
      </c>
      <c r="M97">
        <v>-1568.740516147707</v>
      </c>
      <c r="N97">
        <v>-2504.0255481339141</v>
      </c>
      <c r="O97">
        <v>1687.067464774123</v>
      </c>
      <c r="P97">
        <v>2875.485624415805</v>
      </c>
      <c r="Q97">
        <v>-52.429392940103547</v>
      </c>
      <c r="R97">
        <v>-78.907733411561765</v>
      </c>
      <c r="S97" t="b">
        <v>1</v>
      </c>
      <c r="T97" t="b">
        <v>1</v>
      </c>
      <c r="U97" t="b">
        <v>1</v>
      </c>
      <c r="V97" t="b">
        <v>1</v>
      </c>
    </row>
    <row r="98" spans="1:22" x14ac:dyDescent="0.3">
      <c r="A98" s="1" t="s">
        <v>117</v>
      </c>
      <c r="B98">
        <v>111.900011650493</v>
      </c>
      <c r="C98">
        <v>253.4441401861547</v>
      </c>
      <c r="D98">
        <v>363.89581850763579</v>
      </c>
      <c r="E98">
        <v>106.96166203594009</v>
      </c>
      <c r="F98">
        <v>142.40582440638821</v>
      </c>
      <c r="G98">
        <v>512.04322922570498</v>
      </c>
      <c r="H98">
        <v>414.59122654183898</v>
      </c>
      <c r="I98">
        <v>933.66469355491768</v>
      </c>
      <c r="J98">
        <v>933.66469355489062</v>
      </c>
      <c r="K98">
        <v>39.504298097439531</v>
      </c>
      <c r="L98">
        <v>612.77502137062254</v>
      </c>
      <c r="M98">
        <v>612.77502137061686</v>
      </c>
      <c r="N98">
        <v>612.77502137061686</v>
      </c>
      <c r="O98">
        <v>933.66469355491631</v>
      </c>
      <c r="P98">
        <v>933.66469355491631</v>
      </c>
      <c r="Q98">
        <v>39.504298097439623</v>
      </c>
      <c r="R98">
        <v>39.504298097439623</v>
      </c>
      <c r="S98" t="b">
        <v>1</v>
      </c>
      <c r="T98" t="b">
        <v>1</v>
      </c>
      <c r="U98" t="b">
        <v>1</v>
      </c>
      <c r="V98" t="b">
        <v>1</v>
      </c>
    </row>
    <row r="99" spans="1:22" x14ac:dyDescent="0.3">
      <c r="A99" s="1" t="s">
        <v>118</v>
      </c>
      <c r="B99">
        <v>368.39384648141032</v>
      </c>
      <c r="C99">
        <v>596.66109364103477</v>
      </c>
      <c r="D99">
        <v>883.04211904013539</v>
      </c>
      <c r="E99">
        <v>141.9474135577324</v>
      </c>
      <c r="F99">
        <v>176.69397892647359</v>
      </c>
      <c r="G99">
        <v>323.82808031456472</v>
      </c>
      <c r="H99">
        <v>550.05628989774004</v>
      </c>
      <c r="I99">
        <v>794.23790054540825</v>
      </c>
      <c r="J99">
        <v>794.23790054540734</v>
      </c>
      <c r="K99">
        <v>42.642665015240382</v>
      </c>
      <c r="L99">
        <v>388.32869657974442</v>
      </c>
      <c r="M99">
        <v>388.32869657974442</v>
      </c>
      <c r="N99">
        <v>388.32869657974442</v>
      </c>
      <c r="O99">
        <v>794.23790054540848</v>
      </c>
      <c r="P99">
        <v>794.23790054540848</v>
      </c>
      <c r="Q99">
        <v>42.642665015240382</v>
      </c>
      <c r="R99">
        <v>42.642665015240382</v>
      </c>
      <c r="S99" t="b">
        <v>1</v>
      </c>
      <c r="T99" t="b">
        <v>1</v>
      </c>
      <c r="U99" t="b">
        <v>1</v>
      </c>
      <c r="V99" t="b">
        <v>1</v>
      </c>
    </row>
    <row r="100" spans="1:22" x14ac:dyDescent="0.3">
      <c r="A100" s="1" t="s">
        <v>119</v>
      </c>
      <c r="B100">
        <v>5304.9780663344582</v>
      </c>
      <c r="C100">
        <v>8782.4648779714225</v>
      </c>
      <c r="D100">
        <v>14073.65162402555</v>
      </c>
      <c r="E100">
        <v>2252.932492525686</v>
      </c>
      <c r="F100">
        <v>3136.6630304744758</v>
      </c>
      <c r="G100">
        <v>50508.515519651402</v>
      </c>
      <c r="H100">
        <v>5776.2686007510692</v>
      </c>
      <c r="I100">
        <v>3254.384980450795</v>
      </c>
      <c r="J100">
        <v>3254.384980450795</v>
      </c>
      <c r="K100">
        <v>2509.484169528921</v>
      </c>
      <c r="L100">
        <v>3780.0926554346961</v>
      </c>
      <c r="M100">
        <v>3780.092655434687</v>
      </c>
      <c r="N100">
        <v>3780.962255849613</v>
      </c>
      <c r="O100">
        <v>3254.3849804507959</v>
      </c>
      <c r="P100">
        <v>3254.7979395086809</v>
      </c>
      <c r="Q100">
        <v>2509.4841695289201</v>
      </c>
      <c r="R100">
        <v>2510.9088528763668</v>
      </c>
      <c r="S100" t="b">
        <v>1</v>
      </c>
      <c r="T100" t="b">
        <v>1</v>
      </c>
      <c r="U100" t="b">
        <v>1</v>
      </c>
      <c r="V100" t="b">
        <v>1</v>
      </c>
    </row>
    <row r="101" spans="1:22" x14ac:dyDescent="0.3">
      <c r="A101" s="1" t="s">
        <v>120</v>
      </c>
      <c r="B101">
        <v>221.74104870169319</v>
      </c>
      <c r="C101">
        <v>671.51427163910625</v>
      </c>
      <c r="D101">
        <v>1104.03262276644</v>
      </c>
      <c r="E101">
        <v>233.20782647233889</v>
      </c>
      <c r="F101">
        <v>311.57464814164649</v>
      </c>
      <c r="G101">
        <v>456.54602934117207</v>
      </c>
      <c r="H101">
        <v>1031.3586691978339</v>
      </c>
      <c r="I101">
        <v>1923.7802648391721</v>
      </c>
      <c r="J101">
        <v>1923.7802648392101</v>
      </c>
      <c r="K101">
        <v>59.784769605631823</v>
      </c>
      <c r="L101">
        <v>518.37215241270053</v>
      </c>
      <c r="M101">
        <v>518.37215241270007</v>
      </c>
      <c r="N101">
        <v>518.37215241270007</v>
      </c>
      <c r="O101">
        <v>1923.7802648392101</v>
      </c>
      <c r="P101">
        <v>1923.7802648392101</v>
      </c>
      <c r="Q101">
        <v>59.784769605631837</v>
      </c>
      <c r="R101">
        <v>59.784769605631837</v>
      </c>
      <c r="S101" t="b">
        <v>1</v>
      </c>
      <c r="T101" t="b">
        <v>1</v>
      </c>
      <c r="U101" t="b">
        <v>1</v>
      </c>
      <c r="V101" t="b">
        <v>1</v>
      </c>
    </row>
    <row r="102" spans="1:22" x14ac:dyDescent="0.3">
      <c r="A102" s="1" t="s">
        <v>121</v>
      </c>
      <c r="B102">
        <v>184.88634146940149</v>
      </c>
      <c r="C102">
        <v>794.13073566487515</v>
      </c>
      <c r="D102">
        <v>1033.0660872270009</v>
      </c>
      <c r="E102">
        <v>455.01805622385069</v>
      </c>
      <c r="F102">
        <v>573.42987327105106</v>
      </c>
      <c r="G102">
        <v>1669.767069109256</v>
      </c>
      <c r="H102">
        <v>1204.62778640599</v>
      </c>
      <c r="I102">
        <v>358.08467114425838</v>
      </c>
      <c r="J102">
        <v>358.08467114425832</v>
      </c>
      <c r="K102">
        <v>-2.351998148145757</v>
      </c>
      <c r="L102">
        <v>550.41184139421694</v>
      </c>
      <c r="M102">
        <v>550.41184139421784</v>
      </c>
      <c r="N102">
        <v>550.41184139421784</v>
      </c>
      <c r="O102">
        <v>358.08467114425821</v>
      </c>
      <c r="P102">
        <v>358.08467114425821</v>
      </c>
      <c r="Q102">
        <v>-2.3519981481457588</v>
      </c>
      <c r="R102">
        <v>-2.3519981481457588</v>
      </c>
      <c r="S102" t="b">
        <v>1</v>
      </c>
      <c r="T102" t="b">
        <v>1</v>
      </c>
      <c r="U102" t="b">
        <v>1</v>
      </c>
      <c r="V102" t="b">
        <v>1</v>
      </c>
    </row>
    <row r="103" spans="1:22" x14ac:dyDescent="0.3">
      <c r="A103" s="1" t="s">
        <v>122</v>
      </c>
      <c r="B103">
        <v>1383.870740191197</v>
      </c>
      <c r="C103">
        <v>2897.915002183242</v>
      </c>
      <c r="D103">
        <v>4089.8834942338631</v>
      </c>
      <c r="E103">
        <v>1297.08375771854</v>
      </c>
      <c r="F103">
        <v>1682.1705108155691</v>
      </c>
      <c r="G103">
        <v>2134.9291978632291</v>
      </c>
      <c r="H103">
        <v>13041.25530066592</v>
      </c>
      <c r="I103">
        <v>30170.58055698263</v>
      </c>
      <c r="J103">
        <v>30170.580556982481</v>
      </c>
      <c r="K103">
        <v>190.17804439064091</v>
      </c>
      <c r="L103">
        <v>2139.34699224019</v>
      </c>
      <c r="M103">
        <v>2139.346992240195</v>
      </c>
      <c r="N103">
        <v>6908.8701495652294</v>
      </c>
      <c r="O103">
        <v>30170.580556982481</v>
      </c>
      <c r="P103">
        <v>-1519485.8428975269</v>
      </c>
      <c r="Q103">
        <v>190.17804439064091</v>
      </c>
      <c r="R103">
        <v>-621.36162185237902</v>
      </c>
      <c r="S103" t="b">
        <v>1</v>
      </c>
      <c r="T103" t="b">
        <v>0</v>
      </c>
      <c r="U103" t="b">
        <v>1</v>
      </c>
      <c r="V103" t="b">
        <v>0</v>
      </c>
    </row>
    <row r="104" spans="1:22" x14ac:dyDescent="0.3">
      <c r="A104" s="1" t="s">
        <v>123</v>
      </c>
      <c r="B104">
        <v>3.8740760818294748</v>
      </c>
      <c r="C104">
        <v>4.5871984305390114</v>
      </c>
      <c r="D104">
        <v>5.8089999999999966</v>
      </c>
      <c r="E104">
        <v>3.2213603398256918</v>
      </c>
      <c r="F104">
        <v>3.9401676348093768</v>
      </c>
      <c r="G104">
        <v>6.0617227672283764</v>
      </c>
      <c r="H104">
        <v>157.11620323433829</v>
      </c>
      <c r="I104">
        <v>135.80934794383319</v>
      </c>
      <c r="J104">
        <v>135.8093479438331</v>
      </c>
      <c r="K104">
        <v>0.6638237239240472</v>
      </c>
      <c r="L104">
        <v>12.001304160057259</v>
      </c>
      <c r="M104">
        <v>12.00130416005724</v>
      </c>
      <c r="N104">
        <v>15.381193678586801</v>
      </c>
      <c r="O104">
        <v>135.8093479438331</v>
      </c>
      <c r="P104">
        <v>155.22239182280879</v>
      </c>
      <c r="Q104">
        <v>0.66382372392404676</v>
      </c>
      <c r="R104">
        <v>0.84333536325685454</v>
      </c>
      <c r="S104" t="b">
        <v>1</v>
      </c>
      <c r="T104" t="b">
        <v>1</v>
      </c>
      <c r="U104" t="b">
        <v>1</v>
      </c>
      <c r="V104" t="b">
        <v>1</v>
      </c>
    </row>
    <row r="105" spans="1:22" x14ac:dyDescent="0.3">
      <c r="A105" s="1" t="s">
        <v>124</v>
      </c>
      <c r="B105">
        <v>47.314552624659513</v>
      </c>
      <c r="C105">
        <v>48.290574334250607</v>
      </c>
      <c r="D105">
        <v>51.492999999999988</v>
      </c>
      <c r="E105">
        <v>116.5816572186455</v>
      </c>
      <c r="F105">
        <v>130.02561264955779</v>
      </c>
      <c r="G105">
        <v>191.7629437298161</v>
      </c>
      <c r="H105">
        <v>156.746473416632</v>
      </c>
      <c r="I105">
        <v>158.70691201859759</v>
      </c>
      <c r="J105">
        <v>158.70691201859739</v>
      </c>
      <c r="K105">
        <v>5.785586303326169</v>
      </c>
      <c r="L105">
        <v>46.027401021663472</v>
      </c>
      <c r="M105">
        <v>46.027401021663422</v>
      </c>
      <c r="N105">
        <v>52.924707938469403</v>
      </c>
      <c r="O105">
        <v>158.70691201859759</v>
      </c>
      <c r="P105">
        <v>175.9784979425207</v>
      </c>
      <c r="Q105">
        <v>5.7855863033261681</v>
      </c>
      <c r="R105">
        <v>6.1589691714394847</v>
      </c>
      <c r="S105" t="b">
        <v>1</v>
      </c>
      <c r="T105" t="b">
        <v>1</v>
      </c>
      <c r="U105" t="b">
        <v>1</v>
      </c>
      <c r="V105" t="b">
        <v>1</v>
      </c>
    </row>
    <row r="106" spans="1:22" x14ac:dyDescent="0.3">
      <c r="A106" s="1" t="s">
        <v>125</v>
      </c>
      <c r="B106">
        <v>22.144255574459748</v>
      </c>
      <c r="C106">
        <v>22.995681141789511</v>
      </c>
      <c r="D106">
        <v>24.98299999999999</v>
      </c>
      <c r="E106">
        <v>17.50954426798463</v>
      </c>
      <c r="F106">
        <v>18.77604336458835</v>
      </c>
      <c r="G106">
        <v>27.34740679292306</v>
      </c>
      <c r="H106">
        <v>45.776025807785928</v>
      </c>
      <c r="I106">
        <v>44.723588583863247</v>
      </c>
      <c r="J106">
        <v>44.723588583863247</v>
      </c>
      <c r="K106">
        <v>2.398524275799367</v>
      </c>
      <c r="L106">
        <v>22.464430891659902</v>
      </c>
      <c r="M106">
        <v>22.464430891659841</v>
      </c>
      <c r="N106">
        <v>26.328274651085191</v>
      </c>
      <c r="O106">
        <v>44.723588583863283</v>
      </c>
      <c r="P106">
        <v>50.262195009929023</v>
      </c>
      <c r="Q106">
        <v>2.3985242757993648</v>
      </c>
      <c r="R106">
        <v>2.5983698500284711</v>
      </c>
      <c r="S106" t="b">
        <v>1</v>
      </c>
      <c r="T106" t="b">
        <v>1</v>
      </c>
      <c r="U106" t="b">
        <v>1</v>
      </c>
      <c r="V106" t="b">
        <v>1</v>
      </c>
    </row>
    <row r="107" spans="1:22" x14ac:dyDescent="0.3">
      <c r="A107" s="1" t="s">
        <v>126</v>
      </c>
      <c r="B107">
        <v>419.1250620204446</v>
      </c>
      <c r="C107">
        <v>884.1056969430623</v>
      </c>
      <c r="D107">
        <v>1194.6476124940871</v>
      </c>
      <c r="E107">
        <v>262.55801377466611</v>
      </c>
      <c r="F107">
        <v>324.53640892751099</v>
      </c>
      <c r="G107">
        <v>775.67344038889109</v>
      </c>
      <c r="H107">
        <v>2135.141189718724</v>
      </c>
      <c r="I107">
        <v>5296.2481737444259</v>
      </c>
      <c r="J107">
        <v>5296.2481737444268</v>
      </c>
      <c r="K107">
        <v>75.716597024835124</v>
      </c>
      <c r="L107">
        <v>2299.9133055472539</v>
      </c>
      <c r="M107">
        <v>2299.9133055472589</v>
      </c>
      <c r="N107">
        <v>2475.9719996023118</v>
      </c>
      <c r="O107">
        <v>5296.2481737444268</v>
      </c>
      <c r="P107">
        <v>5804.7372517598396</v>
      </c>
      <c r="Q107">
        <v>75.716597024835124</v>
      </c>
      <c r="R107">
        <v>77.617259419515818</v>
      </c>
      <c r="S107" t="b">
        <v>1</v>
      </c>
      <c r="T107" t="b">
        <v>0</v>
      </c>
      <c r="U107" t="b">
        <v>1</v>
      </c>
      <c r="V107" t="b">
        <v>0</v>
      </c>
    </row>
    <row r="108" spans="1:22" x14ac:dyDescent="0.3">
      <c r="A108" s="1" t="s">
        <v>127</v>
      </c>
      <c r="B108">
        <v>154.02301412877171</v>
      </c>
      <c r="C108">
        <v>320.5105795590448</v>
      </c>
      <c r="D108">
        <v>430.41637347953701</v>
      </c>
      <c r="E108">
        <v>127.5944571132612</v>
      </c>
      <c r="F108">
        <v>159.63670705388779</v>
      </c>
      <c r="G108">
        <v>469.1612226379018</v>
      </c>
      <c r="H108">
        <v>1526.566241066593</v>
      </c>
      <c r="I108">
        <v>5488.914836777114</v>
      </c>
      <c r="J108">
        <v>5488.9148367771122</v>
      </c>
      <c r="K108">
        <v>30.72097080554979</v>
      </c>
      <c r="L108">
        <v>1449.9755445844989</v>
      </c>
      <c r="M108">
        <v>1449.975544584498</v>
      </c>
      <c r="N108">
        <v>1650.723134036481</v>
      </c>
      <c r="O108">
        <v>5488.9148367771086</v>
      </c>
      <c r="P108">
        <v>6354.7917519904586</v>
      </c>
      <c r="Q108">
        <v>30.720970805549801</v>
      </c>
      <c r="R108">
        <v>31.72990148094804</v>
      </c>
      <c r="S108" t="b">
        <v>1</v>
      </c>
      <c r="T108" t="b">
        <v>0</v>
      </c>
      <c r="U108" t="b">
        <v>1</v>
      </c>
      <c r="V108" t="b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8"/>
  <sheetViews>
    <sheetView rightToLeft="1" workbookViewId="0">
      <selection activeCell="P89" sqref="P89"/>
    </sheetView>
  </sheetViews>
  <sheetFormatPr defaultRowHeight="14" x14ac:dyDescent="0.3"/>
  <cols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3.5" customWidth="1"/>
    <col min="15" max="15" width="33" customWidth="1"/>
    <col min="16" max="17" width="33.25" customWidth="1"/>
    <col min="18" max="18" width="33.5" customWidth="1"/>
    <col min="19" max="19" width="18.5" customWidth="1"/>
    <col min="20" max="20" width="18" customWidth="1"/>
    <col min="21" max="21" width="21" customWidth="1"/>
    <col min="22" max="22" width="13.9140625" customWidth="1"/>
  </cols>
  <sheetData>
    <row r="1" spans="1:22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 t="s">
        <v>21</v>
      </c>
      <c r="B2">
        <v>1467.2723833490861</v>
      </c>
      <c r="C2">
        <v>2369.4318204819551</v>
      </c>
      <c r="D2">
        <v>4108.4661693500111</v>
      </c>
      <c r="E2">
        <v>31.7709294284967</v>
      </c>
      <c r="F2">
        <v>34.106081728636752</v>
      </c>
      <c r="G2">
        <v>34.830131099672982</v>
      </c>
      <c r="H2">
        <v>742.16202796495543</v>
      </c>
      <c r="I2">
        <v>971.16625041849773</v>
      </c>
      <c r="J2">
        <v>971.16625041832583</v>
      </c>
      <c r="K2">
        <v>199.76107599784771</v>
      </c>
      <c r="L2">
        <v>3464.9507226911028</v>
      </c>
      <c r="M2">
        <v>3464.9507226920332</v>
      </c>
      <c r="N2">
        <v>3464.9507226920332</v>
      </c>
      <c r="O2">
        <v>971.16625041829252</v>
      </c>
      <c r="P2">
        <v>971.16625041829252</v>
      </c>
      <c r="Q2">
        <v>199.76107599784771</v>
      </c>
      <c r="R2">
        <v>199.76107599784771</v>
      </c>
      <c r="S2" t="b">
        <v>1</v>
      </c>
      <c r="T2" t="b">
        <v>1</v>
      </c>
      <c r="U2" t="b">
        <v>1</v>
      </c>
      <c r="V2" t="b">
        <v>1</v>
      </c>
    </row>
    <row r="3" spans="1:22" x14ac:dyDescent="0.3">
      <c r="A3" s="1" t="s">
        <v>22</v>
      </c>
      <c r="B3">
        <v>14.43809636311101</v>
      </c>
      <c r="C3">
        <v>19.784511024015341</v>
      </c>
      <c r="D3">
        <v>28.419468225109672</v>
      </c>
      <c r="E3">
        <v>15.200121252579571</v>
      </c>
      <c r="F3">
        <v>21.18103654429903</v>
      </c>
      <c r="G3">
        <v>85.316478703273091</v>
      </c>
      <c r="H3">
        <v>183.96639052578371</v>
      </c>
      <c r="I3">
        <v>388.0933486794529</v>
      </c>
      <c r="J3">
        <v>388.09334867898258</v>
      </c>
      <c r="K3">
        <v>0.51838818306423207</v>
      </c>
      <c r="L3">
        <v>35.648286978653438</v>
      </c>
      <c r="M3">
        <v>35.648286978656742</v>
      </c>
      <c r="N3">
        <v>-25547.73963901107</v>
      </c>
      <c r="O3">
        <v>388.09334867846218</v>
      </c>
      <c r="P3">
        <v>69608248.053132132</v>
      </c>
      <c r="Q3">
        <v>0.51838831906079064</v>
      </c>
      <c r="R3">
        <v>64386.29648449138</v>
      </c>
      <c r="S3" t="b">
        <v>1</v>
      </c>
      <c r="T3" t="b">
        <v>1</v>
      </c>
      <c r="U3" t="b">
        <v>1</v>
      </c>
      <c r="V3" t="b">
        <v>1</v>
      </c>
    </row>
    <row r="4" spans="1:22" x14ac:dyDescent="0.3">
      <c r="A4" s="1" t="s">
        <v>23</v>
      </c>
      <c r="B4">
        <v>0.7369319122278416</v>
      </c>
      <c r="C4">
        <v>1.050082558801364</v>
      </c>
      <c r="D4">
        <v>1.7421633459656201</v>
      </c>
      <c r="E4">
        <v>0.1248923456533525</v>
      </c>
      <c r="F4">
        <v>0.16246365848548541</v>
      </c>
      <c r="G4">
        <v>0.26303448172806532</v>
      </c>
      <c r="H4">
        <v>91.778848195602421</v>
      </c>
      <c r="I4">
        <v>2950.0781947033688</v>
      </c>
      <c r="J4">
        <v>2950.0781947033602</v>
      </c>
      <c r="K4">
        <v>0.32711092241490652</v>
      </c>
      <c r="L4">
        <v>42.888812253769728</v>
      </c>
      <c r="M4">
        <v>42.888812253769693</v>
      </c>
      <c r="N4">
        <v>42.888812253769693</v>
      </c>
      <c r="O4">
        <v>2950.0781947033561</v>
      </c>
      <c r="P4">
        <v>2950.0781947033561</v>
      </c>
      <c r="Q4">
        <v>0.32711092241490319</v>
      </c>
      <c r="R4">
        <v>0.32711092241490319</v>
      </c>
      <c r="S4" t="b">
        <v>1</v>
      </c>
      <c r="T4" t="b">
        <v>1</v>
      </c>
      <c r="U4" t="b">
        <v>1</v>
      </c>
      <c r="V4" t="b">
        <v>1</v>
      </c>
    </row>
    <row r="5" spans="1:22" x14ac:dyDescent="0.3">
      <c r="A5" s="1" t="s">
        <v>24</v>
      </c>
      <c r="B5">
        <v>16.84817773630974</v>
      </c>
      <c r="C5">
        <v>21.681884751610639</v>
      </c>
      <c r="D5">
        <v>34.827472343966619</v>
      </c>
      <c r="E5">
        <v>19.633470098434689</v>
      </c>
      <c r="F5">
        <v>31.216568888158811</v>
      </c>
      <c r="G5">
        <v>89.676616432479918</v>
      </c>
      <c r="H5">
        <v>613.70545492120038</v>
      </c>
      <c r="I5">
        <v>2947.368640164394</v>
      </c>
      <c r="J5">
        <v>2947.3686401643909</v>
      </c>
      <c r="K5">
        <v>4.8803424607595796</v>
      </c>
      <c r="L5">
        <v>369.04344066688651</v>
      </c>
      <c r="M5">
        <v>369.04344066688401</v>
      </c>
      <c r="N5">
        <v>369.04344066688401</v>
      </c>
      <c r="O5">
        <v>2947.3686401643959</v>
      </c>
      <c r="P5">
        <v>2947.3686401643959</v>
      </c>
      <c r="Q5">
        <v>4.880342460759568</v>
      </c>
      <c r="R5">
        <v>4.880342460759568</v>
      </c>
      <c r="S5" t="b">
        <v>1</v>
      </c>
      <c r="T5" t="b">
        <v>1</v>
      </c>
      <c r="U5" t="b">
        <v>1</v>
      </c>
      <c r="V5" t="b">
        <v>1</v>
      </c>
    </row>
    <row r="6" spans="1:22" x14ac:dyDescent="0.3">
      <c r="A6" s="1" t="s">
        <v>25</v>
      </c>
      <c r="B6">
        <v>403.21853826224748</v>
      </c>
      <c r="C6">
        <v>485.82613728486939</v>
      </c>
      <c r="D6">
        <v>787.88075211201522</v>
      </c>
      <c r="E6">
        <v>236.95324611298739</v>
      </c>
      <c r="F6">
        <v>345.90773876440761</v>
      </c>
      <c r="G6">
        <v>725.3628283478572</v>
      </c>
      <c r="H6">
        <v>1585.4882231855711</v>
      </c>
      <c r="I6">
        <v>1778.9509908979051</v>
      </c>
      <c r="J6">
        <v>1778.950990897911</v>
      </c>
      <c r="K6">
        <v>32.80053163835872</v>
      </c>
      <c r="L6">
        <v>425.4347483330402</v>
      </c>
      <c r="M6">
        <v>425.43474833304032</v>
      </c>
      <c r="N6">
        <v>433.055973021905</v>
      </c>
      <c r="O6">
        <v>1778.950990897913</v>
      </c>
      <c r="P6">
        <v>1778.950990957364</v>
      </c>
      <c r="Q6">
        <v>32.827620870877659</v>
      </c>
      <c r="R6">
        <v>32.979584851685857</v>
      </c>
      <c r="S6" t="b">
        <v>1</v>
      </c>
      <c r="T6" t="b">
        <v>1</v>
      </c>
      <c r="U6" t="b">
        <v>1</v>
      </c>
      <c r="V6" t="b">
        <v>1</v>
      </c>
    </row>
    <row r="7" spans="1:22" x14ac:dyDescent="0.3">
      <c r="A7" s="1" t="s">
        <v>26</v>
      </c>
      <c r="B7">
        <v>79.164462239124177</v>
      </c>
      <c r="C7">
        <v>176.18512618569079</v>
      </c>
      <c r="D7">
        <v>268.50685218507112</v>
      </c>
      <c r="E7">
        <v>507.04840834103999</v>
      </c>
      <c r="F7">
        <v>891.77955923589957</v>
      </c>
      <c r="G7">
        <v>3657.262654837125</v>
      </c>
      <c r="H7">
        <v>842.33010498994224</v>
      </c>
      <c r="I7">
        <v>1158.1342669601561</v>
      </c>
      <c r="J7">
        <v>1158.134266960154</v>
      </c>
      <c r="K7">
        <v>44.813733535187843</v>
      </c>
      <c r="L7">
        <v>419.19338537016631</v>
      </c>
      <c r="M7">
        <v>419.19338537016768</v>
      </c>
      <c r="N7">
        <v>438.7883131467724</v>
      </c>
      <c r="O7">
        <v>1158.1342669601529</v>
      </c>
      <c r="P7">
        <v>1158.134256943677</v>
      </c>
      <c r="Q7">
        <v>44.834229672294697</v>
      </c>
      <c r="R7">
        <v>45.369395445474566</v>
      </c>
      <c r="S7" t="b">
        <v>1</v>
      </c>
      <c r="T7" t="b">
        <v>1</v>
      </c>
      <c r="U7" t="b">
        <v>1</v>
      </c>
      <c r="V7" t="b">
        <v>1</v>
      </c>
    </row>
    <row r="8" spans="1:22" x14ac:dyDescent="0.3">
      <c r="A8" s="1" t="s">
        <v>27</v>
      </c>
      <c r="B8">
        <v>567.66779343565111</v>
      </c>
      <c r="C8">
        <v>707.16331738169299</v>
      </c>
      <c r="D8">
        <v>949.98923014817751</v>
      </c>
      <c r="E8">
        <v>1444.6388483422629</v>
      </c>
      <c r="F8">
        <v>2040.2678523588879</v>
      </c>
      <c r="G8">
        <v>12484.68475115269</v>
      </c>
      <c r="H8">
        <v>1159.922641415445</v>
      </c>
      <c r="I8">
        <v>2748.272344046974</v>
      </c>
      <c r="J8">
        <v>2748.2723440469749</v>
      </c>
      <c r="K8">
        <v>27.831486828753871</v>
      </c>
      <c r="L8">
        <v>1538.5228106568011</v>
      </c>
      <c r="M8">
        <v>1538.5228106567999</v>
      </c>
      <c r="N8">
        <v>1538.5228106567999</v>
      </c>
      <c r="O8">
        <v>2748.272344046974</v>
      </c>
      <c r="P8">
        <v>2748.272344046974</v>
      </c>
      <c r="Q8">
        <v>27.83148682875386</v>
      </c>
      <c r="R8">
        <v>27.83148682875386</v>
      </c>
      <c r="S8" t="b">
        <v>1</v>
      </c>
      <c r="T8" t="b">
        <v>1</v>
      </c>
      <c r="U8" t="b">
        <v>1</v>
      </c>
      <c r="V8" t="b">
        <v>1</v>
      </c>
    </row>
    <row r="9" spans="1:22" x14ac:dyDescent="0.3">
      <c r="A9" s="1" t="s">
        <v>28</v>
      </c>
      <c r="B9">
        <v>264.13231177071049</v>
      </c>
      <c r="C9">
        <v>334.8161751974406</v>
      </c>
      <c r="D9">
        <v>461.45403653499352</v>
      </c>
      <c r="E9">
        <v>33.262960526309129</v>
      </c>
      <c r="F9">
        <v>36.361789983104167</v>
      </c>
      <c r="G9">
        <v>38.451664794399711</v>
      </c>
      <c r="H9">
        <v>216.13973299985761</v>
      </c>
      <c r="I9">
        <v>252.58044451406579</v>
      </c>
      <c r="J9">
        <v>252.58044451406579</v>
      </c>
      <c r="K9">
        <v>15.086787795232089</v>
      </c>
      <c r="L9">
        <v>136.3765452824436</v>
      </c>
      <c r="M9">
        <v>136.37654528244369</v>
      </c>
      <c r="N9">
        <v>136.37654528244369</v>
      </c>
      <c r="O9">
        <v>252.58044451406579</v>
      </c>
      <c r="P9">
        <v>252.58044451406579</v>
      </c>
      <c r="Q9">
        <v>15.0867877952321</v>
      </c>
      <c r="R9">
        <v>15.0867877952321</v>
      </c>
      <c r="S9" t="b">
        <v>1</v>
      </c>
      <c r="T9" t="b">
        <v>1</v>
      </c>
      <c r="U9" t="b">
        <v>1</v>
      </c>
      <c r="V9" t="b">
        <v>1</v>
      </c>
    </row>
    <row r="10" spans="1:22" x14ac:dyDescent="0.3">
      <c r="A10" s="1" t="s">
        <v>29</v>
      </c>
      <c r="B10">
        <v>694.16978261525537</v>
      </c>
      <c r="C10">
        <v>754.87369803354079</v>
      </c>
      <c r="D10">
        <v>865.14113241654422</v>
      </c>
      <c r="E10">
        <v>1043.8539790706441</v>
      </c>
      <c r="F10">
        <v>1213.041519615055</v>
      </c>
      <c r="G10">
        <v>4359.4889451785784</v>
      </c>
      <c r="H10">
        <v>2893.9307418290882</v>
      </c>
      <c r="I10">
        <v>5293.6314726310966</v>
      </c>
      <c r="J10">
        <v>5293.6314726310957</v>
      </c>
      <c r="K10">
        <v>30.490624924371271</v>
      </c>
      <c r="L10">
        <v>3255.1616288114092</v>
      </c>
      <c r="M10">
        <v>3255.1616288114028</v>
      </c>
      <c r="N10">
        <v>3255.1616288114028</v>
      </c>
      <c r="O10">
        <v>5293.6314726310948</v>
      </c>
      <c r="P10">
        <v>5293.6314726310948</v>
      </c>
      <c r="Q10">
        <v>30.490624924371279</v>
      </c>
      <c r="R10">
        <v>30.490624924371279</v>
      </c>
      <c r="S10" t="b">
        <v>1</v>
      </c>
      <c r="T10" t="b">
        <v>1</v>
      </c>
      <c r="U10" t="b">
        <v>1</v>
      </c>
      <c r="V10" t="b">
        <v>1</v>
      </c>
    </row>
    <row r="11" spans="1:22" x14ac:dyDescent="0.3">
      <c r="A11" s="1" t="s">
        <v>30</v>
      </c>
      <c r="B11">
        <v>845.83387881855367</v>
      </c>
      <c r="C11">
        <v>1181.478580918963</v>
      </c>
      <c r="D11">
        <v>1874.38418845098</v>
      </c>
      <c r="E11">
        <v>563.46476207676244</v>
      </c>
      <c r="F11">
        <v>809.81127415114781</v>
      </c>
      <c r="G11">
        <v>1388.4127076938521</v>
      </c>
      <c r="H11">
        <v>1704.167979482148</v>
      </c>
      <c r="I11">
        <v>1732.895726398222</v>
      </c>
      <c r="J11">
        <v>1732.8957263982211</v>
      </c>
      <c r="K11">
        <v>37.543013511968297</v>
      </c>
      <c r="L11">
        <v>524.50915589034582</v>
      </c>
      <c r="M11">
        <v>524.50915589034753</v>
      </c>
      <c r="N11">
        <v>524.50915589034753</v>
      </c>
      <c r="O11">
        <v>1732.895726398222</v>
      </c>
      <c r="P11">
        <v>1732.895726398222</v>
      </c>
      <c r="Q11">
        <v>37.543013511968333</v>
      </c>
      <c r="R11">
        <v>37.543013511968333</v>
      </c>
      <c r="S11" t="b">
        <v>1</v>
      </c>
      <c r="T11" t="b">
        <v>0</v>
      </c>
      <c r="U11" t="b">
        <v>1</v>
      </c>
      <c r="V11" t="b">
        <v>0</v>
      </c>
    </row>
    <row r="12" spans="1:22" x14ac:dyDescent="0.3">
      <c r="A12" s="1" t="s">
        <v>31</v>
      </c>
      <c r="B12">
        <v>39.521350198438647</v>
      </c>
      <c r="C12">
        <v>144.7784958204372</v>
      </c>
      <c r="D12">
        <v>240.41576836266901</v>
      </c>
      <c r="E12">
        <v>53.729836850519568</v>
      </c>
      <c r="F12">
        <v>77.60951981935446</v>
      </c>
      <c r="G12">
        <v>152.03355557207581</v>
      </c>
      <c r="H12">
        <v>1940.4138452933721</v>
      </c>
      <c r="I12">
        <v>1674.1640615437409</v>
      </c>
      <c r="J12">
        <v>1674.16406154375</v>
      </c>
      <c r="K12">
        <v>7.2041610154976556</v>
      </c>
      <c r="L12">
        <v>393.81227035854431</v>
      </c>
      <c r="M12">
        <v>393.81227035854471</v>
      </c>
      <c r="N12">
        <v>393.81227035854471</v>
      </c>
      <c r="O12">
        <v>1674.16406154375</v>
      </c>
      <c r="P12">
        <v>1674.16406154375</v>
      </c>
      <c r="Q12">
        <v>7.2041610154976503</v>
      </c>
      <c r="R12">
        <v>7.2041610154976503</v>
      </c>
      <c r="S12" t="b">
        <v>1</v>
      </c>
      <c r="T12" t="b">
        <v>1</v>
      </c>
      <c r="U12" t="b">
        <v>1</v>
      </c>
      <c r="V12" t="b">
        <v>1</v>
      </c>
    </row>
    <row r="13" spans="1:22" x14ac:dyDescent="0.3">
      <c r="A13" s="1" t="s">
        <v>32</v>
      </c>
      <c r="B13">
        <v>10.392215333011031</v>
      </c>
      <c r="C13">
        <v>14.98230542803257</v>
      </c>
      <c r="D13">
        <v>23.555702622432079</v>
      </c>
      <c r="E13">
        <v>3.8936652141501189</v>
      </c>
      <c r="F13">
        <v>5.3443143661049426</v>
      </c>
      <c r="G13">
        <v>11.040532577444489</v>
      </c>
      <c r="H13">
        <v>1056.204871243408</v>
      </c>
      <c r="I13">
        <v>3491.8433807712458</v>
      </c>
      <c r="J13">
        <v>3491.8433807712472</v>
      </c>
      <c r="K13">
        <v>4.0238507329593372</v>
      </c>
      <c r="L13">
        <v>347.46857871337232</v>
      </c>
      <c r="M13">
        <v>347.46857871337352</v>
      </c>
      <c r="N13">
        <v>347.46857871337352</v>
      </c>
      <c r="O13">
        <v>3491.8433807712458</v>
      </c>
      <c r="P13">
        <v>3491.8433807712458</v>
      </c>
      <c r="Q13">
        <v>4.0238507329593061</v>
      </c>
      <c r="R13">
        <v>4.0238507329593061</v>
      </c>
      <c r="S13" t="b">
        <v>1</v>
      </c>
      <c r="T13" t="b">
        <v>1</v>
      </c>
      <c r="U13" t="b">
        <v>1</v>
      </c>
      <c r="V13" t="b">
        <v>1</v>
      </c>
    </row>
    <row r="14" spans="1:22" x14ac:dyDescent="0.3">
      <c r="A14" s="1" t="s">
        <v>33</v>
      </c>
      <c r="B14">
        <v>42.525943244409149</v>
      </c>
      <c r="C14">
        <v>57.714227678795673</v>
      </c>
      <c r="D14">
        <v>90.123505535490366</v>
      </c>
      <c r="E14">
        <v>3.204958053522823</v>
      </c>
      <c r="F14">
        <v>3.7652796317524468</v>
      </c>
      <c r="G14">
        <v>5.5237219769839001</v>
      </c>
      <c r="H14">
        <v>1673.626591376109</v>
      </c>
      <c r="I14">
        <v>3490.8553444425279</v>
      </c>
      <c r="J14">
        <v>3490.8553444425279</v>
      </c>
      <c r="K14">
        <v>16.321159637318519</v>
      </c>
      <c r="L14">
        <v>1164.1536595702439</v>
      </c>
      <c r="M14">
        <v>1164.1536595702501</v>
      </c>
      <c r="N14">
        <v>1164.1536595702501</v>
      </c>
      <c r="O14">
        <v>3490.8553444425302</v>
      </c>
      <c r="P14">
        <v>3490.8553444425302</v>
      </c>
      <c r="Q14">
        <v>16.321159637318662</v>
      </c>
      <c r="R14">
        <v>16.321159637318662</v>
      </c>
      <c r="S14" t="b">
        <v>1</v>
      </c>
      <c r="T14" t="b">
        <v>1</v>
      </c>
      <c r="U14" t="b">
        <v>1</v>
      </c>
      <c r="V14" t="b">
        <v>1</v>
      </c>
    </row>
    <row r="15" spans="1:22" x14ac:dyDescent="0.3">
      <c r="A15" s="1" t="s">
        <v>34</v>
      </c>
      <c r="B15">
        <v>86.421437306280751</v>
      </c>
      <c r="C15">
        <v>123.81964104902281</v>
      </c>
      <c r="D15">
        <v>203.99759242274601</v>
      </c>
      <c r="E15">
        <v>378.90840235344689</v>
      </c>
      <c r="F15">
        <v>788.83718716803628</v>
      </c>
      <c r="G15">
        <v>2586.8111805063531</v>
      </c>
      <c r="H15">
        <v>1132.4832865861811</v>
      </c>
      <c r="I15">
        <v>3341.9760294352482</v>
      </c>
      <c r="J15">
        <v>3341.9760294353819</v>
      </c>
      <c r="K15">
        <v>13.05558482215454</v>
      </c>
      <c r="L15">
        <v>158.7970772852251</v>
      </c>
      <c r="M15">
        <v>158.7970772852251</v>
      </c>
      <c r="N15">
        <v>159.10717369035251</v>
      </c>
      <c r="O15">
        <v>3341.976029435395</v>
      </c>
      <c r="P15">
        <v>3341.976029435446</v>
      </c>
      <c r="Q15">
        <v>13.05599496435533</v>
      </c>
      <c r="R15">
        <v>13.058421390809279</v>
      </c>
      <c r="S15" t="b">
        <v>1</v>
      </c>
      <c r="T15" t="b">
        <v>0</v>
      </c>
      <c r="U15" t="b">
        <v>1</v>
      </c>
      <c r="V15" t="b">
        <v>0</v>
      </c>
    </row>
    <row r="16" spans="1:22" x14ac:dyDescent="0.3">
      <c r="A16" s="1" t="s">
        <v>35</v>
      </c>
      <c r="B16">
        <v>613.98770553697238</v>
      </c>
      <c r="C16">
        <v>1171.209804991229</v>
      </c>
      <c r="D16">
        <v>1924.4558028711201</v>
      </c>
      <c r="E16">
        <v>268.85410499754659</v>
      </c>
      <c r="F16">
        <v>360.62312651676513</v>
      </c>
      <c r="G16">
        <v>483.19907435464012</v>
      </c>
      <c r="H16">
        <v>1212.8271215709869</v>
      </c>
      <c r="I16">
        <v>1280.427900193057</v>
      </c>
      <c r="J16">
        <v>1280.427900193057</v>
      </c>
      <c r="K16">
        <v>13.46416290322432</v>
      </c>
      <c r="L16">
        <v>379.67908894582013</v>
      </c>
      <c r="M16">
        <v>379.67908894581961</v>
      </c>
      <c r="N16">
        <v>379.67908894581961</v>
      </c>
      <c r="O16">
        <v>1280.4279001930579</v>
      </c>
      <c r="P16">
        <v>1280.4279001930579</v>
      </c>
      <c r="Q16">
        <v>13.464162903224331</v>
      </c>
      <c r="R16">
        <v>13.464162903224331</v>
      </c>
      <c r="S16" t="b">
        <v>1</v>
      </c>
      <c r="T16" t="b">
        <v>0</v>
      </c>
      <c r="U16" t="b">
        <v>1</v>
      </c>
      <c r="V16" t="b">
        <v>0</v>
      </c>
    </row>
    <row r="17" spans="1:22" x14ac:dyDescent="0.3">
      <c r="A17" s="1" t="s">
        <v>36</v>
      </c>
      <c r="B17">
        <v>32.259426086696543</v>
      </c>
      <c r="C17">
        <v>37.663372786098478</v>
      </c>
      <c r="D17">
        <v>55.01876278102641</v>
      </c>
      <c r="E17">
        <v>37.251713472718059</v>
      </c>
      <c r="F17">
        <v>54.316483774549837</v>
      </c>
      <c r="G17">
        <v>56.295375894079349</v>
      </c>
      <c r="H17">
        <v>737.87850256012723</v>
      </c>
      <c r="I17">
        <v>2143.223922851002</v>
      </c>
      <c r="J17">
        <v>2143.513518307097</v>
      </c>
      <c r="K17">
        <v>2.9674207071155232</v>
      </c>
      <c r="L17">
        <v>12.29962912705135</v>
      </c>
      <c r="M17">
        <v>12.29962912705134</v>
      </c>
      <c r="N17">
        <v>12.299956573120109</v>
      </c>
      <c r="O17">
        <v>2143.5135183070888</v>
      </c>
      <c r="P17">
        <v>2143.5135183070888</v>
      </c>
      <c r="Q17">
        <v>2.9674256073444538</v>
      </c>
      <c r="R17">
        <v>2.9674390912560842</v>
      </c>
      <c r="S17" t="b">
        <v>1</v>
      </c>
      <c r="T17" t="b">
        <v>0</v>
      </c>
      <c r="U17" t="b">
        <v>1</v>
      </c>
      <c r="V17" t="b">
        <v>0</v>
      </c>
    </row>
    <row r="18" spans="1:22" x14ac:dyDescent="0.3">
      <c r="A18" s="1" t="s">
        <v>37</v>
      </c>
      <c r="B18">
        <v>13.682411709467409</v>
      </c>
      <c r="C18">
        <v>34.129845240856149</v>
      </c>
      <c r="D18">
        <v>44.355161622617238</v>
      </c>
      <c r="E18">
        <v>26.796414069937839</v>
      </c>
      <c r="F18">
        <v>34.202447087056882</v>
      </c>
      <c r="G18">
        <v>174.68372085232269</v>
      </c>
      <c r="H18">
        <v>93.073119860966557</v>
      </c>
      <c r="I18">
        <v>1307.0869612686211</v>
      </c>
      <c r="J18">
        <v>1307.0869612685981</v>
      </c>
      <c r="K18">
        <v>2.2685546337840732</v>
      </c>
      <c r="L18">
        <v>177.1392102046658</v>
      </c>
      <c r="M18">
        <v>177.13921020466549</v>
      </c>
      <c r="N18">
        <v>177.49664136260381</v>
      </c>
      <c r="O18">
        <v>1307.0869612685999</v>
      </c>
      <c r="P18">
        <v>1307.086961268667</v>
      </c>
      <c r="Q18">
        <v>2.268588097410182</v>
      </c>
      <c r="R18">
        <v>2.2688496791915602</v>
      </c>
      <c r="S18" t="b">
        <v>1</v>
      </c>
      <c r="T18" t="b">
        <v>1</v>
      </c>
      <c r="U18" t="b">
        <v>1</v>
      </c>
      <c r="V18" t="b">
        <v>1</v>
      </c>
    </row>
    <row r="19" spans="1:22" x14ac:dyDescent="0.3">
      <c r="A19" s="1" t="s">
        <v>38</v>
      </c>
      <c r="B19">
        <v>89.530381856907383</v>
      </c>
      <c r="C19">
        <v>253.9996967626121</v>
      </c>
      <c r="D19">
        <v>375.76773007811153</v>
      </c>
      <c r="E19">
        <v>315.45815238646611</v>
      </c>
      <c r="F19">
        <v>480.13873271073288</v>
      </c>
      <c r="G19">
        <v>2692.8297696468112</v>
      </c>
      <c r="H19">
        <v>555.70505066519343</v>
      </c>
      <c r="I19">
        <v>1236.317528419853</v>
      </c>
      <c r="J19">
        <v>1236.3175284198501</v>
      </c>
      <c r="K19">
        <v>12.042681122281</v>
      </c>
      <c r="L19">
        <v>373.4964798773193</v>
      </c>
      <c r="M19">
        <v>373.49647987731822</v>
      </c>
      <c r="N19">
        <v>373.73783811319532</v>
      </c>
      <c r="O19">
        <v>1236.317528419851</v>
      </c>
      <c r="P19">
        <v>1236.3175284199961</v>
      </c>
      <c r="Q19">
        <v>12.04277178164625</v>
      </c>
      <c r="R19">
        <v>12.04339555968464</v>
      </c>
      <c r="S19" t="b">
        <v>1</v>
      </c>
      <c r="T19" t="b">
        <v>1</v>
      </c>
      <c r="U19" t="b">
        <v>1</v>
      </c>
      <c r="V19" t="b">
        <v>1</v>
      </c>
    </row>
    <row r="20" spans="1:22" x14ac:dyDescent="0.3">
      <c r="A20" s="1" t="s">
        <v>39</v>
      </c>
      <c r="B20">
        <v>82.641622283341789</v>
      </c>
      <c r="C20">
        <v>212.28556652948001</v>
      </c>
      <c r="D20">
        <v>324.64560594244989</v>
      </c>
      <c r="E20">
        <v>109.91496198115701</v>
      </c>
      <c r="F20">
        <v>153.9617557633114</v>
      </c>
      <c r="G20">
        <v>519.28747198957353</v>
      </c>
      <c r="H20">
        <v>311.65823772904758</v>
      </c>
      <c r="I20">
        <v>1034.9607528016711</v>
      </c>
      <c r="J20">
        <v>1034.960752801672</v>
      </c>
      <c r="K20">
        <v>9.6902657345603078</v>
      </c>
      <c r="L20">
        <v>180.13172251470189</v>
      </c>
      <c r="M20">
        <v>180.13172251470169</v>
      </c>
      <c r="N20">
        <v>180.22435547387531</v>
      </c>
      <c r="O20">
        <v>1034.9607528016729</v>
      </c>
      <c r="P20">
        <v>1034.9607528016529</v>
      </c>
      <c r="Q20">
        <v>9.6903241880862989</v>
      </c>
      <c r="R20">
        <v>9.6907196320345488</v>
      </c>
      <c r="S20" t="b">
        <v>1</v>
      </c>
      <c r="T20" t="b">
        <v>1</v>
      </c>
      <c r="U20" t="b">
        <v>1</v>
      </c>
      <c r="V20" t="b">
        <v>1</v>
      </c>
    </row>
    <row r="21" spans="1:22" x14ac:dyDescent="0.3">
      <c r="A21" s="1" t="s">
        <v>40</v>
      </c>
      <c r="B21">
        <v>402.54717244395522</v>
      </c>
      <c r="C21">
        <v>528.65378872470012</v>
      </c>
      <c r="D21">
        <v>883.99676870033181</v>
      </c>
      <c r="E21">
        <v>305.53439234370012</v>
      </c>
      <c r="F21">
        <v>463.4342550601454</v>
      </c>
      <c r="G21">
        <v>709.09258303296428</v>
      </c>
      <c r="H21">
        <v>825.07414110792195</v>
      </c>
      <c r="I21">
        <v>1054.6418938836609</v>
      </c>
      <c r="J21">
        <v>1054.6418938836609</v>
      </c>
      <c r="K21">
        <v>20.899250133561701</v>
      </c>
      <c r="L21">
        <v>225.9463539003784</v>
      </c>
      <c r="M21">
        <v>225.94635390037851</v>
      </c>
      <c r="N21">
        <v>225.94635390037851</v>
      </c>
      <c r="O21">
        <v>1054.6418938836621</v>
      </c>
      <c r="P21">
        <v>1054.6418938836621</v>
      </c>
      <c r="Q21">
        <v>20.899250133561701</v>
      </c>
      <c r="R21">
        <v>20.899250133561701</v>
      </c>
      <c r="S21" t="b">
        <v>1</v>
      </c>
      <c r="T21" t="b">
        <v>1</v>
      </c>
      <c r="U21" t="b">
        <v>1</v>
      </c>
      <c r="V21" t="b">
        <v>1</v>
      </c>
    </row>
    <row r="22" spans="1:22" x14ac:dyDescent="0.3">
      <c r="A22" s="1" t="s">
        <v>41</v>
      </c>
      <c r="B22">
        <v>37.640690295223543</v>
      </c>
      <c r="C22">
        <v>103.3005885733421</v>
      </c>
      <c r="D22">
        <v>143.0173870313595</v>
      </c>
      <c r="E22">
        <v>367.14641173969568</v>
      </c>
      <c r="F22">
        <v>587.34113832633795</v>
      </c>
      <c r="G22">
        <v>2268.414871137903</v>
      </c>
      <c r="H22">
        <v>309.41422531613028</v>
      </c>
      <c r="I22">
        <v>316.96177954404072</v>
      </c>
      <c r="J22">
        <v>316.9617795440405</v>
      </c>
      <c r="K22">
        <v>4.2824118006361953</v>
      </c>
      <c r="L22">
        <v>30.261875834563352</v>
      </c>
      <c r="M22">
        <v>30.26187583456332</v>
      </c>
      <c r="N22">
        <v>30.267184614968581</v>
      </c>
      <c r="O22">
        <v>316.96177954404061</v>
      </c>
      <c r="P22">
        <v>316.96177954405408</v>
      </c>
      <c r="Q22">
        <v>4.2824454891956014</v>
      </c>
      <c r="R22">
        <v>4.2825201623149818</v>
      </c>
      <c r="S22" t="b">
        <v>1</v>
      </c>
      <c r="T22" t="b">
        <v>1</v>
      </c>
      <c r="U22" t="b">
        <v>1</v>
      </c>
      <c r="V22" t="b">
        <v>1</v>
      </c>
    </row>
    <row r="23" spans="1:22" x14ac:dyDescent="0.3">
      <c r="A23" s="1" t="s">
        <v>42</v>
      </c>
      <c r="B23">
        <v>57.059552373186129</v>
      </c>
      <c r="C23">
        <v>130.28752848190561</v>
      </c>
      <c r="D23">
        <v>176.6683965579839</v>
      </c>
      <c r="E23">
        <v>30.284126433027101</v>
      </c>
      <c r="F23">
        <v>36.912361790051158</v>
      </c>
      <c r="G23">
        <v>73.594690044800856</v>
      </c>
      <c r="H23">
        <v>364.01500172499419</v>
      </c>
      <c r="I23">
        <v>1097.138287300163</v>
      </c>
      <c r="J23">
        <v>1097.138287300163</v>
      </c>
      <c r="K23">
        <v>21.08350519497937</v>
      </c>
      <c r="L23">
        <v>607.56822965186973</v>
      </c>
      <c r="M23">
        <v>607.56822965187064</v>
      </c>
      <c r="N23">
        <v>620.86664637897911</v>
      </c>
      <c r="O23">
        <v>1097.1382873001639</v>
      </c>
      <c r="P23">
        <v>1097.1382873001651</v>
      </c>
      <c r="Q23">
        <v>21.137021915849552</v>
      </c>
      <c r="R23">
        <v>22.00478279999723</v>
      </c>
      <c r="S23" t="b">
        <v>1</v>
      </c>
      <c r="T23" t="b">
        <v>1</v>
      </c>
      <c r="U23" t="b">
        <v>1</v>
      </c>
      <c r="V23" t="b">
        <v>1</v>
      </c>
    </row>
    <row r="24" spans="1:22" x14ac:dyDescent="0.3">
      <c r="A24" s="1" t="s">
        <v>43</v>
      </c>
      <c r="B24">
        <v>962.99432812300063</v>
      </c>
      <c r="C24">
        <v>1207.442372386309</v>
      </c>
      <c r="D24">
        <v>1866.033855756242</v>
      </c>
      <c r="E24">
        <v>369.09948722556061</v>
      </c>
      <c r="F24">
        <v>491.55363715614362</v>
      </c>
      <c r="G24">
        <v>1101.5368034084311</v>
      </c>
      <c r="H24">
        <v>2839.518466449174</v>
      </c>
      <c r="I24">
        <v>3629.609724004431</v>
      </c>
      <c r="J24">
        <v>3629.609724004431</v>
      </c>
      <c r="K24">
        <v>32.216995619526386</v>
      </c>
      <c r="L24">
        <v>894.4791044888002</v>
      </c>
      <c r="M24">
        <v>894.47910448879861</v>
      </c>
      <c r="N24">
        <v>899.12005937183289</v>
      </c>
      <c r="O24">
        <v>3629.609724004431</v>
      </c>
      <c r="P24">
        <v>3629.609724004431</v>
      </c>
      <c r="Q24">
        <v>32.221700031538631</v>
      </c>
      <c r="R24">
        <v>32.237456345891673</v>
      </c>
      <c r="S24" t="b">
        <v>1</v>
      </c>
      <c r="T24" t="b">
        <v>0</v>
      </c>
      <c r="U24" t="b">
        <v>1</v>
      </c>
      <c r="V24" t="b">
        <v>0</v>
      </c>
    </row>
    <row r="25" spans="1:22" x14ac:dyDescent="0.3">
      <c r="A25" s="1" t="s">
        <v>44</v>
      </c>
      <c r="B25">
        <v>382.06393947159728</v>
      </c>
      <c r="C25">
        <v>752.78037527937988</v>
      </c>
      <c r="D25">
        <v>1018.878295454545</v>
      </c>
      <c r="E25">
        <v>432.51929458400281</v>
      </c>
      <c r="F25">
        <v>523.47751613016408</v>
      </c>
      <c r="G25">
        <v>727.3445151903079</v>
      </c>
      <c r="H25">
        <v>1541.6947708298969</v>
      </c>
      <c r="I25">
        <v>1483.044688748043</v>
      </c>
      <c r="J25">
        <v>1483.0446860985171</v>
      </c>
      <c r="K25">
        <v>400.44061644208517</v>
      </c>
      <c r="L25">
        <v>2062.3103451272332</v>
      </c>
      <c r="M25">
        <v>2062.3103451271841</v>
      </c>
      <c r="N25">
        <v>2062.3103451271841</v>
      </c>
      <c r="O25">
        <v>1483.0445780756961</v>
      </c>
      <c r="P25">
        <v>1483.0445780756961</v>
      </c>
      <c r="Q25">
        <v>400.4406164420858</v>
      </c>
      <c r="R25">
        <v>400.4406164420858</v>
      </c>
      <c r="S25" t="b">
        <v>1</v>
      </c>
      <c r="T25" t="b">
        <v>1</v>
      </c>
      <c r="U25" t="b">
        <v>1</v>
      </c>
      <c r="V25" t="b">
        <v>1</v>
      </c>
    </row>
    <row r="26" spans="1:22" x14ac:dyDescent="0.3">
      <c r="A26" s="1" t="s">
        <v>45</v>
      </c>
      <c r="B26">
        <v>3827.9846740382841</v>
      </c>
      <c r="C26">
        <v>5607.293641152135</v>
      </c>
      <c r="D26">
        <v>9048.8840927310121</v>
      </c>
      <c r="E26">
        <v>4517.183824409939</v>
      </c>
      <c r="F26">
        <v>6841.9980228281784</v>
      </c>
      <c r="G26">
        <v>9709.4097726433574</v>
      </c>
      <c r="H26">
        <v>3777.276865896737</v>
      </c>
      <c r="I26">
        <v>7953.0333298657824</v>
      </c>
      <c r="J26">
        <v>7953.0333298657924</v>
      </c>
      <c r="K26">
        <v>2187.409659096355</v>
      </c>
      <c r="L26">
        <v>7224.3095904427973</v>
      </c>
      <c r="M26">
        <v>7224.3095904428046</v>
      </c>
      <c r="N26">
        <v>7224.3095904428046</v>
      </c>
      <c r="O26">
        <v>7953.033329865787</v>
      </c>
      <c r="P26">
        <v>7953.033329865787</v>
      </c>
      <c r="Q26">
        <v>2187.4096590963541</v>
      </c>
      <c r="R26">
        <v>2187.4096590963541</v>
      </c>
      <c r="S26" t="b">
        <v>1</v>
      </c>
      <c r="T26" t="b">
        <v>1</v>
      </c>
      <c r="U26" t="b">
        <v>1</v>
      </c>
      <c r="V26" t="b">
        <v>1</v>
      </c>
    </row>
    <row r="27" spans="1:22" x14ac:dyDescent="0.3">
      <c r="A27" s="1" t="s">
        <v>46</v>
      </c>
      <c r="B27">
        <v>5169.59049059073</v>
      </c>
      <c r="C27">
        <v>7951.3928205325637</v>
      </c>
      <c r="D27">
        <v>12419.978457221619</v>
      </c>
      <c r="E27">
        <v>4155.9297761804419</v>
      </c>
      <c r="F27">
        <v>5929.1402659973701</v>
      </c>
      <c r="G27">
        <v>11221.336561941471</v>
      </c>
      <c r="H27">
        <v>65007.829097013353</v>
      </c>
      <c r="I27">
        <v>44625.135976185949</v>
      </c>
      <c r="J27">
        <v>44625.135976185993</v>
      </c>
      <c r="K27">
        <v>2491.1863627522098</v>
      </c>
      <c r="L27">
        <v>16096.8222890957</v>
      </c>
      <c r="M27">
        <v>16096.8222890956</v>
      </c>
      <c r="N27">
        <v>16096.8222890956</v>
      </c>
      <c r="O27">
        <v>44625.135976186</v>
      </c>
      <c r="P27">
        <v>44625.135976186</v>
      </c>
      <c r="Q27">
        <v>2491.1863627522048</v>
      </c>
      <c r="R27">
        <v>2491.1863627522048</v>
      </c>
      <c r="S27" t="b">
        <v>1</v>
      </c>
      <c r="T27" t="b">
        <v>0</v>
      </c>
      <c r="U27" t="b">
        <v>1</v>
      </c>
      <c r="V27" t="b">
        <v>0</v>
      </c>
    </row>
    <row r="28" spans="1:22" x14ac:dyDescent="0.3">
      <c r="A28" s="1" t="s">
        <v>47</v>
      </c>
      <c r="B28">
        <v>470.90183903731929</v>
      </c>
      <c r="C28">
        <v>560.78826741642365</v>
      </c>
      <c r="D28">
        <v>883.47467475934013</v>
      </c>
      <c r="E28">
        <v>122.1546510059207</v>
      </c>
      <c r="F28">
        <v>158.47264586151971</v>
      </c>
      <c r="G28">
        <v>190.0511114174324</v>
      </c>
      <c r="H28">
        <v>531.37130010597002</v>
      </c>
      <c r="I28">
        <v>797.28980317295577</v>
      </c>
      <c r="J28">
        <v>797.28980317295589</v>
      </c>
      <c r="K28">
        <v>15.836486054875961</v>
      </c>
      <c r="L28">
        <v>462.21721042744548</v>
      </c>
      <c r="M28">
        <v>462.21721042744542</v>
      </c>
      <c r="N28">
        <v>462.21721042744542</v>
      </c>
      <c r="O28">
        <v>797.28980317295634</v>
      </c>
      <c r="P28">
        <v>797.28980317295634</v>
      </c>
      <c r="Q28">
        <v>15.836486054875961</v>
      </c>
      <c r="R28">
        <v>15.836486054875961</v>
      </c>
      <c r="S28" t="b">
        <v>1</v>
      </c>
      <c r="T28" t="b">
        <v>1</v>
      </c>
      <c r="U28" t="b">
        <v>1</v>
      </c>
      <c r="V28" t="b">
        <v>1</v>
      </c>
    </row>
    <row r="29" spans="1:22" x14ac:dyDescent="0.3">
      <c r="A29" s="1" t="s">
        <v>48</v>
      </c>
      <c r="B29">
        <v>975.73925019578155</v>
      </c>
      <c r="C29">
        <v>1621.1022626543529</v>
      </c>
      <c r="D29">
        <v>2829.5304593226551</v>
      </c>
      <c r="E29">
        <v>1445.475452402844</v>
      </c>
      <c r="F29">
        <v>2467.9412469962358</v>
      </c>
      <c r="G29">
        <v>3203.2925133076319</v>
      </c>
      <c r="H29">
        <v>1378.202349742279</v>
      </c>
      <c r="I29">
        <v>4270.8482765119779</v>
      </c>
      <c r="J29">
        <v>4270.8482765119779</v>
      </c>
      <c r="K29">
        <v>56.495848710269627</v>
      </c>
      <c r="L29">
        <v>1958.9055490523181</v>
      </c>
      <c r="M29">
        <v>1958.905549052319</v>
      </c>
      <c r="N29">
        <v>1958.905549052319</v>
      </c>
      <c r="O29">
        <v>4270.8482765119797</v>
      </c>
      <c r="P29">
        <v>4270.8482765119797</v>
      </c>
      <c r="Q29">
        <v>56.495848710269627</v>
      </c>
      <c r="R29">
        <v>56.495848710269627</v>
      </c>
      <c r="S29" t="b">
        <v>1</v>
      </c>
      <c r="T29" t="b">
        <v>1</v>
      </c>
      <c r="U29" t="b">
        <v>1</v>
      </c>
      <c r="V29" t="b">
        <v>1</v>
      </c>
    </row>
    <row r="30" spans="1:22" x14ac:dyDescent="0.3">
      <c r="A30" s="1" t="s">
        <v>49</v>
      </c>
      <c r="B30">
        <v>100.9525925111982</v>
      </c>
      <c r="C30">
        <v>177.13612899627921</v>
      </c>
      <c r="D30">
        <v>280.24985200852262</v>
      </c>
      <c r="E30">
        <v>301.78995289087379</v>
      </c>
      <c r="F30">
        <v>515.86241404133352</v>
      </c>
      <c r="G30">
        <v>1832.9977788583799</v>
      </c>
      <c r="H30">
        <v>981.29702515389647</v>
      </c>
      <c r="I30">
        <v>1711.19174275925</v>
      </c>
      <c r="J30">
        <v>1711.1917427592471</v>
      </c>
      <c r="K30">
        <v>8.1839610081175298</v>
      </c>
      <c r="L30">
        <v>513.90750391882773</v>
      </c>
      <c r="M30">
        <v>513.90750391882739</v>
      </c>
      <c r="N30">
        <v>513.90750391882739</v>
      </c>
      <c r="O30">
        <v>1711.191742759245</v>
      </c>
      <c r="P30">
        <v>1711.191742759245</v>
      </c>
      <c r="Q30">
        <v>8.1839610081175351</v>
      </c>
      <c r="R30">
        <v>8.1839610081175351</v>
      </c>
      <c r="S30" t="b">
        <v>1</v>
      </c>
      <c r="T30" t="b">
        <v>1</v>
      </c>
      <c r="U30" t="b">
        <v>1</v>
      </c>
      <c r="V30" t="b">
        <v>1</v>
      </c>
    </row>
    <row r="31" spans="1:22" x14ac:dyDescent="0.3">
      <c r="A31" s="1" t="s">
        <v>50</v>
      </c>
      <c r="B31">
        <v>217.86581282268679</v>
      </c>
      <c r="C31">
        <v>254.37960184876019</v>
      </c>
      <c r="D31">
        <v>455.17714345623301</v>
      </c>
      <c r="E31">
        <v>71.135249215938458</v>
      </c>
      <c r="F31">
        <v>92.43596904425587</v>
      </c>
      <c r="G31">
        <v>105.6017322800876</v>
      </c>
      <c r="H31">
        <v>189.77991988818169</v>
      </c>
      <c r="I31">
        <v>1520.1236581738931</v>
      </c>
      <c r="J31">
        <v>1520.123658173896</v>
      </c>
      <c r="K31">
        <v>35.082603024738098</v>
      </c>
      <c r="L31">
        <v>149.38191488848139</v>
      </c>
      <c r="M31">
        <v>149.38191488848159</v>
      </c>
      <c r="N31">
        <v>149.38191488848159</v>
      </c>
      <c r="O31">
        <v>1520.1236581738981</v>
      </c>
      <c r="P31">
        <v>1520.1236581738981</v>
      </c>
      <c r="Q31">
        <v>35.082603024738113</v>
      </c>
      <c r="R31">
        <v>35.082603024738113</v>
      </c>
      <c r="S31" t="b">
        <v>1</v>
      </c>
      <c r="T31" t="b">
        <v>1</v>
      </c>
      <c r="U31" t="b">
        <v>1</v>
      </c>
      <c r="V31" t="b">
        <v>1</v>
      </c>
    </row>
    <row r="32" spans="1:22" x14ac:dyDescent="0.3">
      <c r="A32" s="1" t="s">
        <v>51</v>
      </c>
      <c r="B32">
        <v>739.07739184014758</v>
      </c>
      <c r="C32">
        <v>902.14996060508838</v>
      </c>
      <c r="D32">
        <v>1362.5106549988111</v>
      </c>
      <c r="E32">
        <v>163.00469034346219</v>
      </c>
      <c r="F32">
        <v>191.48690623349259</v>
      </c>
      <c r="G32">
        <v>299.12066817735348</v>
      </c>
      <c r="H32">
        <v>269.3278175197978</v>
      </c>
      <c r="I32">
        <v>1974.323741381837</v>
      </c>
      <c r="J32">
        <v>1974.3237413818381</v>
      </c>
      <c r="K32">
        <v>103.0620131111539</v>
      </c>
      <c r="L32">
        <v>661.42229301506768</v>
      </c>
      <c r="M32">
        <v>661.42229301506791</v>
      </c>
      <c r="N32">
        <v>661.42229301506791</v>
      </c>
      <c r="O32">
        <v>1974.323741381837</v>
      </c>
      <c r="P32">
        <v>1974.323741381837</v>
      </c>
      <c r="Q32">
        <v>103.0620131111539</v>
      </c>
      <c r="R32">
        <v>103.0620131111539</v>
      </c>
      <c r="S32" t="b">
        <v>1</v>
      </c>
      <c r="T32" t="b">
        <v>1</v>
      </c>
      <c r="U32" t="b">
        <v>1</v>
      </c>
      <c r="V32" t="b">
        <v>1</v>
      </c>
    </row>
    <row r="33" spans="1:22" x14ac:dyDescent="0.3">
      <c r="A33" s="1" t="s">
        <v>52</v>
      </c>
      <c r="B33">
        <v>43.452103134741179</v>
      </c>
      <c r="C33">
        <v>60.158293870362563</v>
      </c>
      <c r="D33">
        <v>92.126572633719093</v>
      </c>
      <c r="E33">
        <v>54.895182411258787</v>
      </c>
      <c r="F33">
        <v>82.543217670096425</v>
      </c>
      <c r="G33">
        <v>155.24525537140761</v>
      </c>
      <c r="H33">
        <v>221.2676603599399</v>
      </c>
      <c r="I33">
        <v>530.73107835886867</v>
      </c>
      <c r="J33">
        <v>530.7310783588689</v>
      </c>
      <c r="K33">
        <v>7.9392716500536187</v>
      </c>
      <c r="L33">
        <v>76.384983567289794</v>
      </c>
      <c r="M33">
        <v>76.384983567289837</v>
      </c>
      <c r="N33">
        <v>76.384983567289837</v>
      </c>
      <c r="O33">
        <v>530.73107835886913</v>
      </c>
      <c r="P33">
        <v>530.73107835886913</v>
      </c>
      <c r="Q33">
        <v>7.9392716500536196</v>
      </c>
      <c r="R33">
        <v>7.9392716500536196</v>
      </c>
      <c r="S33" t="b">
        <v>1</v>
      </c>
      <c r="T33" t="b">
        <v>1</v>
      </c>
      <c r="U33" t="b">
        <v>1</v>
      </c>
      <c r="V33" t="b">
        <v>1</v>
      </c>
    </row>
    <row r="34" spans="1:22" x14ac:dyDescent="0.3">
      <c r="A34" s="1" t="s">
        <v>53</v>
      </c>
      <c r="B34">
        <v>142.69003005878309</v>
      </c>
      <c r="C34">
        <v>172.7381325228404</v>
      </c>
      <c r="D34">
        <v>307.24696340253058</v>
      </c>
      <c r="E34">
        <v>145.27972215172579</v>
      </c>
      <c r="F34">
        <v>249.20182070396089</v>
      </c>
      <c r="G34">
        <v>392.23220810333908</v>
      </c>
      <c r="H34">
        <v>496.76900977568698</v>
      </c>
      <c r="I34">
        <v>1279.974039343811</v>
      </c>
      <c r="J34">
        <v>1279.974039343811</v>
      </c>
      <c r="K34">
        <v>94.723749518491658</v>
      </c>
      <c r="L34">
        <v>1051.1017645540801</v>
      </c>
      <c r="M34">
        <v>1051.101764554079</v>
      </c>
      <c r="N34">
        <v>1051.101764554079</v>
      </c>
      <c r="O34">
        <v>1279.974039343813</v>
      </c>
      <c r="P34">
        <v>1279.974039343813</v>
      </c>
      <c r="Q34">
        <v>94.723749518492042</v>
      </c>
      <c r="R34">
        <v>94.723749518492042</v>
      </c>
      <c r="S34" t="b">
        <v>1</v>
      </c>
      <c r="T34" t="b">
        <v>1</v>
      </c>
      <c r="U34" t="b">
        <v>1</v>
      </c>
      <c r="V34" t="b">
        <v>1</v>
      </c>
    </row>
    <row r="35" spans="1:22" x14ac:dyDescent="0.3">
      <c r="A35" s="1" t="s">
        <v>54</v>
      </c>
      <c r="B35">
        <v>61.658732051480591</v>
      </c>
      <c r="C35">
        <v>61.658732051480591</v>
      </c>
      <c r="D35">
        <v>113.7549705557801</v>
      </c>
      <c r="E35">
        <v>11.26401565696824</v>
      </c>
      <c r="F35">
        <v>15.270518806787839</v>
      </c>
      <c r="G35">
        <v>20.910561981849408</v>
      </c>
      <c r="H35">
        <v>67.891572321754495</v>
      </c>
      <c r="I35">
        <v>1025.8565439719421</v>
      </c>
      <c r="J35">
        <v>1025.856543971958</v>
      </c>
      <c r="K35">
        <v>2.7171229169751761</v>
      </c>
      <c r="L35">
        <v>13.42794376401849</v>
      </c>
      <c r="M35">
        <v>13.427943764018449</v>
      </c>
      <c r="N35">
        <v>13.427943764018449</v>
      </c>
      <c r="O35">
        <v>1025.856543971955</v>
      </c>
      <c r="P35">
        <v>1025.856543971955</v>
      </c>
      <c r="Q35">
        <v>2.7171229169751778</v>
      </c>
      <c r="R35">
        <v>2.7171229169751778</v>
      </c>
      <c r="S35" t="b">
        <v>1</v>
      </c>
      <c r="T35" t="b">
        <v>0</v>
      </c>
      <c r="U35" t="b">
        <v>1</v>
      </c>
      <c r="V35" t="b">
        <v>0</v>
      </c>
    </row>
    <row r="36" spans="1:22" x14ac:dyDescent="0.3">
      <c r="A36" s="1" t="s">
        <v>55</v>
      </c>
      <c r="B36">
        <v>210.9554719262147</v>
      </c>
      <c r="C36">
        <v>432.4204918435517</v>
      </c>
      <c r="D36">
        <v>633.35246125251001</v>
      </c>
      <c r="E36">
        <v>53.180548928582567</v>
      </c>
      <c r="F36">
        <v>64.20027248414344</v>
      </c>
      <c r="G36">
        <v>124.3343434834443</v>
      </c>
      <c r="H36">
        <v>1307.922864227568</v>
      </c>
      <c r="I36">
        <v>6548.4601380330278</v>
      </c>
      <c r="J36">
        <v>6548.4601380324457</v>
      </c>
      <c r="K36">
        <v>155.73263897572599</v>
      </c>
      <c r="L36">
        <v>1614.970325922312</v>
      </c>
      <c r="M36">
        <v>1614.970325922307</v>
      </c>
      <c r="N36">
        <v>1614.970325922307</v>
      </c>
      <c r="O36">
        <v>6548.4601380325839</v>
      </c>
      <c r="P36">
        <v>6548.4601380325839</v>
      </c>
      <c r="Q36">
        <v>155.7326389757263</v>
      </c>
      <c r="R36">
        <v>155.7326389757263</v>
      </c>
      <c r="S36" t="b">
        <v>1</v>
      </c>
      <c r="T36" t="b">
        <v>1</v>
      </c>
      <c r="U36" t="b">
        <v>1</v>
      </c>
      <c r="V36" t="b">
        <v>1</v>
      </c>
    </row>
    <row r="37" spans="1:22" x14ac:dyDescent="0.3">
      <c r="A37" s="1" t="s">
        <v>56</v>
      </c>
      <c r="B37">
        <v>22185.966795701868</v>
      </c>
      <c r="C37">
        <v>56343.245304171141</v>
      </c>
      <c r="D37">
        <v>91951.24861285607</v>
      </c>
      <c r="E37">
        <v>8004.5033859726518</v>
      </c>
      <c r="F37">
        <v>9175.6507934167657</v>
      </c>
      <c r="G37">
        <v>13349.766704442</v>
      </c>
      <c r="H37">
        <v>61728.38898010616</v>
      </c>
      <c r="I37">
        <v>48385.370773500857</v>
      </c>
      <c r="J37">
        <v>48385.37077350093</v>
      </c>
      <c r="K37">
        <v>22598.55365261648</v>
      </c>
      <c r="L37">
        <v>47511.846698884379</v>
      </c>
      <c r="M37">
        <v>47511.846698884459</v>
      </c>
      <c r="N37">
        <v>47511.846698884459</v>
      </c>
      <c r="O37">
        <v>48385.370773500908</v>
      </c>
      <c r="P37">
        <v>48385.370773500908</v>
      </c>
      <c r="Q37">
        <v>22598.553652616491</v>
      </c>
      <c r="R37">
        <v>22598.553652616491</v>
      </c>
      <c r="S37" t="b">
        <v>1</v>
      </c>
      <c r="T37" t="b">
        <v>1</v>
      </c>
      <c r="U37" t="b">
        <v>1</v>
      </c>
      <c r="V37" t="b">
        <v>1</v>
      </c>
    </row>
    <row r="38" spans="1:22" x14ac:dyDescent="0.3">
      <c r="A38" s="1" t="s">
        <v>57</v>
      </c>
      <c r="B38">
        <v>280.28217111146103</v>
      </c>
      <c r="C38">
        <v>457.99830944602093</v>
      </c>
      <c r="D38">
        <v>718.57728103275974</v>
      </c>
      <c r="E38">
        <v>247.17951732466759</v>
      </c>
      <c r="F38">
        <v>350.05829226774108</v>
      </c>
      <c r="G38">
        <v>427.58849886461189</v>
      </c>
      <c r="H38">
        <v>847.71706564677004</v>
      </c>
      <c r="I38">
        <v>2451.2333392504938</v>
      </c>
      <c r="J38">
        <v>2451.2333392504952</v>
      </c>
      <c r="K38">
        <v>39.90866416976327</v>
      </c>
      <c r="L38">
        <v>1691.8457235443479</v>
      </c>
      <c r="M38">
        <v>1691.8457235443479</v>
      </c>
      <c r="N38">
        <v>1691.8457235443479</v>
      </c>
      <c r="O38">
        <v>2451.2333392504961</v>
      </c>
      <c r="P38">
        <v>2451.2333392504961</v>
      </c>
      <c r="Q38">
        <v>39.90866416976327</v>
      </c>
      <c r="R38">
        <v>39.90866416976327</v>
      </c>
      <c r="S38" t="b">
        <v>1</v>
      </c>
      <c r="T38" t="b">
        <v>1</v>
      </c>
      <c r="U38" t="b">
        <v>1</v>
      </c>
      <c r="V38" t="b">
        <v>1</v>
      </c>
    </row>
    <row r="39" spans="1:22" x14ac:dyDescent="0.3">
      <c r="A39" s="1" t="s">
        <v>58</v>
      </c>
      <c r="B39">
        <v>465.21182871350828</v>
      </c>
      <c r="C39">
        <v>1020.138096257316</v>
      </c>
      <c r="D39">
        <v>1410.988933141512</v>
      </c>
      <c r="E39">
        <v>105.757737049064</v>
      </c>
      <c r="F39">
        <v>118.5544178821939</v>
      </c>
      <c r="G39">
        <v>126.15431713182601</v>
      </c>
      <c r="H39">
        <v>1202.5734760817909</v>
      </c>
      <c r="I39">
        <v>1618.1996631845591</v>
      </c>
      <c r="J39">
        <v>1618.19966318456</v>
      </c>
      <c r="K39">
        <v>54.716531341327801</v>
      </c>
      <c r="L39">
        <v>655.26292563456218</v>
      </c>
      <c r="M39">
        <v>655.26292563456218</v>
      </c>
      <c r="N39">
        <v>655.26292563456218</v>
      </c>
      <c r="O39">
        <v>1618.19966318456</v>
      </c>
      <c r="P39">
        <v>1618.19966318456</v>
      </c>
      <c r="Q39">
        <v>54.716531341327837</v>
      </c>
      <c r="R39">
        <v>54.716531341327837</v>
      </c>
      <c r="S39" t="b">
        <v>1</v>
      </c>
      <c r="T39" t="b">
        <v>1</v>
      </c>
      <c r="U39" t="b">
        <v>1</v>
      </c>
      <c r="V39" t="b">
        <v>1</v>
      </c>
    </row>
    <row r="40" spans="1:22" x14ac:dyDescent="0.3">
      <c r="A40" s="1" t="s">
        <v>59</v>
      </c>
      <c r="B40">
        <v>270.01419347621339</v>
      </c>
      <c r="C40">
        <v>525.87206070719662</v>
      </c>
      <c r="D40">
        <v>837.88813431301901</v>
      </c>
      <c r="E40">
        <v>122.9399836229066</v>
      </c>
      <c r="F40">
        <v>162.12397357111439</v>
      </c>
      <c r="G40">
        <v>332.02402167588718</v>
      </c>
      <c r="H40">
        <v>698.4532113537698</v>
      </c>
      <c r="I40">
        <v>724.26047151210969</v>
      </c>
      <c r="J40">
        <v>724.26047151210969</v>
      </c>
      <c r="K40">
        <v>25.8658061774074</v>
      </c>
      <c r="L40">
        <v>475.2483293346138</v>
      </c>
      <c r="M40">
        <v>475.24832933461369</v>
      </c>
      <c r="N40">
        <v>475.24832933461369</v>
      </c>
      <c r="O40">
        <v>724.26047151210992</v>
      </c>
      <c r="P40">
        <v>724.26047151210992</v>
      </c>
      <c r="Q40">
        <v>25.8658061774074</v>
      </c>
      <c r="R40">
        <v>25.8658061774074</v>
      </c>
      <c r="S40" t="b">
        <v>1</v>
      </c>
      <c r="T40" t="b">
        <v>1</v>
      </c>
      <c r="U40" t="b">
        <v>1</v>
      </c>
      <c r="V40" t="b">
        <v>1</v>
      </c>
    </row>
    <row r="41" spans="1:22" x14ac:dyDescent="0.3">
      <c r="A41" s="1" t="s">
        <v>60</v>
      </c>
      <c r="B41">
        <v>139.5911175840499</v>
      </c>
      <c r="C41">
        <v>238.1371920939437</v>
      </c>
      <c r="D41">
        <v>421.82872287256509</v>
      </c>
      <c r="E41">
        <v>151.375952984625</v>
      </c>
      <c r="F41">
        <v>238.41804910917759</v>
      </c>
      <c r="G41">
        <v>258.09375015418613</v>
      </c>
      <c r="H41">
        <v>2637.701602725449</v>
      </c>
      <c r="I41">
        <v>13568.365911944729</v>
      </c>
      <c r="J41">
        <v>13568.365911944749</v>
      </c>
      <c r="K41">
        <v>31.92306590926998</v>
      </c>
      <c r="L41">
        <v>584.58817896227924</v>
      </c>
      <c r="M41">
        <v>584.58817896227913</v>
      </c>
      <c r="N41">
        <v>584.58817896227913</v>
      </c>
      <c r="O41">
        <v>13568.36591194474</v>
      </c>
      <c r="P41">
        <v>13568.36591194474</v>
      </c>
      <c r="Q41">
        <v>31.923065909269951</v>
      </c>
      <c r="R41">
        <v>31.923065909269951</v>
      </c>
      <c r="S41" t="b">
        <v>1</v>
      </c>
      <c r="T41" t="b">
        <v>1</v>
      </c>
      <c r="U41" t="b">
        <v>1</v>
      </c>
      <c r="V41" t="b">
        <v>1</v>
      </c>
    </row>
    <row r="42" spans="1:22" x14ac:dyDescent="0.3">
      <c r="A42" s="1" t="s">
        <v>61</v>
      </c>
      <c r="B42">
        <v>1491.423350784803</v>
      </c>
      <c r="C42">
        <v>1585.327690768308</v>
      </c>
      <c r="D42">
        <v>2783.479915001185</v>
      </c>
      <c r="E42">
        <v>1004.062102408879</v>
      </c>
      <c r="F42">
        <v>1490.604409524864</v>
      </c>
      <c r="G42">
        <v>1492.2133094263941</v>
      </c>
      <c r="H42">
        <v>3818.183126539489</v>
      </c>
      <c r="I42">
        <v>10397.84257596194</v>
      </c>
      <c r="J42">
        <v>10397.842575961949</v>
      </c>
      <c r="K42">
        <v>332.15202495513051</v>
      </c>
      <c r="L42">
        <v>1656.474060960162</v>
      </c>
      <c r="M42">
        <v>1656.4740609601649</v>
      </c>
      <c r="N42">
        <v>1656.4740609601649</v>
      </c>
      <c r="O42">
        <v>10397.842575961949</v>
      </c>
      <c r="P42">
        <v>10397.842575961949</v>
      </c>
      <c r="Q42">
        <v>332.15202495513029</v>
      </c>
      <c r="R42">
        <v>332.15202495513029</v>
      </c>
      <c r="S42" t="b">
        <v>1</v>
      </c>
      <c r="T42" t="b">
        <v>1</v>
      </c>
      <c r="U42" t="b">
        <v>1</v>
      </c>
      <c r="V42" t="b">
        <v>1</v>
      </c>
    </row>
    <row r="43" spans="1:22" x14ac:dyDescent="0.3">
      <c r="A43" s="1" t="s">
        <v>62</v>
      </c>
      <c r="B43">
        <v>91.888683306677208</v>
      </c>
      <c r="C43">
        <v>183.1609019323094</v>
      </c>
      <c r="D43">
        <v>283.89680480799802</v>
      </c>
      <c r="E43">
        <v>86.372997147435811</v>
      </c>
      <c r="F43">
        <v>124.89055857755029</v>
      </c>
      <c r="G43">
        <v>639.47083641904089</v>
      </c>
      <c r="H43">
        <v>594.27726368210426</v>
      </c>
      <c r="I43">
        <v>467.98196628040392</v>
      </c>
      <c r="J43">
        <v>467.98196628040409</v>
      </c>
      <c r="K43">
        <v>-2.8913441132896009</v>
      </c>
      <c r="L43">
        <v>1325.088419849887</v>
      </c>
      <c r="M43">
        <v>1325.088419849887</v>
      </c>
      <c r="N43">
        <v>1325.088419849887</v>
      </c>
      <c r="O43">
        <v>467.98196628040392</v>
      </c>
      <c r="P43">
        <v>467.98196628040392</v>
      </c>
      <c r="Q43">
        <v>-2.891344113289597</v>
      </c>
      <c r="R43">
        <v>-2.891344113289597</v>
      </c>
      <c r="S43" t="b">
        <v>1</v>
      </c>
      <c r="T43" t="b">
        <v>1</v>
      </c>
      <c r="U43" t="b">
        <v>1</v>
      </c>
      <c r="V43" t="b">
        <v>1</v>
      </c>
    </row>
    <row r="44" spans="1:22" x14ac:dyDescent="0.3">
      <c r="A44" s="1" t="s">
        <v>63</v>
      </c>
      <c r="B44">
        <v>463.4158608699276</v>
      </c>
      <c r="C44">
        <v>514.59779928014689</v>
      </c>
      <c r="D44">
        <v>695.51095115978649</v>
      </c>
      <c r="E44">
        <v>382.53315767811881</v>
      </c>
      <c r="F44">
        <v>495.7664701478447</v>
      </c>
      <c r="G44">
        <v>1357.06823537323</v>
      </c>
      <c r="H44">
        <v>369.0593115596381</v>
      </c>
      <c r="I44">
        <v>486.80863887946521</v>
      </c>
      <c r="J44">
        <v>486.80863887946509</v>
      </c>
      <c r="K44">
        <v>-79.243763872127246</v>
      </c>
      <c r="L44">
        <v>581.67908547544539</v>
      </c>
      <c r="M44">
        <v>581.67908547544516</v>
      </c>
      <c r="N44">
        <v>581.67908547544516</v>
      </c>
      <c r="O44">
        <v>486.80863887946521</v>
      </c>
      <c r="P44">
        <v>486.80863887946521</v>
      </c>
      <c r="Q44">
        <v>-79.243763872127261</v>
      </c>
      <c r="R44">
        <v>-79.243763872127261</v>
      </c>
      <c r="S44" t="b">
        <v>1</v>
      </c>
      <c r="T44" t="b">
        <v>1</v>
      </c>
      <c r="U44" t="b">
        <v>1</v>
      </c>
      <c r="V44" t="b">
        <v>1</v>
      </c>
    </row>
    <row r="45" spans="1:22" x14ac:dyDescent="0.3">
      <c r="A45" s="1" t="s">
        <v>64</v>
      </c>
      <c r="B45">
        <v>318.75431651297208</v>
      </c>
      <c r="C45">
        <v>580.77636049191005</v>
      </c>
      <c r="D45">
        <v>808.49724352378007</v>
      </c>
      <c r="E45">
        <v>126.505631938428</v>
      </c>
      <c r="F45">
        <v>149.07434912923651</v>
      </c>
      <c r="G45">
        <v>166.34763363208941</v>
      </c>
      <c r="H45">
        <v>255.7982437285944</v>
      </c>
      <c r="I45">
        <v>2335.9133510145939</v>
      </c>
      <c r="J45">
        <v>2335.9133510145971</v>
      </c>
      <c r="K45">
        <v>62.87454942630221</v>
      </c>
      <c r="L45">
        <v>433.72265803221518</v>
      </c>
      <c r="M45">
        <v>433.72265803221552</v>
      </c>
      <c r="N45">
        <v>433.72265803221552</v>
      </c>
      <c r="O45">
        <v>2335.913351014598</v>
      </c>
      <c r="P45">
        <v>2335.913351014598</v>
      </c>
      <c r="Q45">
        <v>62.874549426302153</v>
      </c>
      <c r="R45">
        <v>62.874549426302153</v>
      </c>
      <c r="S45" t="b">
        <v>1</v>
      </c>
      <c r="T45" t="b">
        <v>0</v>
      </c>
      <c r="U45" t="b">
        <v>1</v>
      </c>
      <c r="V45" t="b">
        <v>0</v>
      </c>
    </row>
    <row r="46" spans="1:22" x14ac:dyDescent="0.3">
      <c r="A46" s="1" t="s">
        <v>65</v>
      </c>
      <c r="B46">
        <v>21.88555557410568</v>
      </c>
      <c r="C46">
        <v>34.709537440776842</v>
      </c>
      <c r="D46">
        <v>50.333242001922613</v>
      </c>
      <c r="E46">
        <v>135.56744662360481</v>
      </c>
      <c r="F46">
        <v>228.41731898336039</v>
      </c>
      <c r="G46">
        <v>1955.3326389350029</v>
      </c>
      <c r="H46">
        <v>733.2500085884443</v>
      </c>
      <c r="I46">
        <v>5472.8579898526832</v>
      </c>
      <c r="J46">
        <v>5472.8579898527096</v>
      </c>
      <c r="K46">
        <v>1.5326639375168629</v>
      </c>
      <c r="L46">
        <v>67.458953294052023</v>
      </c>
      <c r="M46">
        <v>67.458953294052208</v>
      </c>
      <c r="N46">
        <v>67.458953294052208</v>
      </c>
      <c r="O46">
        <v>5472.8579898527269</v>
      </c>
      <c r="P46">
        <v>5472.8579898527269</v>
      </c>
      <c r="Q46">
        <v>1.5326639375168629</v>
      </c>
      <c r="R46">
        <v>1.5326639375168629</v>
      </c>
      <c r="S46" t="b">
        <v>1</v>
      </c>
      <c r="T46" t="b">
        <v>1</v>
      </c>
      <c r="U46" t="b">
        <v>1</v>
      </c>
      <c r="V46" t="b">
        <v>1</v>
      </c>
    </row>
    <row r="47" spans="1:22" x14ac:dyDescent="0.3">
      <c r="A47" s="1" t="s">
        <v>66</v>
      </c>
      <c r="B47">
        <v>-10250.82031090384</v>
      </c>
      <c r="C47">
        <v>-24913.557815356999</v>
      </c>
      <c r="D47">
        <v>-32728.921333662249</v>
      </c>
      <c r="E47">
        <v>-6253.1961400632954</v>
      </c>
      <c r="F47">
        <v>-6950.4031396654073</v>
      </c>
      <c r="G47">
        <v>-7222.9008474031943</v>
      </c>
      <c r="H47">
        <v>-11749.99382479318</v>
      </c>
      <c r="I47">
        <v>-31043.965794612079</v>
      </c>
      <c r="J47">
        <v>-31043.96579461209</v>
      </c>
      <c r="K47">
        <v>2390.4467180598999</v>
      </c>
      <c r="L47">
        <v>1380.246343646123</v>
      </c>
      <c r="M47">
        <v>1380.2463436461221</v>
      </c>
      <c r="N47">
        <v>1366.7843910258721</v>
      </c>
      <c r="O47">
        <v>-31043.965794612101</v>
      </c>
      <c r="P47">
        <v>-31043.965794612061</v>
      </c>
      <c r="Q47">
        <v>2390.8640072805961</v>
      </c>
      <c r="R47">
        <v>2384.977442429763</v>
      </c>
      <c r="S47" t="b">
        <v>1</v>
      </c>
      <c r="T47" t="b">
        <v>0</v>
      </c>
      <c r="U47" t="b">
        <v>0</v>
      </c>
      <c r="V47" t="b">
        <v>0</v>
      </c>
    </row>
    <row r="48" spans="1:22" x14ac:dyDescent="0.3">
      <c r="A48" s="1" t="s">
        <v>67</v>
      </c>
      <c r="B48">
        <v>125.2885630895868</v>
      </c>
      <c r="C48">
        <v>203.85013085672071</v>
      </c>
      <c r="D48">
        <v>290.14829082031832</v>
      </c>
      <c r="E48">
        <v>91.579172357310881</v>
      </c>
      <c r="F48">
        <v>120.7161398936575</v>
      </c>
      <c r="G48">
        <v>264.0759571723583</v>
      </c>
      <c r="H48">
        <v>3751.1648858573458</v>
      </c>
      <c r="I48">
        <v>6695.5308273054916</v>
      </c>
      <c r="J48">
        <v>6695.5308273012124</v>
      </c>
      <c r="K48">
        <v>6.5755612077516776</v>
      </c>
      <c r="L48">
        <v>70.782511482489127</v>
      </c>
      <c r="M48">
        <v>70.782511482489298</v>
      </c>
      <c r="N48">
        <v>70.782511482489298</v>
      </c>
      <c r="O48">
        <v>6695.5308273003084</v>
      </c>
      <c r="P48">
        <v>6695.5308273003084</v>
      </c>
      <c r="Q48">
        <v>6.5755612077516759</v>
      </c>
      <c r="R48">
        <v>6.5755612077516759</v>
      </c>
      <c r="S48" t="b">
        <v>1</v>
      </c>
      <c r="T48" t="b">
        <v>0</v>
      </c>
      <c r="U48" t="b">
        <v>1</v>
      </c>
      <c r="V48" t="b">
        <v>0</v>
      </c>
    </row>
    <row r="49" spans="1:22" x14ac:dyDescent="0.3">
      <c r="A49" s="1" t="s">
        <v>68</v>
      </c>
      <c r="B49">
        <v>13.864577582558571</v>
      </c>
      <c r="C49">
        <v>20.776065358724569</v>
      </c>
      <c r="D49">
        <v>32.432879450489381</v>
      </c>
      <c r="E49">
        <v>27.963007758059081</v>
      </c>
      <c r="F49">
        <v>45.912622264665501</v>
      </c>
      <c r="G49">
        <v>188.32761621973819</v>
      </c>
      <c r="H49">
        <v>31.472657872470268</v>
      </c>
      <c r="I49">
        <v>339.35450564739222</v>
      </c>
      <c r="J49">
        <v>339.35450564927481</v>
      </c>
      <c r="K49">
        <v>1.0885464425440261</v>
      </c>
      <c r="L49">
        <v>35.935663046614962</v>
      </c>
      <c r="M49">
        <v>35.935663046610429</v>
      </c>
      <c r="N49">
        <v>2118471400939.447</v>
      </c>
      <c r="O49">
        <v>339.35450564795468</v>
      </c>
      <c r="P49">
        <v>353.96829751023472</v>
      </c>
      <c r="Q49">
        <v>1.088554721823741</v>
      </c>
      <c r="R49">
        <v>-79.505487205420238</v>
      </c>
      <c r="S49" t="b">
        <v>1</v>
      </c>
      <c r="T49" t="b">
        <v>1</v>
      </c>
      <c r="U49" t="b">
        <v>1</v>
      </c>
      <c r="V49" t="b">
        <v>1</v>
      </c>
    </row>
    <row r="50" spans="1:22" x14ac:dyDescent="0.3">
      <c r="A50" s="1" t="s">
        <v>69</v>
      </c>
      <c r="B50">
        <v>3906.3789537654602</v>
      </c>
      <c r="C50">
        <v>5848.3226722736172</v>
      </c>
      <c r="D50">
        <v>9554.2601835833066</v>
      </c>
      <c r="E50">
        <v>554.35300792113617</v>
      </c>
      <c r="F50">
        <v>689.73867578301531</v>
      </c>
      <c r="G50">
        <v>1192.39223492171</v>
      </c>
      <c r="H50">
        <v>5957.3772282467589</v>
      </c>
      <c r="I50">
        <v>4869.5917825069173</v>
      </c>
      <c r="J50">
        <v>4869.5917825069073</v>
      </c>
      <c r="K50">
        <v>197.67495901838129</v>
      </c>
      <c r="L50">
        <v>4797.5465666264618</v>
      </c>
      <c r="M50">
        <v>4797.5465666264536</v>
      </c>
      <c r="N50">
        <v>4797.5465666264536</v>
      </c>
      <c r="O50">
        <v>4869.59178250691</v>
      </c>
      <c r="P50">
        <v>4869.59178250691</v>
      </c>
      <c r="Q50">
        <v>197.67495901838149</v>
      </c>
      <c r="R50">
        <v>197.67495901838149</v>
      </c>
      <c r="S50" t="b">
        <v>1</v>
      </c>
      <c r="T50" t="b">
        <v>1</v>
      </c>
      <c r="U50" t="b">
        <v>1</v>
      </c>
      <c r="V50" t="b">
        <v>1</v>
      </c>
    </row>
    <row r="51" spans="1:22" x14ac:dyDescent="0.3">
      <c r="A51" s="1" t="s">
        <v>70</v>
      </c>
      <c r="B51">
        <v>261.11739215801703</v>
      </c>
      <c r="C51">
        <v>526.07886581456319</v>
      </c>
      <c r="D51">
        <v>822.67612719566898</v>
      </c>
      <c r="E51">
        <v>72.149799246175007</v>
      </c>
      <c r="F51">
        <v>86.023819676484379</v>
      </c>
      <c r="G51">
        <v>127.28307803649911</v>
      </c>
      <c r="H51">
        <v>308.19058167822391</v>
      </c>
      <c r="I51">
        <v>549.52185653843344</v>
      </c>
      <c r="J51">
        <v>549.52185653843321</v>
      </c>
      <c r="K51">
        <v>17.74536752329259</v>
      </c>
      <c r="L51">
        <v>106.2728748324497</v>
      </c>
      <c r="M51">
        <v>106.2728748324495</v>
      </c>
      <c r="N51">
        <v>106.2728748324495</v>
      </c>
      <c r="O51">
        <v>549.52185653843355</v>
      </c>
      <c r="P51">
        <v>549.52185653843355</v>
      </c>
      <c r="Q51">
        <v>17.74536752329259</v>
      </c>
      <c r="R51">
        <v>17.74536752329259</v>
      </c>
      <c r="S51" t="b">
        <v>1</v>
      </c>
      <c r="T51" t="b">
        <v>1</v>
      </c>
      <c r="U51" t="b">
        <v>1</v>
      </c>
      <c r="V51" t="b">
        <v>1</v>
      </c>
    </row>
    <row r="52" spans="1:22" x14ac:dyDescent="0.3">
      <c r="A52" s="1" t="s">
        <v>71</v>
      </c>
      <c r="B52">
        <v>56.462579118873073</v>
      </c>
      <c r="C52">
        <v>87.410388469908838</v>
      </c>
      <c r="D52">
        <v>144.98853655460741</v>
      </c>
      <c r="E52">
        <v>98.704875859482442</v>
      </c>
      <c r="F52">
        <v>166.99146687916701</v>
      </c>
      <c r="G52">
        <v>227.50622472529381</v>
      </c>
      <c r="H52">
        <v>944.66737808253879</v>
      </c>
      <c r="I52">
        <v>826.21484318752118</v>
      </c>
      <c r="J52">
        <v>826.21484318752198</v>
      </c>
      <c r="K52">
        <v>-101.3686172084423</v>
      </c>
      <c r="L52">
        <v>-4501.3875945008058</v>
      </c>
      <c r="M52">
        <v>-4501.3875945006421</v>
      </c>
      <c r="N52">
        <v>-4501.3875945006421</v>
      </c>
      <c r="O52">
        <v>826.21484318752141</v>
      </c>
      <c r="P52">
        <v>826.21484318752141</v>
      </c>
      <c r="Q52">
        <v>-101.3686172084429</v>
      </c>
      <c r="R52">
        <v>-101.3686172084429</v>
      </c>
      <c r="S52" t="b">
        <v>1</v>
      </c>
      <c r="T52" t="b">
        <v>0</v>
      </c>
      <c r="U52" t="b">
        <v>1</v>
      </c>
      <c r="V52" t="b">
        <v>0</v>
      </c>
    </row>
    <row r="53" spans="1:22" x14ac:dyDescent="0.3">
      <c r="A53" s="1" t="s">
        <v>72</v>
      </c>
      <c r="B53">
        <v>106.46026214798469</v>
      </c>
      <c r="C53">
        <v>313.39928243080078</v>
      </c>
      <c r="D53">
        <v>485.20701276864708</v>
      </c>
      <c r="E53">
        <v>44.959906922386033</v>
      </c>
      <c r="F53">
        <v>56.436156546293162</v>
      </c>
      <c r="G53">
        <v>82.928568584220798</v>
      </c>
      <c r="H53">
        <v>514.39661912533109</v>
      </c>
      <c r="I53">
        <v>2073.3344369673459</v>
      </c>
      <c r="J53">
        <v>2073.3344369673459</v>
      </c>
      <c r="K53">
        <v>7.2864298977752933</v>
      </c>
      <c r="L53">
        <v>472.95082382202759</v>
      </c>
      <c r="M53">
        <v>472.95082382202821</v>
      </c>
      <c r="N53">
        <v>472.95082382202821</v>
      </c>
      <c r="O53">
        <v>2073.3344369673468</v>
      </c>
      <c r="P53">
        <v>2073.3344369673468</v>
      </c>
      <c r="Q53">
        <v>7.2864298977752942</v>
      </c>
      <c r="R53">
        <v>7.2864298977752942</v>
      </c>
      <c r="S53" t="b">
        <v>1</v>
      </c>
      <c r="T53" t="b">
        <v>1</v>
      </c>
      <c r="U53" t="b">
        <v>1</v>
      </c>
      <c r="V53" t="b">
        <v>1</v>
      </c>
    </row>
    <row r="54" spans="1:22" x14ac:dyDescent="0.3">
      <c r="A54" s="1" t="s">
        <v>73</v>
      </c>
      <c r="B54">
        <v>97.757910782312166</v>
      </c>
      <c r="C54">
        <v>101.68768819030259</v>
      </c>
      <c r="D54">
        <v>180.5936060681907</v>
      </c>
      <c r="E54">
        <v>126.4168799959416</v>
      </c>
      <c r="F54">
        <v>235.3155620116753</v>
      </c>
      <c r="G54">
        <v>347.4781831812474</v>
      </c>
      <c r="H54">
        <v>542.43122458730045</v>
      </c>
      <c r="I54">
        <v>546.67797005235786</v>
      </c>
      <c r="J54">
        <v>546.67797005235786</v>
      </c>
      <c r="K54">
        <v>13.098842726421751</v>
      </c>
      <c r="L54">
        <v>195.81457798029771</v>
      </c>
      <c r="M54">
        <v>195.81457798029811</v>
      </c>
      <c r="N54">
        <v>195.81457798029811</v>
      </c>
      <c r="O54">
        <v>546.67797005235752</v>
      </c>
      <c r="P54">
        <v>546.67797005235752</v>
      </c>
      <c r="Q54">
        <v>13.098842726421751</v>
      </c>
      <c r="R54">
        <v>13.098842726421751</v>
      </c>
      <c r="S54" t="b">
        <v>1</v>
      </c>
      <c r="T54" t="b">
        <v>1</v>
      </c>
      <c r="U54" t="b">
        <v>1</v>
      </c>
      <c r="V54" t="b">
        <v>1</v>
      </c>
    </row>
    <row r="55" spans="1:22" x14ac:dyDescent="0.3">
      <c r="A55" s="1" t="s">
        <v>74</v>
      </c>
      <c r="B55">
        <v>47.698371788215972</v>
      </c>
      <c r="C55">
        <v>48.605549412903898</v>
      </c>
      <c r="D55">
        <v>59.420000000000023</v>
      </c>
      <c r="E55">
        <v>36.917639090064469</v>
      </c>
      <c r="F55">
        <v>43.77500749810519</v>
      </c>
      <c r="G55">
        <v>87.67090976050028</v>
      </c>
      <c r="H55">
        <v>968.78109574467339</v>
      </c>
      <c r="I55">
        <v>836.14666533400577</v>
      </c>
      <c r="J55">
        <v>836.14666533400612</v>
      </c>
      <c r="K55">
        <v>38.193546147604238</v>
      </c>
      <c r="L55">
        <v>221.08819692495311</v>
      </c>
      <c r="M55">
        <v>221.08819692495319</v>
      </c>
      <c r="N55">
        <v>221.65504701681769</v>
      </c>
      <c r="O55">
        <v>836.14666533400612</v>
      </c>
      <c r="P55">
        <v>836.14666533400612</v>
      </c>
      <c r="Q55">
        <v>38.194997160152532</v>
      </c>
      <c r="R55">
        <v>38.311805662960872</v>
      </c>
      <c r="S55" t="b">
        <v>1</v>
      </c>
      <c r="T55" t="b">
        <v>1</v>
      </c>
      <c r="U55" t="b">
        <v>1</v>
      </c>
      <c r="V55" t="b">
        <v>1</v>
      </c>
    </row>
    <row r="56" spans="1:22" x14ac:dyDescent="0.3">
      <c r="A56" s="1" t="s">
        <v>75</v>
      </c>
      <c r="B56">
        <v>45.807824096609423</v>
      </c>
      <c r="C56">
        <v>46.705549412903913</v>
      </c>
      <c r="D56">
        <v>57.52000000000001</v>
      </c>
      <c r="E56">
        <v>7.8526272843965916</v>
      </c>
      <c r="F56">
        <v>8.3366444843329859</v>
      </c>
      <c r="G56">
        <v>11.82378230885754</v>
      </c>
      <c r="H56">
        <v>15.725022594799629</v>
      </c>
      <c r="I56">
        <v>35.194245455827428</v>
      </c>
      <c r="J56">
        <v>35.194245455827399</v>
      </c>
      <c r="K56">
        <v>2.6655143117674789</v>
      </c>
      <c r="L56">
        <v>17.525718632277769</v>
      </c>
      <c r="M56">
        <v>17.525718632277741</v>
      </c>
      <c r="N56">
        <v>17.525761871211099</v>
      </c>
      <c r="O56">
        <v>35.194245455827399</v>
      </c>
      <c r="P56">
        <v>35.194245455827392</v>
      </c>
      <c r="Q56">
        <v>2.665515834412107</v>
      </c>
      <c r="R56">
        <v>2.66552260569703</v>
      </c>
      <c r="S56" t="b">
        <v>1</v>
      </c>
      <c r="T56" t="b">
        <v>1</v>
      </c>
      <c r="U56" t="b">
        <v>1</v>
      </c>
      <c r="V56" t="b">
        <v>1</v>
      </c>
    </row>
    <row r="57" spans="1:22" x14ac:dyDescent="0.3">
      <c r="A57" s="1" t="s">
        <v>76</v>
      </c>
      <c r="B57">
        <v>156.43245518299619</v>
      </c>
      <c r="C57">
        <v>171.5216814947967</v>
      </c>
      <c r="D57">
        <v>292.24319339276042</v>
      </c>
      <c r="E57">
        <v>385.52259880372247</v>
      </c>
      <c r="F57">
        <v>754.71169991980946</v>
      </c>
      <c r="G57">
        <v>2463.965153849239</v>
      </c>
      <c r="H57">
        <v>3814.911711413009</v>
      </c>
      <c r="I57">
        <v>5899.5909549088074</v>
      </c>
      <c r="J57">
        <v>5899.5909549087582</v>
      </c>
      <c r="K57">
        <v>9.2913613582898975</v>
      </c>
      <c r="L57">
        <v>98.165350569552189</v>
      </c>
      <c r="M57">
        <v>98.165350569552203</v>
      </c>
      <c r="N57">
        <v>98.165350569552203</v>
      </c>
      <c r="O57">
        <v>5899.5909549087846</v>
      </c>
      <c r="P57">
        <v>5899.5909549087846</v>
      </c>
      <c r="Q57">
        <v>9.291361358289894</v>
      </c>
      <c r="R57">
        <v>9.291361358289894</v>
      </c>
      <c r="S57" t="b">
        <v>1</v>
      </c>
      <c r="T57" t="b">
        <v>0</v>
      </c>
      <c r="U57" t="b">
        <v>1</v>
      </c>
      <c r="V57" t="b">
        <v>0</v>
      </c>
    </row>
    <row r="58" spans="1:22" x14ac:dyDescent="0.3">
      <c r="A58" s="1" t="s">
        <v>77</v>
      </c>
      <c r="B58">
        <v>419.87820981111707</v>
      </c>
      <c r="C58">
        <v>771.57460635372672</v>
      </c>
      <c r="D58">
        <v>1326.3080100445511</v>
      </c>
      <c r="E58">
        <v>428.93248434926289</v>
      </c>
      <c r="F58">
        <v>688.58914782938041</v>
      </c>
      <c r="G58">
        <v>2383.0054536513521</v>
      </c>
      <c r="H58">
        <v>1066.662732838603</v>
      </c>
      <c r="I58">
        <v>1777.8403331707809</v>
      </c>
      <c r="J58">
        <v>1777.840333171338</v>
      </c>
      <c r="K58">
        <v>14.931752576572631</v>
      </c>
      <c r="L58">
        <v>1024.4934932369399</v>
      </c>
      <c r="M58">
        <v>1024.4934932369399</v>
      </c>
      <c r="N58">
        <v>1038.9174549267011</v>
      </c>
      <c r="O58">
        <v>1777.840333171338</v>
      </c>
      <c r="P58">
        <v>1777.8403331713359</v>
      </c>
      <c r="Q58">
        <v>14.958062727755451</v>
      </c>
      <c r="R58">
        <v>15.05355697730983</v>
      </c>
      <c r="S58" t="b">
        <v>1</v>
      </c>
      <c r="T58" t="b">
        <v>0</v>
      </c>
      <c r="U58" t="b">
        <v>1</v>
      </c>
      <c r="V58" t="b">
        <v>0</v>
      </c>
    </row>
    <row r="59" spans="1:22" x14ac:dyDescent="0.3">
      <c r="A59" s="1" t="s">
        <v>78</v>
      </c>
      <c r="B59">
        <v>58.768207141293033</v>
      </c>
      <c r="C59">
        <v>90.968591010469908</v>
      </c>
      <c r="D59">
        <v>130.25069548980809</v>
      </c>
      <c r="E59">
        <v>25.156549105494339</v>
      </c>
      <c r="F59">
        <v>30.916846816499451</v>
      </c>
      <c r="G59">
        <v>54.323845472002319</v>
      </c>
      <c r="H59">
        <v>63.601048544225087</v>
      </c>
      <c r="I59">
        <v>1816.728178065945</v>
      </c>
      <c r="J59">
        <v>1816.728178065945</v>
      </c>
      <c r="K59">
        <v>7.7160586668395084</v>
      </c>
      <c r="L59">
        <v>62.306784814117137</v>
      </c>
      <c r="M59">
        <v>62.306784814117123</v>
      </c>
      <c r="N59">
        <v>62.306784814117123</v>
      </c>
      <c r="O59">
        <v>1816.72817806595</v>
      </c>
      <c r="P59">
        <v>1816.72817806595</v>
      </c>
      <c r="Q59">
        <v>7.716058666839511</v>
      </c>
      <c r="R59">
        <v>7.716058666839511</v>
      </c>
      <c r="S59" t="b">
        <v>1</v>
      </c>
      <c r="T59" t="b">
        <v>0</v>
      </c>
      <c r="U59" t="b">
        <v>1</v>
      </c>
      <c r="V59" t="b">
        <v>0</v>
      </c>
    </row>
    <row r="60" spans="1:22" x14ac:dyDescent="0.3">
      <c r="A60" s="1" t="s">
        <v>79</v>
      </c>
      <c r="B60">
        <v>10.39356347728684</v>
      </c>
      <c r="C60">
        <v>25.58108893757959</v>
      </c>
      <c r="D60">
        <v>37.520411639117711</v>
      </c>
      <c r="E60">
        <v>17.12734833463027</v>
      </c>
      <c r="F60">
        <v>24.00447638710925</v>
      </c>
      <c r="G60">
        <v>194.87683119600479</v>
      </c>
      <c r="H60">
        <v>630.46609650086634</v>
      </c>
      <c r="I60">
        <v>1209.76422314771</v>
      </c>
      <c r="J60">
        <v>1209.7642231477089</v>
      </c>
      <c r="K60">
        <v>0.83368990044528779</v>
      </c>
      <c r="L60">
        <v>79.694148933298834</v>
      </c>
      <c r="M60">
        <v>79.694148933298777</v>
      </c>
      <c r="N60">
        <v>164.05204097864271</v>
      </c>
      <c r="O60">
        <v>1209.764223147708</v>
      </c>
      <c r="P60">
        <v>1209.764223137307</v>
      </c>
      <c r="Q60">
        <v>0.87138863417724344</v>
      </c>
      <c r="R60">
        <v>0.97671438914151731</v>
      </c>
      <c r="S60" t="b">
        <v>1</v>
      </c>
      <c r="T60" t="b">
        <v>1</v>
      </c>
      <c r="U60" t="b">
        <v>1</v>
      </c>
      <c r="V60" t="b">
        <v>1</v>
      </c>
    </row>
    <row r="61" spans="1:22" x14ac:dyDescent="0.3">
      <c r="A61" s="1" t="s">
        <v>80</v>
      </c>
      <c r="B61">
        <v>467.53288356197618</v>
      </c>
      <c r="C61">
        <v>763.01606622358452</v>
      </c>
      <c r="D61">
        <v>1196.4127527778489</v>
      </c>
      <c r="E61">
        <v>86.015290793197735</v>
      </c>
      <c r="F61">
        <v>104.5499428871908</v>
      </c>
      <c r="G61">
        <v>154.96492939568691</v>
      </c>
      <c r="H61">
        <v>280.59605376366829</v>
      </c>
      <c r="I61">
        <v>2056.4602934239242</v>
      </c>
      <c r="J61">
        <v>2056.4602934239242</v>
      </c>
      <c r="K61">
        <v>20.092946619043609</v>
      </c>
      <c r="L61">
        <v>536.86965363281001</v>
      </c>
      <c r="M61">
        <v>536.8696536328107</v>
      </c>
      <c r="N61">
        <v>536.8696536328107</v>
      </c>
      <c r="O61">
        <v>2056.4602934239251</v>
      </c>
      <c r="P61">
        <v>2056.4602934239251</v>
      </c>
      <c r="Q61">
        <v>20.092946619043609</v>
      </c>
      <c r="R61">
        <v>20.092946619043609</v>
      </c>
      <c r="S61" t="b">
        <v>1</v>
      </c>
      <c r="T61" t="b">
        <v>1</v>
      </c>
      <c r="U61" t="b">
        <v>1</v>
      </c>
      <c r="V61" t="b">
        <v>1</v>
      </c>
    </row>
    <row r="62" spans="1:22" x14ac:dyDescent="0.3">
      <c r="A62" s="1" t="s">
        <v>81</v>
      </c>
      <c r="B62">
        <v>50.423657557993828</v>
      </c>
      <c r="C62">
        <v>82.755881618494925</v>
      </c>
      <c r="D62">
        <v>137.09687701680059</v>
      </c>
      <c r="E62">
        <v>20.91196400328667</v>
      </c>
      <c r="F62">
        <v>27.862263601546879</v>
      </c>
      <c r="G62">
        <v>34.914504213538521</v>
      </c>
      <c r="H62">
        <v>650.40011943081868</v>
      </c>
      <c r="I62">
        <v>1093.2376217517331</v>
      </c>
      <c r="J62">
        <v>1093.237621751734</v>
      </c>
      <c r="K62">
        <v>3.059760695144913</v>
      </c>
      <c r="L62">
        <v>129.414892230541</v>
      </c>
      <c r="M62">
        <v>129.41489223054089</v>
      </c>
      <c r="N62">
        <v>129.41489223054089</v>
      </c>
      <c r="O62">
        <v>1093.237621751734</v>
      </c>
      <c r="P62">
        <v>1093.237621751734</v>
      </c>
      <c r="Q62">
        <v>3.0597606951449121</v>
      </c>
      <c r="R62">
        <v>3.0597606951449121</v>
      </c>
      <c r="S62" t="b">
        <v>1</v>
      </c>
      <c r="T62" t="b">
        <v>1</v>
      </c>
      <c r="U62" t="b">
        <v>1</v>
      </c>
      <c r="V62" t="b">
        <v>1</v>
      </c>
    </row>
    <row r="63" spans="1:22" x14ac:dyDescent="0.3">
      <c r="A63" s="1" t="s">
        <v>82</v>
      </c>
      <c r="B63">
        <v>346.98408358255961</v>
      </c>
      <c r="C63">
        <v>414.64236868863861</v>
      </c>
      <c r="D63">
        <v>535.35849400000006</v>
      </c>
      <c r="E63">
        <v>464.5021711713099</v>
      </c>
      <c r="F63">
        <v>609.44830671252771</v>
      </c>
      <c r="G63">
        <v>609.44830671252782</v>
      </c>
      <c r="H63">
        <v>1254.736041122685</v>
      </c>
      <c r="I63">
        <v>766.63552612918795</v>
      </c>
      <c r="J63">
        <v>766.63552612918784</v>
      </c>
      <c r="K63">
        <v>31.13765268753307</v>
      </c>
      <c r="L63">
        <v>360.77725384896581</v>
      </c>
      <c r="M63">
        <v>360.7772538489661</v>
      </c>
      <c r="N63">
        <v>360.7772538489661</v>
      </c>
      <c r="O63">
        <v>766.63552612918795</v>
      </c>
      <c r="P63">
        <v>766.63552612918795</v>
      </c>
      <c r="Q63">
        <v>31.137652687533059</v>
      </c>
      <c r="R63">
        <v>31.137652687533059</v>
      </c>
      <c r="S63" t="b">
        <v>1</v>
      </c>
      <c r="T63" t="b">
        <v>1</v>
      </c>
      <c r="U63" t="b">
        <v>1</v>
      </c>
      <c r="V63" t="b">
        <v>1</v>
      </c>
    </row>
    <row r="64" spans="1:22" x14ac:dyDescent="0.3">
      <c r="A64" s="1" t="s">
        <v>83</v>
      </c>
      <c r="B64">
        <v>135.69235849498909</v>
      </c>
      <c r="C64">
        <v>186.54600974882479</v>
      </c>
      <c r="D64">
        <v>324.71300000000008</v>
      </c>
      <c r="E64">
        <v>20.631396688789181</v>
      </c>
      <c r="F64">
        <v>25.320234239132951</v>
      </c>
      <c r="G64">
        <v>42.153953807176322</v>
      </c>
      <c r="H64">
        <v>3118.3782406126888</v>
      </c>
      <c r="I64">
        <v>3054.2609298238722</v>
      </c>
      <c r="J64">
        <v>3054.260929823869</v>
      </c>
      <c r="K64">
        <v>5.52633220105578</v>
      </c>
      <c r="L64">
        <v>36.292479945822237</v>
      </c>
      <c r="M64">
        <v>36.292479945822251</v>
      </c>
      <c r="N64">
        <v>36.292760147524497</v>
      </c>
      <c r="O64">
        <v>3054.2609298238708</v>
      </c>
      <c r="P64">
        <v>3054.2609298238708</v>
      </c>
      <c r="Q64">
        <v>5.5263356588204937</v>
      </c>
      <c r="R64">
        <v>5.5263592703615894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3">
      <c r="A65" s="1" t="s">
        <v>84</v>
      </c>
      <c r="B65">
        <v>164.32896635742429</v>
      </c>
      <c r="C65">
        <v>239.53902741990311</v>
      </c>
      <c r="D65">
        <v>416.26637602202572</v>
      </c>
      <c r="E65">
        <v>1032.628308589982</v>
      </c>
      <c r="F65">
        <v>2603.0280297006389</v>
      </c>
      <c r="G65">
        <v>363434.80058135121</v>
      </c>
      <c r="H65">
        <v>1610.042800148319</v>
      </c>
      <c r="I65">
        <v>1905.5078161404881</v>
      </c>
      <c r="J65">
        <v>1905.507816140489</v>
      </c>
      <c r="K65">
        <v>158.05236742114261</v>
      </c>
      <c r="L65">
        <v>2593.675033639021</v>
      </c>
      <c r="M65">
        <v>2593.675033639026</v>
      </c>
      <c r="N65">
        <v>-142.3518208214621</v>
      </c>
      <c r="O65">
        <v>1905.5078161404899</v>
      </c>
      <c r="P65">
        <v>1905.5078161404431</v>
      </c>
      <c r="Q65">
        <v>254.58533595510761</v>
      </c>
      <c r="R65">
        <v>-38.143284705773667</v>
      </c>
      <c r="S65" t="b">
        <v>1</v>
      </c>
      <c r="T65" t="b">
        <v>1</v>
      </c>
      <c r="U65" t="b">
        <v>1</v>
      </c>
      <c r="V65" t="b">
        <v>1</v>
      </c>
    </row>
    <row r="66" spans="1:22" x14ac:dyDescent="0.3">
      <c r="A66" s="1" t="s">
        <v>85</v>
      </c>
      <c r="B66">
        <v>1295.685307459217</v>
      </c>
      <c r="C66">
        <v>1910.532202172086</v>
      </c>
      <c r="D66">
        <v>2978.8466773665568</v>
      </c>
      <c r="E66">
        <v>732.22824758833326</v>
      </c>
      <c r="F66">
        <v>1006.704052211269</v>
      </c>
      <c r="G66">
        <v>1653.0076443645401</v>
      </c>
      <c r="H66">
        <v>1200.1094205942161</v>
      </c>
      <c r="I66">
        <v>2156.4706355551962</v>
      </c>
      <c r="J66">
        <v>2156.4706355551989</v>
      </c>
      <c r="K66">
        <v>55.104919039761171</v>
      </c>
      <c r="L66">
        <v>583.48707726316479</v>
      </c>
      <c r="M66">
        <v>583.48707726316502</v>
      </c>
      <c r="N66">
        <v>713.88033742921255</v>
      </c>
      <c r="O66">
        <v>2156.4706355551989</v>
      </c>
      <c r="P66">
        <v>2156.4706355551989</v>
      </c>
      <c r="Q66">
        <v>55.104922957470308</v>
      </c>
      <c r="R66">
        <v>75.556820157512789</v>
      </c>
      <c r="S66" t="b">
        <v>1</v>
      </c>
      <c r="T66" t="b">
        <v>1</v>
      </c>
      <c r="U66" t="b">
        <v>1</v>
      </c>
      <c r="V66" t="b">
        <v>1</v>
      </c>
    </row>
    <row r="67" spans="1:22" x14ac:dyDescent="0.3">
      <c r="A67" s="1" t="s">
        <v>86</v>
      </c>
      <c r="B67">
        <v>608.69738639166803</v>
      </c>
      <c r="C67">
        <v>931.44217453304918</v>
      </c>
      <c r="D67">
        <v>1478.8080050247149</v>
      </c>
      <c r="E67">
        <v>484.41324998213202</v>
      </c>
      <c r="F67">
        <v>704.37507576191365</v>
      </c>
      <c r="G67">
        <v>1457.2274567331019</v>
      </c>
      <c r="H67">
        <v>618.23001965153458</v>
      </c>
      <c r="I67">
        <v>1578.6951864985961</v>
      </c>
      <c r="J67">
        <v>1578.695186498594</v>
      </c>
      <c r="K67">
        <v>26.727381564304562</v>
      </c>
      <c r="L67">
        <v>286.90586632764968</v>
      </c>
      <c r="M67">
        <v>286.90586632764962</v>
      </c>
      <c r="N67">
        <v>286.90586632764962</v>
      </c>
      <c r="O67">
        <v>1578.6951864985949</v>
      </c>
      <c r="P67">
        <v>1578.6951864985949</v>
      </c>
      <c r="Q67">
        <v>26.727381564304562</v>
      </c>
      <c r="R67">
        <v>26.727381564304562</v>
      </c>
      <c r="S67" t="b">
        <v>1</v>
      </c>
      <c r="T67" t="b">
        <v>1</v>
      </c>
      <c r="U67" t="b">
        <v>1</v>
      </c>
      <c r="V67" t="b">
        <v>1</v>
      </c>
    </row>
    <row r="68" spans="1:22" x14ac:dyDescent="0.3">
      <c r="A68" s="1" t="s">
        <v>87</v>
      </c>
      <c r="B68">
        <v>377.50448196294622</v>
      </c>
      <c r="C68">
        <v>600.19019446434095</v>
      </c>
      <c r="D68">
        <v>937.88574084107222</v>
      </c>
      <c r="E68">
        <v>351.57400302855882</v>
      </c>
      <c r="F68">
        <v>512.95053994926957</v>
      </c>
      <c r="G68">
        <v>1393.7457054042379</v>
      </c>
      <c r="H68">
        <v>503.1154194581726</v>
      </c>
      <c r="I68">
        <v>1088.033115687796</v>
      </c>
      <c r="J68">
        <v>1088.0331156877969</v>
      </c>
      <c r="K68">
        <v>19.098587711970168</v>
      </c>
      <c r="L68">
        <v>243.87428068656331</v>
      </c>
      <c r="M68">
        <v>243.87428068656351</v>
      </c>
      <c r="N68">
        <v>243.87428068656351</v>
      </c>
      <c r="O68">
        <v>1088.033115687796</v>
      </c>
      <c r="P68">
        <v>1088.033115687796</v>
      </c>
      <c r="Q68">
        <v>19.09858771197019</v>
      </c>
      <c r="R68">
        <v>19.09858771197019</v>
      </c>
      <c r="S68" t="b">
        <v>1</v>
      </c>
      <c r="T68" t="b">
        <v>1</v>
      </c>
      <c r="U68" t="b">
        <v>1</v>
      </c>
      <c r="V68" t="b">
        <v>1</v>
      </c>
    </row>
    <row r="69" spans="1:22" x14ac:dyDescent="0.3">
      <c r="A69" s="1" t="s">
        <v>88</v>
      </c>
      <c r="B69">
        <v>1394.2690363835179</v>
      </c>
      <c r="C69">
        <v>3036.3065070562002</v>
      </c>
      <c r="D69">
        <v>4770.475561536733</v>
      </c>
      <c r="E69">
        <v>2158.7582902347299</v>
      </c>
      <c r="F69">
        <v>3276.9049422650028</v>
      </c>
      <c r="G69">
        <v>11384.561958375851</v>
      </c>
      <c r="H69">
        <v>1094.099986450648</v>
      </c>
      <c r="I69">
        <v>1618.3973028354119</v>
      </c>
      <c r="J69">
        <v>1618.3973028357</v>
      </c>
      <c r="K69">
        <v>34.415241931646648</v>
      </c>
      <c r="L69">
        <v>1184.4498836067869</v>
      </c>
      <c r="M69">
        <v>1184.4498836070579</v>
      </c>
      <c r="N69">
        <v>1184.623300002173</v>
      </c>
      <c r="O69">
        <v>1618.397302835046</v>
      </c>
      <c r="P69">
        <v>1618.397302835662</v>
      </c>
      <c r="Q69">
        <v>34.415289775457573</v>
      </c>
      <c r="R69">
        <v>34.415673743055031</v>
      </c>
      <c r="S69" t="b">
        <v>1</v>
      </c>
      <c r="T69" t="b">
        <v>0</v>
      </c>
      <c r="U69" t="b">
        <v>1</v>
      </c>
      <c r="V69" t="b">
        <v>0</v>
      </c>
    </row>
    <row r="70" spans="1:22" x14ac:dyDescent="0.3">
      <c r="A70" s="1" t="s">
        <v>89</v>
      </c>
      <c r="B70">
        <v>244.211769042622</v>
      </c>
      <c r="C70">
        <v>305.20494639545058</v>
      </c>
      <c r="D70">
        <v>443.18463842106138</v>
      </c>
      <c r="E70">
        <v>486.60143037867999</v>
      </c>
      <c r="F70">
        <v>755.75298287789496</v>
      </c>
      <c r="G70">
        <v>7099.9185365278972</v>
      </c>
      <c r="H70">
        <v>1066.733242474372</v>
      </c>
      <c r="I70">
        <v>1016.36556376767</v>
      </c>
      <c r="J70">
        <v>1016.36556376767</v>
      </c>
      <c r="K70">
        <v>70.832630357743454</v>
      </c>
      <c r="L70">
        <v>853.93582138664283</v>
      </c>
      <c r="M70">
        <v>853.93582138664351</v>
      </c>
      <c r="N70">
        <v>1300.123067678129</v>
      </c>
      <c r="O70">
        <v>1016.36556376767</v>
      </c>
      <c r="P70">
        <v>1016.36556376767</v>
      </c>
      <c r="Q70">
        <v>71.563321229122948</v>
      </c>
      <c r="R70">
        <v>82.071802762642932</v>
      </c>
      <c r="S70" t="b">
        <v>1</v>
      </c>
      <c r="T70" t="b">
        <v>1</v>
      </c>
      <c r="U70" t="b">
        <v>1</v>
      </c>
      <c r="V70" t="b">
        <v>1</v>
      </c>
    </row>
    <row r="71" spans="1:22" x14ac:dyDescent="0.3">
      <c r="A71" s="1" t="s">
        <v>90</v>
      </c>
      <c r="B71">
        <v>1667.2498413857611</v>
      </c>
      <c r="C71">
        <v>3100.6007373697089</v>
      </c>
      <c r="D71">
        <v>5057.7357038339778</v>
      </c>
      <c r="E71">
        <v>10947.943430419649</v>
      </c>
      <c r="F71">
        <v>22389.530753468331</v>
      </c>
      <c r="G71">
        <v>104560.4085115816</v>
      </c>
      <c r="H71">
        <v>6695.6691441694002</v>
      </c>
      <c r="I71">
        <v>12995.783659515129</v>
      </c>
      <c r="J71">
        <v>12995.78365951697</v>
      </c>
      <c r="K71">
        <v>333.84940896115779</v>
      </c>
      <c r="L71">
        <v>7380.0090794359166</v>
      </c>
      <c r="M71">
        <v>7380.0090794358102</v>
      </c>
      <c r="N71">
        <v>9174.3798309836966</v>
      </c>
      <c r="O71">
        <v>12995.783659516959</v>
      </c>
      <c r="P71">
        <v>-152726735.70396101</v>
      </c>
      <c r="Q71">
        <v>334.31195158899021</v>
      </c>
      <c r="R71">
        <v>1972.0144048036391</v>
      </c>
      <c r="S71" t="b">
        <v>1</v>
      </c>
      <c r="T71" t="b">
        <v>1</v>
      </c>
      <c r="U71" t="b">
        <v>1</v>
      </c>
      <c r="V71" t="b">
        <v>1</v>
      </c>
    </row>
    <row r="72" spans="1:22" x14ac:dyDescent="0.3">
      <c r="A72" s="1" t="s">
        <v>91</v>
      </c>
      <c r="B72">
        <v>3131.946942316943</v>
      </c>
      <c r="C72">
        <v>3959.6103699636701</v>
      </c>
      <c r="D72">
        <v>5916.6570517195214</v>
      </c>
      <c r="E72">
        <v>9687.4525760979759</v>
      </c>
      <c r="F72">
        <v>16713.858598759682</v>
      </c>
      <c r="G72">
        <v>32705.830362258959</v>
      </c>
      <c r="H72">
        <v>4539.4524104761931</v>
      </c>
      <c r="I72">
        <v>5298.9949991427029</v>
      </c>
      <c r="J72">
        <v>5298.9949991425437</v>
      </c>
      <c r="K72">
        <v>371.11170467453911</v>
      </c>
      <c r="L72">
        <v>4437.8410732502571</v>
      </c>
      <c r="M72">
        <v>4437.8410732503698</v>
      </c>
      <c r="N72">
        <v>7955.5553800725684</v>
      </c>
      <c r="O72">
        <v>5298.9949991425437</v>
      </c>
      <c r="P72">
        <v>5298.9949991424173</v>
      </c>
      <c r="Q72">
        <v>372.88381745163042</v>
      </c>
      <c r="R72">
        <v>432.42068500315509</v>
      </c>
      <c r="S72" t="b">
        <v>1</v>
      </c>
      <c r="T72" t="b">
        <v>0</v>
      </c>
      <c r="U72" t="b">
        <v>1</v>
      </c>
      <c r="V72" t="b">
        <v>0</v>
      </c>
    </row>
    <row r="73" spans="1:22" x14ac:dyDescent="0.3">
      <c r="A73" s="1" t="s">
        <v>92</v>
      </c>
      <c r="B73">
        <v>1167.2181979652009</v>
      </c>
      <c r="C73">
        <v>1314.140490115411</v>
      </c>
      <c r="D73">
        <v>1937.7259155732011</v>
      </c>
      <c r="E73">
        <v>2389.268743574678</v>
      </c>
      <c r="F73">
        <v>4301.7625467776479</v>
      </c>
      <c r="G73">
        <v>4741.55188919794</v>
      </c>
      <c r="H73">
        <v>2294.9416966555291</v>
      </c>
      <c r="I73">
        <v>5672.6677329086169</v>
      </c>
      <c r="J73">
        <v>5672.6677329085996</v>
      </c>
      <c r="K73">
        <v>368.83106970938479</v>
      </c>
      <c r="L73">
        <v>1783.178855585345</v>
      </c>
      <c r="M73">
        <v>1783.178855585347</v>
      </c>
      <c r="N73">
        <v>1783.178855585347</v>
      </c>
      <c r="O73">
        <v>5672.6677329086042</v>
      </c>
      <c r="P73">
        <v>5672.6677329086042</v>
      </c>
      <c r="Q73">
        <v>368.83106970938519</v>
      </c>
      <c r="R73">
        <v>368.83106970938519</v>
      </c>
      <c r="S73" t="b">
        <v>1</v>
      </c>
      <c r="T73" t="b">
        <v>1</v>
      </c>
      <c r="U73" t="b">
        <v>1</v>
      </c>
      <c r="V73" t="b">
        <v>1</v>
      </c>
    </row>
    <row r="74" spans="1:22" x14ac:dyDescent="0.3">
      <c r="A74" s="1" t="s">
        <v>93</v>
      </c>
      <c r="B74">
        <v>528.12493401165693</v>
      </c>
      <c r="C74">
        <v>915.15563264087132</v>
      </c>
      <c r="D74">
        <v>1392.128476647126</v>
      </c>
      <c r="E74">
        <v>251.1797461723732</v>
      </c>
      <c r="F74">
        <v>305.41615451955141</v>
      </c>
      <c r="G74">
        <v>401.84900733565291</v>
      </c>
      <c r="H74">
        <v>518.61485966970599</v>
      </c>
      <c r="I74">
        <v>5949.3208487914972</v>
      </c>
      <c r="J74">
        <v>5949.3208487915217</v>
      </c>
      <c r="K74">
        <v>98.795702783867725</v>
      </c>
      <c r="L74">
        <v>1781.427109588594</v>
      </c>
      <c r="M74">
        <v>1781.4271095885999</v>
      </c>
      <c r="N74">
        <v>1781.4271095885999</v>
      </c>
      <c r="O74">
        <v>5949.3208487915244</v>
      </c>
      <c r="P74">
        <v>5949.3208487915244</v>
      </c>
      <c r="Q74">
        <v>98.795702783867654</v>
      </c>
      <c r="R74">
        <v>98.795702783867654</v>
      </c>
      <c r="S74" t="b">
        <v>1</v>
      </c>
      <c r="T74" t="b">
        <v>1</v>
      </c>
      <c r="U74" t="b">
        <v>1</v>
      </c>
      <c r="V74" t="b">
        <v>1</v>
      </c>
    </row>
    <row r="75" spans="1:22" x14ac:dyDescent="0.3">
      <c r="A75" s="1" t="s">
        <v>94</v>
      </c>
      <c r="B75">
        <v>97.595690131726343</v>
      </c>
      <c r="C75">
        <v>100.63152176082789</v>
      </c>
      <c r="D75">
        <v>140.52577358408871</v>
      </c>
      <c r="E75">
        <v>315.20772167535063</v>
      </c>
      <c r="F75">
        <v>484.05438154671941</v>
      </c>
      <c r="G75">
        <v>4556.9374748830369</v>
      </c>
      <c r="H75">
        <v>311.71626326399308</v>
      </c>
      <c r="I75">
        <v>15765.416113872039</v>
      </c>
      <c r="J75">
        <v>15765.416113872039</v>
      </c>
      <c r="K75">
        <v>16.8071628139359</v>
      </c>
      <c r="L75">
        <v>946.88486077604455</v>
      </c>
      <c r="M75">
        <v>946.88486077604693</v>
      </c>
      <c r="N75">
        <v>946.88486077604693</v>
      </c>
      <c r="O75">
        <v>15765.41611387205</v>
      </c>
      <c r="P75">
        <v>15765.41611387205</v>
      </c>
      <c r="Q75">
        <v>16.807162813935911</v>
      </c>
      <c r="R75">
        <v>16.807162813935911</v>
      </c>
      <c r="S75" t="b">
        <v>1</v>
      </c>
      <c r="T75" t="b">
        <v>1</v>
      </c>
      <c r="U75" t="b">
        <v>1</v>
      </c>
      <c r="V75" t="b">
        <v>1</v>
      </c>
    </row>
    <row r="76" spans="1:22" x14ac:dyDescent="0.3">
      <c r="A76" s="1" t="s">
        <v>95</v>
      </c>
      <c r="B76">
        <v>60.980236054849513</v>
      </c>
      <c r="C76">
        <v>113.4145962702992</v>
      </c>
      <c r="D76">
        <v>155.15664987951871</v>
      </c>
      <c r="E76">
        <v>196.27910392993431</v>
      </c>
      <c r="F76">
        <v>280.85321330631842</v>
      </c>
      <c r="G76">
        <v>3652.5442420710592</v>
      </c>
      <c r="H76">
        <v>883.24197804529911</v>
      </c>
      <c r="I76">
        <v>1226.692695557846</v>
      </c>
      <c r="J76">
        <v>1226.692695557846</v>
      </c>
      <c r="K76">
        <v>8.6549758613892624</v>
      </c>
      <c r="L76">
        <v>275.38837246601742</v>
      </c>
      <c r="M76">
        <v>275.38837246601793</v>
      </c>
      <c r="N76">
        <v>424.57801498876807</v>
      </c>
      <c r="O76">
        <v>1226.6926955578469</v>
      </c>
      <c r="P76">
        <v>1226.692695557849</v>
      </c>
      <c r="Q76">
        <v>8.7212855799571649</v>
      </c>
      <c r="R76">
        <v>9.1504764211662426</v>
      </c>
      <c r="S76" t="b">
        <v>1</v>
      </c>
      <c r="T76" t="b">
        <v>0</v>
      </c>
      <c r="U76" t="b">
        <v>1</v>
      </c>
      <c r="V76" t="b">
        <v>0</v>
      </c>
    </row>
    <row r="77" spans="1:22" x14ac:dyDescent="0.3">
      <c r="A77" s="1" t="s">
        <v>96</v>
      </c>
      <c r="B77">
        <v>12.09254454138803</v>
      </c>
      <c r="C77">
        <v>24.34434412350473</v>
      </c>
      <c r="D77">
        <v>37.005834722650071</v>
      </c>
      <c r="E77">
        <v>260.61314294790151</v>
      </c>
      <c r="F77">
        <v>747.64048559884861</v>
      </c>
      <c r="G77">
        <v>9249.7141279118714</v>
      </c>
      <c r="H77">
        <v>2758.2554892351609</v>
      </c>
      <c r="I77">
        <v>3814.7555473774351</v>
      </c>
      <c r="J77">
        <v>3814.7555473774291</v>
      </c>
      <c r="K77">
        <v>9.1234128351996659</v>
      </c>
      <c r="L77">
        <v>120.69438203681609</v>
      </c>
      <c r="M77">
        <v>120.6943820368159</v>
      </c>
      <c r="N77">
        <v>333.70791522742809</v>
      </c>
      <c r="O77">
        <v>3814.7555473774291</v>
      </c>
      <c r="P77">
        <v>3814.7555473774291</v>
      </c>
      <c r="Q77">
        <v>9.2720063977643594</v>
      </c>
      <c r="R77">
        <v>10.78885156861786</v>
      </c>
      <c r="S77" t="b">
        <v>1</v>
      </c>
      <c r="T77" t="b">
        <v>0</v>
      </c>
      <c r="U77" t="b">
        <v>1</v>
      </c>
      <c r="V77" t="b">
        <v>0</v>
      </c>
    </row>
    <row r="78" spans="1:22" x14ac:dyDescent="0.3">
      <c r="A78" s="1" t="s">
        <v>97</v>
      </c>
      <c r="B78">
        <v>4.1438917209180488</v>
      </c>
      <c r="C78">
        <v>4.3060920651132824</v>
      </c>
      <c r="D78">
        <v>7.624441646729549</v>
      </c>
      <c r="E78">
        <v>22113.56739660287</v>
      </c>
      <c r="F78">
        <v>141274.07463659879</v>
      </c>
      <c r="G78">
        <v>8307849842.4102945</v>
      </c>
      <c r="H78">
        <v>130.83988846360239</v>
      </c>
      <c r="I78">
        <v>3306.422732781482</v>
      </c>
      <c r="J78">
        <v>3306.4227327783069</v>
      </c>
      <c r="K78">
        <v>21.285722357184099</v>
      </c>
      <c r="L78">
        <v>6996.3192512469104</v>
      </c>
      <c r="M78">
        <v>6996.3192512148944</v>
      </c>
      <c r="N78">
        <v>6996.3192512148944</v>
      </c>
      <c r="O78">
        <v>3306.4227327769122</v>
      </c>
      <c r="P78">
        <v>3306.4227327769122</v>
      </c>
      <c r="Q78">
        <v>21.28572235718417</v>
      </c>
      <c r="R78">
        <v>21.28572235718417</v>
      </c>
      <c r="S78" t="b">
        <v>1</v>
      </c>
      <c r="T78" t="b">
        <v>0</v>
      </c>
      <c r="U78" t="b">
        <v>1</v>
      </c>
      <c r="V78" t="b">
        <v>0</v>
      </c>
    </row>
    <row r="79" spans="1:22" x14ac:dyDescent="0.3">
      <c r="A79" s="1" t="s">
        <v>98</v>
      </c>
      <c r="B79">
        <v>1276.130214370753</v>
      </c>
      <c r="C79">
        <v>3134.3100345729508</v>
      </c>
      <c r="D79">
        <v>4112.7964098726488</v>
      </c>
      <c r="E79">
        <v>2591.3192871321899</v>
      </c>
      <c r="F79">
        <v>3353.6255504237279</v>
      </c>
      <c r="G79">
        <v>45755.260422209562</v>
      </c>
      <c r="H79">
        <v>1778.7168701638061</v>
      </c>
      <c r="I79">
        <v>6446.4616893710636</v>
      </c>
      <c r="J79">
        <v>6446.4616893715784</v>
      </c>
      <c r="K79">
        <v>1069.111928004653</v>
      </c>
      <c r="L79">
        <v>7238.3019742229708</v>
      </c>
      <c r="M79">
        <v>7238.3019742234474</v>
      </c>
      <c r="N79">
        <v>7238.3019742234474</v>
      </c>
      <c r="O79">
        <v>6446.4616893728553</v>
      </c>
      <c r="P79">
        <v>6446.4616893728553</v>
      </c>
      <c r="Q79">
        <v>1069.1119280046539</v>
      </c>
      <c r="R79">
        <v>1069.1119280046539</v>
      </c>
      <c r="S79" t="b">
        <v>1</v>
      </c>
      <c r="T79" t="b">
        <v>1</v>
      </c>
      <c r="U79" t="b">
        <v>1</v>
      </c>
      <c r="V79" t="b">
        <v>1</v>
      </c>
    </row>
    <row r="80" spans="1:22" x14ac:dyDescent="0.3">
      <c r="A80" s="1" t="s">
        <v>99</v>
      </c>
      <c r="B80">
        <v>1226.578652064678</v>
      </c>
      <c r="C80">
        <v>1798.51817173874</v>
      </c>
      <c r="D80">
        <v>2795.9131037809598</v>
      </c>
      <c r="E80">
        <v>1342.66742179317</v>
      </c>
      <c r="F80">
        <v>2012.496971489159</v>
      </c>
      <c r="G80">
        <v>14225.74548026971</v>
      </c>
      <c r="H80">
        <v>1392.2109536310591</v>
      </c>
      <c r="I80">
        <v>4290.3134220193506</v>
      </c>
      <c r="J80">
        <v>4290.313422011508</v>
      </c>
      <c r="K80">
        <v>165.54822866658941</v>
      </c>
      <c r="L80">
        <v>4378.9509049309336</v>
      </c>
      <c r="M80">
        <v>4378.9509049306043</v>
      </c>
      <c r="N80">
        <v>4378.9509049306043</v>
      </c>
      <c r="O80">
        <v>4290.3134220114371</v>
      </c>
      <c r="P80">
        <v>4290.3134220114371</v>
      </c>
      <c r="Q80">
        <v>165.54822866658961</v>
      </c>
      <c r="R80">
        <v>165.54822866658961</v>
      </c>
      <c r="S80" t="b">
        <v>1</v>
      </c>
      <c r="T80" t="b">
        <v>0</v>
      </c>
      <c r="U80" t="b">
        <v>1</v>
      </c>
      <c r="V80" t="b">
        <v>0</v>
      </c>
    </row>
    <row r="81" spans="1:22" x14ac:dyDescent="0.3">
      <c r="A81" s="1" t="s">
        <v>100</v>
      </c>
      <c r="B81">
        <v>44.93902988369355</v>
      </c>
      <c r="C81">
        <v>45.894176933805532</v>
      </c>
      <c r="D81">
        <v>83.174188723363287</v>
      </c>
      <c r="E81">
        <v>65.684890931254401</v>
      </c>
      <c r="F81">
        <v>125.1948230107907</v>
      </c>
      <c r="G81">
        <v>859.1191229329761</v>
      </c>
      <c r="H81">
        <v>264.91123745364672</v>
      </c>
      <c r="I81">
        <v>800.11406805183185</v>
      </c>
      <c r="J81">
        <v>800.11406805205843</v>
      </c>
      <c r="K81">
        <v>0.61242131109997899</v>
      </c>
      <c r="L81">
        <v>100.51659050180611</v>
      </c>
      <c r="M81">
        <v>100.5165905017727</v>
      </c>
      <c r="N81">
        <v>100.52872873395241</v>
      </c>
      <c r="O81">
        <v>800.11406805236322</v>
      </c>
      <c r="P81">
        <v>800.11406805344609</v>
      </c>
      <c r="Q81">
        <v>0.61242193468435735</v>
      </c>
      <c r="R81">
        <v>0.61242719415555813</v>
      </c>
      <c r="S81" t="b">
        <v>1</v>
      </c>
      <c r="T81" t="b">
        <v>0</v>
      </c>
      <c r="U81" t="b">
        <v>1</v>
      </c>
      <c r="V81" t="b">
        <v>0</v>
      </c>
    </row>
    <row r="82" spans="1:22" x14ac:dyDescent="0.3">
      <c r="A82" s="1" t="s">
        <v>101</v>
      </c>
      <c r="B82">
        <v>890.99407563118427</v>
      </c>
      <c r="C82">
        <v>2983.4856319593059</v>
      </c>
      <c r="D82">
        <v>4904.1926046913204</v>
      </c>
      <c r="E82">
        <v>2781.4985668803429</v>
      </c>
      <c r="F82">
        <v>4534.1410114098417</v>
      </c>
      <c r="G82">
        <v>18988.682277844589</v>
      </c>
      <c r="H82">
        <v>1040.138253235441</v>
      </c>
      <c r="I82">
        <v>1605.8764928042981</v>
      </c>
      <c r="J82">
        <v>1605.876492804359</v>
      </c>
      <c r="K82">
        <v>33.219061925867727</v>
      </c>
      <c r="L82">
        <v>1054.066884599122</v>
      </c>
      <c r="M82">
        <v>1054.0668845990961</v>
      </c>
      <c r="N82">
        <v>1054.175359231858</v>
      </c>
      <c r="O82">
        <v>1605.8764928033529</v>
      </c>
      <c r="P82">
        <v>1605.8764928045571</v>
      </c>
      <c r="Q82">
        <v>33.219100502819671</v>
      </c>
      <c r="R82">
        <v>33.219387145451897</v>
      </c>
      <c r="S82" t="b">
        <v>1</v>
      </c>
      <c r="T82" t="b">
        <v>0</v>
      </c>
      <c r="U82" t="b">
        <v>1</v>
      </c>
      <c r="V82" t="b">
        <v>0</v>
      </c>
    </row>
    <row r="83" spans="1:22" x14ac:dyDescent="0.3">
      <c r="A83" s="1" t="s">
        <v>102</v>
      </c>
      <c r="B83">
        <v>213.77476687004341</v>
      </c>
      <c r="C83">
        <v>317.10883288925442</v>
      </c>
      <c r="D83">
        <v>387.41460372580917</v>
      </c>
      <c r="E83">
        <v>11.23748571605714</v>
      </c>
      <c r="F83">
        <v>11.439963336561091</v>
      </c>
      <c r="G83">
        <v>12.193732439210359</v>
      </c>
      <c r="H83">
        <v>123.09714811836599</v>
      </c>
      <c r="I83">
        <v>200.023904769409</v>
      </c>
      <c r="J83">
        <v>200.02390476940869</v>
      </c>
      <c r="K83">
        <v>9.3170097928245035</v>
      </c>
      <c r="L83">
        <v>63.603729642307442</v>
      </c>
      <c r="M83">
        <v>63.603729642307499</v>
      </c>
      <c r="N83">
        <v>63.603729642307499</v>
      </c>
      <c r="O83">
        <v>200.02390476940869</v>
      </c>
      <c r="P83">
        <v>200.02390476940869</v>
      </c>
      <c r="Q83">
        <v>9.3170097928245035</v>
      </c>
      <c r="R83">
        <v>9.3170097928245035</v>
      </c>
      <c r="S83" t="b">
        <v>1</v>
      </c>
      <c r="T83" t="b">
        <v>1</v>
      </c>
      <c r="U83" t="b">
        <v>1</v>
      </c>
      <c r="V83" t="b">
        <v>1</v>
      </c>
    </row>
    <row r="84" spans="1:22" x14ac:dyDescent="0.3">
      <c r="A84" s="1" t="s">
        <v>103</v>
      </c>
      <c r="B84">
        <v>677.08158200341813</v>
      </c>
      <c r="C84">
        <v>962.56970595362827</v>
      </c>
      <c r="D84">
        <v>1395.3591935767629</v>
      </c>
      <c r="E84">
        <v>3010.5255553553088</v>
      </c>
      <c r="F84">
        <v>5088.6967088960519</v>
      </c>
      <c r="G84">
        <v>12512.37872709705</v>
      </c>
      <c r="H84">
        <v>6980.7871096195022</v>
      </c>
      <c r="I84">
        <v>369135.81060722662</v>
      </c>
      <c r="J84">
        <v>369135.81060722412</v>
      </c>
      <c r="K84">
        <v>28.891862412622729</v>
      </c>
      <c r="L84">
        <v>573.91889084192906</v>
      </c>
      <c r="M84">
        <v>573.91889084193008</v>
      </c>
      <c r="N84">
        <v>573.91889084193008</v>
      </c>
      <c r="O84">
        <v>369135.8106072332</v>
      </c>
      <c r="P84">
        <v>369135.8106072332</v>
      </c>
      <c r="Q84">
        <v>28.891862412622711</v>
      </c>
      <c r="R84">
        <v>28.891862412622711</v>
      </c>
      <c r="S84" t="b">
        <v>1</v>
      </c>
      <c r="T84" t="b">
        <v>0</v>
      </c>
      <c r="U84" t="b">
        <v>1</v>
      </c>
      <c r="V84" t="b">
        <v>0</v>
      </c>
    </row>
    <row r="85" spans="1:22" x14ac:dyDescent="0.3">
      <c r="A85" s="1" t="s">
        <v>104</v>
      </c>
      <c r="B85">
        <v>729.56548476023011</v>
      </c>
      <c r="C85">
        <v>1025.8521520809511</v>
      </c>
      <c r="D85">
        <v>1719.021620589727</v>
      </c>
      <c r="E85">
        <v>704.65535488735225</v>
      </c>
      <c r="F85">
        <v>1103.6523196973089</v>
      </c>
      <c r="G85">
        <v>1354.1268004153669</v>
      </c>
      <c r="H85">
        <v>1787.9820196665089</v>
      </c>
      <c r="I85">
        <v>1708.140672422061</v>
      </c>
      <c r="J85">
        <v>1708.140672422061</v>
      </c>
      <c r="K85">
        <v>69.401283235223588</v>
      </c>
      <c r="L85">
        <v>616.91562370880945</v>
      </c>
      <c r="M85">
        <v>616.9156237088082</v>
      </c>
      <c r="N85">
        <v>616.9156237088082</v>
      </c>
      <c r="O85">
        <v>1708.1406724220601</v>
      </c>
      <c r="P85">
        <v>1708.1406724220601</v>
      </c>
      <c r="Q85">
        <v>69.401283235223445</v>
      </c>
      <c r="R85">
        <v>69.401283235223445</v>
      </c>
      <c r="S85" t="b">
        <v>1</v>
      </c>
      <c r="T85" t="b">
        <v>1</v>
      </c>
      <c r="U85" t="b">
        <v>1</v>
      </c>
      <c r="V85" t="b">
        <v>1</v>
      </c>
    </row>
    <row r="86" spans="1:22" x14ac:dyDescent="0.3">
      <c r="A86" s="1" t="s">
        <v>105</v>
      </c>
      <c r="B86">
        <v>1749.7838661850319</v>
      </c>
      <c r="C86">
        <v>2224.8781189043648</v>
      </c>
      <c r="D86">
        <v>3082.7633066237122</v>
      </c>
      <c r="E86">
        <v>5267.4103040321697</v>
      </c>
      <c r="F86">
        <v>8371.5204516372069</v>
      </c>
      <c r="G86">
        <v>12942.92449854649</v>
      </c>
      <c r="H86">
        <v>4771.6182643231596</v>
      </c>
      <c r="I86">
        <v>4564.7233777565289</v>
      </c>
      <c r="J86">
        <v>4564.7233777565407</v>
      </c>
      <c r="K86">
        <v>100.2524667583417</v>
      </c>
      <c r="L86">
        <v>756.34967061585371</v>
      </c>
      <c r="M86">
        <v>756.34967061585314</v>
      </c>
      <c r="N86">
        <v>757.48233514585036</v>
      </c>
      <c r="O86">
        <v>4564.7233777565416</v>
      </c>
      <c r="P86">
        <v>4564.7233777577667</v>
      </c>
      <c r="Q86">
        <v>100.2628822125845</v>
      </c>
      <c r="R86">
        <v>100.2809470916594</v>
      </c>
      <c r="S86" t="b">
        <v>1</v>
      </c>
      <c r="T86" t="b">
        <v>0</v>
      </c>
      <c r="U86" t="b">
        <v>1</v>
      </c>
      <c r="V86" t="b">
        <v>0</v>
      </c>
    </row>
    <row r="87" spans="1:22" x14ac:dyDescent="0.3">
      <c r="A87" s="1" t="s">
        <v>106</v>
      </c>
      <c r="B87">
        <v>307.06610239671011</v>
      </c>
      <c r="C87">
        <v>421.56364836195303</v>
      </c>
      <c r="D87">
        <v>615.52382290785329</v>
      </c>
      <c r="E87">
        <v>441.14186929839752</v>
      </c>
      <c r="F87">
        <v>647.45080197488915</v>
      </c>
      <c r="G87">
        <v>4048.9282416375581</v>
      </c>
      <c r="H87">
        <v>1450.9314918503419</v>
      </c>
      <c r="I87">
        <v>2658.381106372914</v>
      </c>
      <c r="J87">
        <v>2658.381106372919</v>
      </c>
      <c r="K87">
        <v>40.466548479778041</v>
      </c>
      <c r="L87">
        <v>1426.2247078904261</v>
      </c>
      <c r="M87">
        <v>1426.224707890414</v>
      </c>
      <c r="N87">
        <v>1426.224707890414</v>
      </c>
      <c r="O87">
        <v>2658.3811063729022</v>
      </c>
      <c r="P87">
        <v>2658.3811063729022</v>
      </c>
      <c r="Q87">
        <v>40.466548479778062</v>
      </c>
      <c r="R87">
        <v>40.466548479778062</v>
      </c>
      <c r="S87" t="b">
        <v>1</v>
      </c>
      <c r="T87" t="b">
        <v>1</v>
      </c>
      <c r="U87" t="b">
        <v>1</v>
      </c>
      <c r="V87" t="b">
        <v>1</v>
      </c>
    </row>
    <row r="88" spans="1:22" x14ac:dyDescent="0.3">
      <c r="A88" s="1" t="s">
        <v>107</v>
      </c>
      <c r="B88">
        <v>292.91738451800228</v>
      </c>
      <c r="C88">
        <v>381.91008834426509</v>
      </c>
      <c r="D88">
        <v>564.33835339376139</v>
      </c>
      <c r="E88">
        <v>408.56599788807449</v>
      </c>
      <c r="F88">
        <v>608.09353021406514</v>
      </c>
      <c r="G88">
        <v>4733.8514663804217</v>
      </c>
      <c r="H88">
        <v>1281.8216036926269</v>
      </c>
      <c r="I88">
        <v>2658.098762402276</v>
      </c>
      <c r="J88">
        <v>2658.0987624022741</v>
      </c>
      <c r="K88">
        <v>37.768322711835708</v>
      </c>
      <c r="L88">
        <v>1597.0914955697849</v>
      </c>
      <c r="M88">
        <v>1597.091495569784</v>
      </c>
      <c r="N88">
        <v>1597.091495569784</v>
      </c>
      <c r="O88">
        <v>2658.0987624022782</v>
      </c>
      <c r="P88">
        <v>2658.0987624022782</v>
      </c>
      <c r="Q88">
        <v>37.768322711835673</v>
      </c>
      <c r="R88">
        <v>37.768322711835673</v>
      </c>
      <c r="S88" t="b">
        <v>1</v>
      </c>
      <c r="T88" t="b">
        <v>1</v>
      </c>
      <c r="U88" t="b">
        <v>1</v>
      </c>
      <c r="V88" t="b">
        <v>1</v>
      </c>
    </row>
    <row r="89" spans="1:22" x14ac:dyDescent="0.3">
      <c r="A89" s="1" t="s">
        <v>108</v>
      </c>
      <c r="B89">
        <v>463.12119716616792</v>
      </c>
      <c r="C89">
        <v>1747.4893673391409</v>
      </c>
      <c r="D89">
        <v>2850.1451290790501</v>
      </c>
      <c r="E89">
        <v>4360.1497059556477</v>
      </c>
      <c r="F89">
        <v>8303.0654749882578</v>
      </c>
      <c r="G89">
        <v>13119.448024860651</v>
      </c>
      <c r="H89">
        <v>5507.9183031237762</v>
      </c>
      <c r="I89">
        <v>9697.610201135627</v>
      </c>
      <c r="J89">
        <v>9697.610201135627</v>
      </c>
      <c r="K89">
        <v>141.054997827715</v>
      </c>
      <c r="L89">
        <v>3075.7853574723122</v>
      </c>
      <c r="M89">
        <v>3075.7853574723131</v>
      </c>
      <c r="N89">
        <v>3077.963682549535</v>
      </c>
      <c r="O89">
        <v>9697.6102011356397</v>
      </c>
      <c r="P89">
        <v>9697.6102011356379</v>
      </c>
      <c r="Q89">
        <v>141.34663972623599</v>
      </c>
      <c r="R89">
        <v>141.4447562707968</v>
      </c>
      <c r="S89" t="b">
        <v>1</v>
      </c>
      <c r="T89" t="b">
        <v>0</v>
      </c>
      <c r="U89" t="b">
        <v>1</v>
      </c>
      <c r="V89" t="b">
        <v>0</v>
      </c>
    </row>
    <row r="90" spans="1:22" x14ac:dyDescent="0.3">
      <c r="A90" s="1" t="s">
        <v>109</v>
      </c>
      <c r="B90">
        <v>142.14085571918031</v>
      </c>
      <c r="C90">
        <v>312.45642185669118</v>
      </c>
      <c r="D90">
        <v>413.47155107990989</v>
      </c>
      <c r="E90">
        <v>180.09145725979249</v>
      </c>
      <c r="F90">
        <v>228.8761528162444</v>
      </c>
      <c r="G90">
        <v>856.34911998812765</v>
      </c>
      <c r="H90">
        <v>1749.29377669064</v>
      </c>
      <c r="I90">
        <v>3404.5021289486449</v>
      </c>
      <c r="J90">
        <v>3404.502128948639</v>
      </c>
      <c r="K90">
        <v>23.100502705349431</v>
      </c>
      <c r="L90">
        <v>1144.0361512498009</v>
      </c>
      <c r="M90">
        <v>1144.0361512497991</v>
      </c>
      <c r="N90">
        <v>-2792.2923009327778</v>
      </c>
      <c r="O90">
        <v>3404.502128948639</v>
      </c>
      <c r="P90">
        <v>3404.5021289486381</v>
      </c>
      <c r="Q90">
        <v>23.100592089379859</v>
      </c>
      <c r="R90">
        <v>-634.66919369472203</v>
      </c>
      <c r="S90" t="b">
        <v>1</v>
      </c>
      <c r="T90" t="b">
        <v>1</v>
      </c>
      <c r="U90" t="b">
        <v>1</v>
      </c>
      <c r="V90" t="b">
        <v>1</v>
      </c>
    </row>
    <row r="91" spans="1:22" x14ac:dyDescent="0.3">
      <c r="A91" s="1" t="s">
        <v>110</v>
      </c>
      <c r="B91">
        <v>665.38052370845969</v>
      </c>
      <c r="C91">
        <v>1082.2802950837349</v>
      </c>
      <c r="D91">
        <v>1517.283984670722</v>
      </c>
      <c r="E91">
        <v>618.57246701227973</v>
      </c>
      <c r="F91">
        <v>819.3800036178726</v>
      </c>
      <c r="G91">
        <v>1854.0709505615</v>
      </c>
      <c r="H91">
        <v>1804.733027945364</v>
      </c>
      <c r="I91">
        <v>2755.0298204533128</v>
      </c>
      <c r="J91">
        <v>2755.0298204533142</v>
      </c>
      <c r="K91">
        <v>46.117262557164793</v>
      </c>
      <c r="L91">
        <v>1242.8049956603941</v>
      </c>
      <c r="M91">
        <v>1242.804995660392</v>
      </c>
      <c r="N91">
        <v>1242.804995660392</v>
      </c>
      <c r="O91">
        <v>2755.0298204533119</v>
      </c>
      <c r="P91">
        <v>2755.0298204533119</v>
      </c>
      <c r="Q91">
        <v>46.117262557164807</v>
      </c>
      <c r="R91">
        <v>46.117262557164807</v>
      </c>
      <c r="S91" t="b">
        <v>1</v>
      </c>
      <c r="T91" t="b">
        <v>1</v>
      </c>
      <c r="U91" t="b">
        <v>1</v>
      </c>
      <c r="V91" t="b">
        <v>1</v>
      </c>
    </row>
    <row r="92" spans="1:22" x14ac:dyDescent="0.3">
      <c r="A92" s="1" t="s">
        <v>111</v>
      </c>
      <c r="B92">
        <v>441.01400803586188</v>
      </c>
      <c r="C92">
        <v>650.12666841029954</v>
      </c>
      <c r="D92">
        <v>910.54723240320027</v>
      </c>
      <c r="E92">
        <v>1493.86361946121</v>
      </c>
      <c r="F92">
        <v>2355.7952761482879</v>
      </c>
      <c r="G92">
        <v>12478.521726169291</v>
      </c>
      <c r="H92">
        <v>1820.151319738977</v>
      </c>
      <c r="I92">
        <v>2714.6266933241718</v>
      </c>
      <c r="J92">
        <v>2714.6266933241709</v>
      </c>
      <c r="K92">
        <v>34.195256712750833</v>
      </c>
      <c r="L92">
        <v>683.79706204765057</v>
      </c>
      <c r="M92">
        <v>683.79706204765239</v>
      </c>
      <c r="N92">
        <v>683.79706204765239</v>
      </c>
      <c r="O92">
        <v>2714.6266933241709</v>
      </c>
      <c r="P92">
        <v>2714.6266933241709</v>
      </c>
      <c r="Q92">
        <v>34.19525671275084</v>
      </c>
      <c r="R92">
        <v>34.19525671275084</v>
      </c>
      <c r="S92" t="b">
        <v>1</v>
      </c>
      <c r="T92" t="b">
        <v>1</v>
      </c>
      <c r="U92" t="b">
        <v>1</v>
      </c>
      <c r="V92" t="b">
        <v>1</v>
      </c>
    </row>
    <row r="93" spans="1:22" x14ac:dyDescent="0.3">
      <c r="A93" s="1" t="s">
        <v>112</v>
      </c>
      <c r="B93">
        <v>1109.3475037405931</v>
      </c>
      <c r="C93">
        <v>1479.8235443093261</v>
      </c>
      <c r="D93">
        <v>2362.8815024322921</v>
      </c>
      <c r="E93">
        <v>854.69659454034013</v>
      </c>
      <c r="F93">
        <v>1256.4289149237241</v>
      </c>
      <c r="G93">
        <v>2357.2968486315508</v>
      </c>
      <c r="H93">
        <v>1945.9635956933989</v>
      </c>
      <c r="I93">
        <v>4679.1510075980159</v>
      </c>
      <c r="J93">
        <v>4679.1510075976203</v>
      </c>
      <c r="K93">
        <v>116.01343887776039</v>
      </c>
      <c r="L93">
        <v>2951.7175829489388</v>
      </c>
      <c r="M93">
        <v>2951.7175829488829</v>
      </c>
      <c r="N93">
        <v>-256798053382043.81</v>
      </c>
      <c r="O93">
        <v>4679.1510075978686</v>
      </c>
      <c r="P93">
        <v>1.6836249293308989E+17</v>
      </c>
      <c r="Q93">
        <v>116.2333977330477</v>
      </c>
      <c r="R93">
        <v>-4641795370846410</v>
      </c>
      <c r="S93" t="b">
        <v>1</v>
      </c>
      <c r="T93" t="b">
        <v>1</v>
      </c>
      <c r="U93" t="b">
        <v>1</v>
      </c>
      <c r="V93" t="b">
        <v>1</v>
      </c>
    </row>
    <row r="94" spans="1:22" x14ac:dyDescent="0.3">
      <c r="A94" s="1" t="s">
        <v>113</v>
      </c>
      <c r="B94">
        <v>925.08901661957384</v>
      </c>
      <c r="C94">
        <v>1286.154365671885</v>
      </c>
      <c r="D94">
        <v>2107.490755430124</v>
      </c>
      <c r="E94">
        <v>393.41223290328941</v>
      </c>
      <c r="F94">
        <v>549.4297669145443</v>
      </c>
      <c r="G94">
        <v>794.04602632360888</v>
      </c>
      <c r="H94">
        <v>1508.5730368224361</v>
      </c>
      <c r="I94">
        <v>1644.1775710962741</v>
      </c>
      <c r="J94">
        <v>1644.177571096272</v>
      </c>
      <c r="K94">
        <v>21.245945892632591</v>
      </c>
      <c r="L94">
        <v>286.83663212413819</v>
      </c>
      <c r="M94">
        <v>286.83663212413819</v>
      </c>
      <c r="N94">
        <v>286.83663212413819</v>
      </c>
      <c r="O94">
        <v>1644.177571096272</v>
      </c>
      <c r="P94">
        <v>1644.177571096272</v>
      </c>
      <c r="Q94">
        <v>21.245945892632609</v>
      </c>
      <c r="R94">
        <v>21.245945892632609</v>
      </c>
      <c r="S94" t="b">
        <v>1</v>
      </c>
      <c r="T94" t="b">
        <v>1</v>
      </c>
      <c r="U94" t="b">
        <v>1</v>
      </c>
      <c r="V94" t="b">
        <v>1</v>
      </c>
    </row>
    <row r="95" spans="1:22" x14ac:dyDescent="0.3">
      <c r="A95" s="1" t="s">
        <v>114</v>
      </c>
      <c r="B95">
        <v>1295.4277328843909</v>
      </c>
      <c r="C95">
        <v>1883.7890289526781</v>
      </c>
      <c r="D95">
        <v>3238.7346499304931</v>
      </c>
      <c r="E95">
        <v>1231.621140747272</v>
      </c>
      <c r="F95">
        <v>1935.771299648246</v>
      </c>
      <c r="G95">
        <v>2156.5581696911941</v>
      </c>
      <c r="H95">
        <v>13373.320423780669</v>
      </c>
      <c r="I95">
        <v>15704.567549784149</v>
      </c>
      <c r="J95">
        <v>15704.5675497842</v>
      </c>
      <c r="K95">
        <v>202.1673096771874</v>
      </c>
      <c r="L95">
        <v>5904.4500927527424</v>
      </c>
      <c r="M95">
        <v>5904.4500927526997</v>
      </c>
      <c r="N95">
        <v>5904.4500927526997</v>
      </c>
      <c r="O95">
        <v>15704.56754978428</v>
      </c>
      <c r="P95">
        <v>15704.56754978428</v>
      </c>
      <c r="Q95">
        <v>202.1673096771876</v>
      </c>
      <c r="R95">
        <v>202.1673096771876</v>
      </c>
      <c r="S95" t="b">
        <v>1</v>
      </c>
      <c r="T95" t="b">
        <v>1</v>
      </c>
      <c r="U95" t="b">
        <v>1</v>
      </c>
      <c r="V95" t="b">
        <v>1</v>
      </c>
    </row>
    <row r="96" spans="1:22" x14ac:dyDescent="0.3">
      <c r="A96" s="1" t="s">
        <v>115</v>
      </c>
      <c r="B96">
        <v>10.866356998637601</v>
      </c>
      <c r="C96">
        <v>64.32114220754417</v>
      </c>
      <c r="D96">
        <v>119.1824260983458</v>
      </c>
      <c r="E96">
        <v>6.0662840548272561</v>
      </c>
      <c r="F96">
        <v>8.1058772106783401</v>
      </c>
      <c r="G96">
        <v>10.84002722797195</v>
      </c>
      <c r="H96">
        <v>212.93877311096259</v>
      </c>
      <c r="I96">
        <v>313.45388136578418</v>
      </c>
      <c r="J96">
        <v>313.45388136577759</v>
      </c>
      <c r="K96">
        <v>1.390650772261868</v>
      </c>
      <c r="L96">
        <v>45.952932052312818</v>
      </c>
      <c r="M96">
        <v>45.952932052312917</v>
      </c>
      <c r="N96">
        <v>45.956105596468213</v>
      </c>
      <c r="O96">
        <v>313.45388136577782</v>
      </c>
      <c r="P96">
        <v>313.45388136577782</v>
      </c>
      <c r="Q96">
        <v>1.390651488952666</v>
      </c>
      <c r="R96">
        <v>1.3906581810617991</v>
      </c>
      <c r="S96" t="b">
        <v>1</v>
      </c>
      <c r="T96" t="b">
        <v>1</v>
      </c>
      <c r="U96" t="b">
        <v>1</v>
      </c>
      <c r="V96" t="b">
        <v>1</v>
      </c>
    </row>
    <row r="97" spans="1:22" x14ac:dyDescent="0.3">
      <c r="A97" s="1" t="s">
        <v>116</v>
      </c>
      <c r="B97">
        <v>119.72031456793231</v>
      </c>
      <c r="C97">
        <v>142.8298347798704</v>
      </c>
      <c r="D97">
        <v>214.10500643818841</v>
      </c>
      <c r="E97">
        <v>72.961535398487072</v>
      </c>
      <c r="F97">
        <v>98.099837278165111</v>
      </c>
      <c r="G97">
        <v>225.69918790148279</v>
      </c>
      <c r="H97">
        <v>459.23106981395142</v>
      </c>
      <c r="I97">
        <v>1684.1004124997639</v>
      </c>
      <c r="J97">
        <v>1684.100412499763</v>
      </c>
      <c r="K97">
        <v>-53.283577003565981</v>
      </c>
      <c r="L97">
        <v>-1571.497818730682</v>
      </c>
      <c r="M97">
        <v>-1571.497818730679</v>
      </c>
      <c r="N97">
        <v>-1480.765511895396</v>
      </c>
      <c r="O97">
        <v>1684.100412499761</v>
      </c>
      <c r="P97">
        <v>1684.100412499761</v>
      </c>
      <c r="Q97">
        <v>-53.356717080273697</v>
      </c>
      <c r="R97">
        <v>-51.103757158398437</v>
      </c>
      <c r="S97" t="b">
        <v>1</v>
      </c>
      <c r="T97" t="b">
        <v>1</v>
      </c>
      <c r="U97" t="b">
        <v>1</v>
      </c>
      <c r="V97" t="b">
        <v>1</v>
      </c>
    </row>
    <row r="98" spans="1:22" x14ac:dyDescent="0.3">
      <c r="A98" s="1" t="s">
        <v>117</v>
      </c>
      <c r="B98">
        <v>111.900011650493</v>
      </c>
      <c r="C98">
        <v>253.4441401861547</v>
      </c>
      <c r="D98">
        <v>363.89581850763579</v>
      </c>
      <c r="E98">
        <v>106.96166203594009</v>
      </c>
      <c r="F98">
        <v>142.40582440638821</v>
      </c>
      <c r="G98">
        <v>512.04322922570498</v>
      </c>
      <c r="H98">
        <v>414.59122654183898</v>
      </c>
      <c r="I98">
        <v>933.66469355491768</v>
      </c>
      <c r="J98">
        <v>933.66469355489062</v>
      </c>
      <c r="K98">
        <v>39.504298097439531</v>
      </c>
      <c r="L98">
        <v>612.77502137062254</v>
      </c>
      <c r="M98">
        <v>612.77502137061686</v>
      </c>
      <c r="N98">
        <v>612.77502137061686</v>
      </c>
      <c r="O98">
        <v>933.66469355491631</v>
      </c>
      <c r="P98">
        <v>933.66469355491631</v>
      </c>
      <c r="Q98">
        <v>39.504298097439623</v>
      </c>
      <c r="R98">
        <v>39.504298097439623</v>
      </c>
      <c r="S98" t="b">
        <v>1</v>
      </c>
      <c r="T98" t="b">
        <v>1</v>
      </c>
      <c r="U98" t="b">
        <v>1</v>
      </c>
      <c r="V98" t="b">
        <v>1</v>
      </c>
    </row>
    <row r="99" spans="1:22" x14ac:dyDescent="0.3">
      <c r="A99" s="1" t="s">
        <v>118</v>
      </c>
      <c r="B99">
        <v>368.39384648141032</v>
      </c>
      <c r="C99">
        <v>596.66109364103477</v>
      </c>
      <c r="D99">
        <v>883.04211904013539</v>
      </c>
      <c r="E99">
        <v>141.9474135577324</v>
      </c>
      <c r="F99">
        <v>176.69397892647359</v>
      </c>
      <c r="G99">
        <v>323.82808031456472</v>
      </c>
      <c r="H99">
        <v>550.05628989774004</v>
      </c>
      <c r="I99">
        <v>794.23790054540825</v>
      </c>
      <c r="J99">
        <v>794.23790054540734</v>
      </c>
      <c r="K99">
        <v>42.642665015240382</v>
      </c>
      <c r="L99">
        <v>388.32869657974442</v>
      </c>
      <c r="M99">
        <v>388.32869657974442</v>
      </c>
      <c r="N99">
        <v>388.32869657974442</v>
      </c>
      <c r="O99">
        <v>794.23790054540848</v>
      </c>
      <c r="P99">
        <v>794.23790054540848</v>
      </c>
      <c r="Q99">
        <v>42.642665015240382</v>
      </c>
      <c r="R99">
        <v>42.642665015240382</v>
      </c>
      <c r="S99" t="b">
        <v>1</v>
      </c>
      <c r="T99" t="b">
        <v>1</v>
      </c>
      <c r="U99" t="b">
        <v>1</v>
      </c>
      <c r="V99" t="b">
        <v>1</v>
      </c>
    </row>
    <row r="100" spans="1:22" x14ac:dyDescent="0.3">
      <c r="A100" s="1" t="s">
        <v>119</v>
      </c>
      <c r="B100">
        <v>5304.9780663344582</v>
      </c>
      <c r="C100">
        <v>8782.4648779714225</v>
      </c>
      <c r="D100">
        <v>14073.65162402555</v>
      </c>
      <c r="E100">
        <v>2252.932492525686</v>
      </c>
      <c r="F100">
        <v>3136.6630304744758</v>
      </c>
      <c r="G100">
        <v>50508.504591793549</v>
      </c>
      <c r="H100">
        <v>5776.262904518363</v>
      </c>
      <c r="I100">
        <v>3254.379208524284</v>
      </c>
      <c r="J100">
        <v>3254.379208524284</v>
      </c>
      <c r="K100">
        <v>2509.4794297501949</v>
      </c>
      <c r="L100">
        <v>3780.0892802982848</v>
      </c>
      <c r="M100">
        <v>3780.089280298278</v>
      </c>
      <c r="N100">
        <v>3780.4898565409048</v>
      </c>
      <c r="O100">
        <v>3254.3792085242858</v>
      </c>
      <c r="P100">
        <v>3254.379208524143</v>
      </c>
      <c r="Q100">
        <v>2509.4823718569542</v>
      </c>
      <c r="R100">
        <v>2510.366710715587</v>
      </c>
      <c r="S100" t="b">
        <v>1</v>
      </c>
      <c r="T100" t="b">
        <v>1</v>
      </c>
      <c r="U100" t="b">
        <v>1</v>
      </c>
      <c r="V100" t="b">
        <v>1</v>
      </c>
    </row>
    <row r="101" spans="1:22" x14ac:dyDescent="0.3">
      <c r="A101" s="1" t="s">
        <v>120</v>
      </c>
      <c r="B101">
        <v>221.74104870169319</v>
      </c>
      <c r="C101">
        <v>671.51427163910625</v>
      </c>
      <c r="D101">
        <v>1104.03262276644</v>
      </c>
      <c r="E101">
        <v>233.20782647233889</v>
      </c>
      <c r="F101">
        <v>311.57464814164649</v>
      </c>
      <c r="G101">
        <v>456.54602934117207</v>
      </c>
      <c r="H101">
        <v>1031.3586691978339</v>
      </c>
      <c r="I101">
        <v>1923.7802648391721</v>
      </c>
      <c r="J101">
        <v>1923.7802648392101</v>
      </c>
      <c r="K101">
        <v>59.784769605631823</v>
      </c>
      <c r="L101">
        <v>518.37215241270053</v>
      </c>
      <c r="M101">
        <v>518.37215241270007</v>
      </c>
      <c r="N101">
        <v>518.37215241270007</v>
      </c>
      <c r="O101">
        <v>1923.7802648392101</v>
      </c>
      <c r="P101">
        <v>1923.7802648392101</v>
      </c>
      <c r="Q101">
        <v>59.784769605631837</v>
      </c>
      <c r="R101">
        <v>59.784769605631837</v>
      </c>
      <c r="S101" t="b">
        <v>1</v>
      </c>
      <c r="T101" t="b">
        <v>1</v>
      </c>
      <c r="U101" t="b">
        <v>1</v>
      </c>
      <c r="V101" t="b">
        <v>1</v>
      </c>
    </row>
    <row r="102" spans="1:22" x14ac:dyDescent="0.3">
      <c r="A102" s="1" t="s">
        <v>121</v>
      </c>
      <c r="B102">
        <v>184.88634146940149</v>
      </c>
      <c r="C102">
        <v>794.13073566487515</v>
      </c>
      <c r="D102">
        <v>1033.0660872270009</v>
      </c>
      <c r="E102">
        <v>455.01805622385069</v>
      </c>
      <c r="F102">
        <v>573.42987327105106</v>
      </c>
      <c r="G102">
        <v>1669.767069109256</v>
      </c>
      <c r="H102">
        <v>1204.62778640599</v>
      </c>
      <c r="I102">
        <v>358.08467114425838</v>
      </c>
      <c r="J102">
        <v>358.08467114425832</v>
      </c>
      <c r="K102">
        <v>-2.351998148145757</v>
      </c>
      <c r="L102">
        <v>550.41184139421694</v>
      </c>
      <c r="M102">
        <v>550.41184139421784</v>
      </c>
      <c r="N102">
        <v>550.41184139421784</v>
      </c>
      <c r="O102">
        <v>358.08467114425821</v>
      </c>
      <c r="P102">
        <v>358.08467114425821</v>
      </c>
      <c r="Q102">
        <v>-2.3519981481457588</v>
      </c>
      <c r="R102">
        <v>-2.3519981481457588</v>
      </c>
      <c r="S102" t="b">
        <v>1</v>
      </c>
      <c r="T102" t="b">
        <v>1</v>
      </c>
      <c r="U102" t="b">
        <v>1</v>
      </c>
      <c r="V102" t="b">
        <v>1</v>
      </c>
    </row>
    <row r="103" spans="1:22" x14ac:dyDescent="0.3">
      <c r="A103" s="1" t="s">
        <v>122</v>
      </c>
      <c r="B103">
        <v>1383.870740191197</v>
      </c>
      <c r="C103">
        <v>2897.915002183242</v>
      </c>
      <c r="D103">
        <v>4089.8834942338631</v>
      </c>
      <c r="E103">
        <v>1297.08375771854</v>
      </c>
      <c r="F103">
        <v>1682.1705108155691</v>
      </c>
      <c r="G103">
        <v>2131.9473398774189</v>
      </c>
      <c r="H103">
        <v>13038.106614295721</v>
      </c>
      <c r="I103">
        <v>30163.90658663445</v>
      </c>
      <c r="J103">
        <v>30163.906586634301</v>
      </c>
      <c r="K103">
        <v>189.2944539728793</v>
      </c>
      <c r="L103">
        <v>2137.2660082543121</v>
      </c>
      <c r="M103">
        <v>2137.2660082543171</v>
      </c>
      <c r="N103">
        <v>6656.8916151444473</v>
      </c>
      <c r="O103">
        <v>30163.906586634301</v>
      </c>
      <c r="P103">
        <v>-1454756.615379066</v>
      </c>
      <c r="Q103">
        <v>189.31947222657899</v>
      </c>
      <c r="R103">
        <v>-618.1366600818003</v>
      </c>
      <c r="S103" t="b">
        <v>1</v>
      </c>
      <c r="T103" t="b">
        <v>0</v>
      </c>
      <c r="U103" t="b">
        <v>1</v>
      </c>
      <c r="V103" t="b">
        <v>0</v>
      </c>
    </row>
    <row r="104" spans="1:22" x14ac:dyDescent="0.3">
      <c r="A104" s="1" t="s">
        <v>123</v>
      </c>
      <c r="B104">
        <v>3.8740760818294748</v>
      </c>
      <c r="C104">
        <v>4.5871984305390114</v>
      </c>
      <c r="D104">
        <v>5.8089999999999966</v>
      </c>
      <c r="E104">
        <v>3.2213603398256918</v>
      </c>
      <c r="F104">
        <v>3.9401676348093768</v>
      </c>
      <c r="G104">
        <v>6.027328800602854</v>
      </c>
      <c r="H104">
        <v>157.0762032346945</v>
      </c>
      <c r="I104">
        <v>135.76934794418929</v>
      </c>
      <c r="J104">
        <v>135.76934794418929</v>
      </c>
      <c r="K104">
        <v>0.65084737900354195</v>
      </c>
      <c r="L104">
        <v>11.96395351070661</v>
      </c>
      <c r="M104">
        <v>11.96395351070659</v>
      </c>
      <c r="N104">
        <v>11.97103444384174</v>
      </c>
      <c r="O104">
        <v>135.76934794418929</v>
      </c>
      <c r="P104">
        <v>135.76934794418929</v>
      </c>
      <c r="Q104">
        <v>0.65089096061273699</v>
      </c>
      <c r="R104">
        <v>0.65149385812812943</v>
      </c>
      <c r="S104" t="b">
        <v>1</v>
      </c>
      <c r="T104" t="b">
        <v>1</v>
      </c>
      <c r="U104" t="b">
        <v>1</v>
      </c>
      <c r="V104" t="b">
        <v>1</v>
      </c>
    </row>
    <row r="105" spans="1:22" x14ac:dyDescent="0.3">
      <c r="A105" s="1" t="s">
        <v>124</v>
      </c>
      <c r="B105">
        <v>47.314552624659513</v>
      </c>
      <c r="C105">
        <v>48.290574334250607</v>
      </c>
      <c r="D105">
        <v>51.492999999999988</v>
      </c>
      <c r="E105">
        <v>116.5816572186455</v>
      </c>
      <c r="F105">
        <v>130.02561264955779</v>
      </c>
      <c r="G105">
        <v>191.60054391250401</v>
      </c>
      <c r="H105">
        <v>156.64688803171089</v>
      </c>
      <c r="I105">
        <v>158.60732663367651</v>
      </c>
      <c r="J105">
        <v>158.60732663367631</v>
      </c>
      <c r="K105">
        <v>5.7512583491242486</v>
      </c>
      <c r="L105">
        <v>45.930777645040102</v>
      </c>
      <c r="M105">
        <v>45.930777645040052</v>
      </c>
      <c r="N105">
        <v>45.940077548196697</v>
      </c>
      <c r="O105">
        <v>158.60732663367651</v>
      </c>
      <c r="P105">
        <v>158.60732663367659</v>
      </c>
      <c r="Q105">
        <v>5.7516212819503414</v>
      </c>
      <c r="R105">
        <v>5.7555688780914496</v>
      </c>
      <c r="S105" t="b">
        <v>1</v>
      </c>
      <c r="T105" t="b">
        <v>1</v>
      </c>
      <c r="U105" t="b">
        <v>1</v>
      </c>
      <c r="V105" t="b">
        <v>1</v>
      </c>
    </row>
    <row r="106" spans="1:22" x14ac:dyDescent="0.3">
      <c r="A106" s="1" t="s">
        <v>125</v>
      </c>
      <c r="B106">
        <v>22.144255574459748</v>
      </c>
      <c r="C106">
        <v>22.995681141789511</v>
      </c>
      <c r="D106">
        <v>24.98299999999999</v>
      </c>
      <c r="E106">
        <v>17.50954426798463</v>
      </c>
      <c r="F106">
        <v>18.77604336458835</v>
      </c>
      <c r="G106">
        <v>27.290121439204121</v>
      </c>
      <c r="H106">
        <v>45.712986791069433</v>
      </c>
      <c r="I106">
        <v>44.660549567146766</v>
      </c>
      <c r="J106">
        <v>44.660549567146752</v>
      </c>
      <c r="K106">
        <v>2.3773772371019422</v>
      </c>
      <c r="L106">
        <v>22.40417115140016</v>
      </c>
      <c r="M106">
        <v>22.404171151400099</v>
      </c>
      <c r="N106">
        <v>22.407550544654342</v>
      </c>
      <c r="O106">
        <v>44.660549567146788</v>
      </c>
      <c r="P106">
        <v>44.660549567146788</v>
      </c>
      <c r="Q106">
        <v>2.37746248022999</v>
      </c>
      <c r="R106">
        <v>2.3782680522118729</v>
      </c>
      <c r="S106" t="b">
        <v>1</v>
      </c>
      <c r="T106" t="b">
        <v>1</v>
      </c>
      <c r="U106" t="b">
        <v>1</v>
      </c>
      <c r="V106" t="b">
        <v>1</v>
      </c>
    </row>
    <row r="107" spans="1:22" x14ac:dyDescent="0.3">
      <c r="A107" s="1" t="s">
        <v>126</v>
      </c>
      <c r="B107">
        <v>419.1250620204446</v>
      </c>
      <c r="C107">
        <v>884.1056969430623</v>
      </c>
      <c r="D107">
        <v>1194.6476124940871</v>
      </c>
      <c r="E107">
        <v>262.55801377466611</v>
      </c>
      <c r="F107">
        <v>324.53640892751099</v>
      </c>
      <c r="G107">
        <v>774.89432857846316</v>
      </c>
      <c r="H107">
        <v>2133.4490856116699</v>
      </c>
      <c r="I107">
        <v>5293.4505402116283</v>
      </c>
      <c r="J107">
        <v>5293.4505402116283</v>
      </c>
      <c r="K107">
        <v>75.484773562883007</v>
      </c>
      <c r="L107">
        <v>2298.5614430173068</v>
      </c>
      <c r="M107">
        <v>2298.5614430173118</v>
      </c>
      <c r="N107">
        <v>2353.290796447121</v>
      </c>
      <c r="O107">
        <v>5293.4505402116283</v>
      </c>
      <c r="P107">
        <v>5293.4505402114319</v>
      </c>
      <c r="Q107">
        <v>75.510729393692287</v>
      </c>
      <c r="R107">
        <v>75.702896989857322</v>
      </c>
      <c r="S107" t="b">
        <v>1</v>
      </c>
      <c r="T107" t="b">
        <v>0</v>
      </c>
      <c r="U107" t="b">
        <v>1</v>
      </c>
      <c r="V107" t="b">
        <v>0</v>
      </c>
    </row>
    <row r="108" spans="1:22" x14ac:dyDescent="0.3">
      <c r="A108" s="1" t="s">
        <v>127</v>
      </c>
      <c r="B108">
        <v>154.02301412877171</v>
      </c>
      <c r="C108">
        <v>320.5105795590448</v>
      </c>
      <c r="D108">
        <v>430.41637347953701</v>
      </c>
      <c r="E108">
        <v>127.5944571132612</v>
      </c>
      <c r="F108">
        <v>159.63670705388779</v>
      </c>
      <c r="G108">
        <v>468.75592731368602</v>
      </c>
      <c r="H108">
        <v>1525.2309631770511</v>
      </c>
      <c r="I108">
        <v>5485.5007608994474</v>
      </c>
      <c r="J108">
        <v>5485.5007608994474</v>
      </c>
      <c r="K108">
        <v>30.61612705079061</v>
      </c>
      <c r="L108">
        <v>1449.245206321109</v>
      </c>
      <c r="M108">
        <v>1449.2452063211081</v>
      </c>
      <c r="N108">
        <v>1538.2008876641489</v>
      </c>
      <c r="O108">
        <v>5485.5007608994438</v>
      </c>
      <c r="P108">
        <v>5485.5007608993355</v>
      </c>
      <c r="Q108">
        <v>30.630151263839419</v>
      </c>
      <c r="R108">
        <v>30.753264622733649</v>
      </c>
      <c r="S108" t="b">
        <v>1</v>
      </c>
      <c r="T108" t="b">
        <v>0</v>
      </c>
      <c r="U108" t="b">
        <v>1</v>
      </c>
      <c r="V108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8"/>
  <sheetViews>
    <sheetView rightToLeft="1" workbookViewId="0">
      <selection activeCell="B3" sqref="B3"/>
    </sheetView>
  </sheetViews>
  <sheetFormatPr defaultRowHeight="14" x14ac:dyDescent="0.3"/>
  <cols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3.5" customWidth="1"/>
    <col min="15" max="15" width="33" customWidth="1"/>
    <col min="16" max="17" width="33.25" customWidth="1"/>
    <col min="18" max="18" width="33.5" customWidth="1"/>
    <col min="19" max="19" width="13.9140625" customWidth="1"/>
  </cols>
  <sheetData>
    <row r="1" spans="1:19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20</v>
      </c>
    </row>
    <row r="2" spans="1:19" x14ac:dyDescent="0.3">
      <c r="A2" s="1" t="s">
        <v>21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</row>
    <row r="3" spans="1:19" x14ac:dyDescent="0.3">
      <c r="A3" s="1" t="s">
        <v>22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1</v>
      </c>
    </row>
    <row r="4" spans="1:19" x14ac:dyDescent="0.3">
      <c r="A4" s="1" t="s">
        <v>23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 spans="1:19" x14ac:dyDescent="0.3">
      <c r="A5" s="1" t="s">
        <v>24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spans="1:19" x14ac:dyDescent="0.3">
      <c r="A6" s="1" t="s">
        <v>25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0</v>
      </c>
      <c r="O6" t="b">
        <v>1</v>
      </c>
      <c r="P6" t="b">
        <v>0</v>
      </c>
      <c r="Q6" t="b">
        <v>1</v>
      </c>
      <c r="R6" t="b">
        <v>1</v>
      </c>
      <c r="S6" t="b">
        <v>1</v>
      </c>
    </row>
    <row r="7" spans="1:19" x14ac:dyDescent="0.3">
      <c r="A7" s="1" t="s">
        <v>26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</row>
    <row r="8" spans="1:19" x14ac:dyDescent="0.3">
      <c r="A8" s="1" t="s">
        <v>27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</row>
    <row r="9" spans="1:19" x14ac:dyDescent="0.3">
      <c r="A9" s="1" t="s">
        <v>28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</row>
    <row r="10" spans="1:19" x14ac:dyDescent="0.3">
      <c r="A10" s="1" t="s">
        <v>29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19" x14ac:dyDescent="0.3">
      <c r="A11" s="1" t="s">
        <v>30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0</v>
      </c>
    </row>
    <row r="12" spans="1:19" x14ac:dyDescent="0.3">
      <c r="A12" s="1" t="s">
        <v>31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19" x14ac:dyDescent="0.3">
      <c r="A13" s="1" t="s">
        <v>32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19" x14ac:dyDescent="0.3">
      <c r="A14" s="1" t="s">
        <v>33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19" x14ac:dyDescent="0.3">
      <c r="A15" s="1" t="s">
        <v>34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</row>
    <row r="16" spans="1:19" x14ac:dyDescent="0.3">
      <c r="A16" s="1" t="s">
        <v>35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</row>
    <row r="17" spans="1:19" x14ac:dyDescent="0.3">
      <c r="A17" s="1" t="s">
        <v>36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</row>
    <row r="18" spans="1:19" x14ac:dyDescent="0.3">
      <c r="A18" s="1" t="s">
        <v>37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</row>
    <row r="19" spans="1:19" x14ac:dyDescent="0.3">
      <c r="A19" s="1" t="s">
        <v>38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</row>
    <row r="20" spans="1:19" x14ac:dyDescent="0.3">
      <c r="A20" s="1" t="s">
        <v>39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  <row r="21" spans="1:19" x14ac:dyDescent="0.3">
      <c r="A21" s="1" t="s">
        <v>40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</row>
    <row r="22" spans="1:19" x14ac:dyDescent="0.3">
      <c r="A22" s="1" t="s">
        <v>41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</row>
    <row r="23" spans="1:19" x14ac:dyDescent="0.3">
      <c r="A23" s="1" t="s">
        <v>42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 spans="1:19" x14ac:dyDescent="0.3">
      <c r="A24" s="1" t="s">
        <v>43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</row>
    <row r="25" spans="1:19" x14ac:dyDescent="0.3">
      <c r="A25" s="1" t="s">
        <v>44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</row>
    <row r="26" spans="1:19" x14ac:dyDescent="0.3">
      <c r="A26" s="1" t="s">
        <v>45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</row>
    <row r="27" spans="1:19" x14ac:dyDescent="0.3">
      <c r="A27" s="1" t="s">
        <v>46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0</v>
      </c>
    </row>
    <row r="28" spans="1:19" x14ac:dyDescent="0.3">
      <c r="A28" s="1" t="s">
        <v>47</v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</row>
    <row r="29" spans="1:19" x14ac:dyDescent="0.3">
      <c r="A29" s="1" t="s">
        <v>48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</row>
    <row r="30" spans="1:19" x14ac:dyDescent="0.3">
      <c r="A30" s="1" t="s">
        <v>49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</row>
    <row r="31" spans="1:19" x14ac:dyDescent="0.3">
      <c r="A31" s="1" t="s">
        <v>50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</row>
    <row r="32" spans="1:19" x14ac:dyDescent="0.3">
      <c r="A32" s="1" t="s">
        <v>51</v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</row>
    <row r="33" spans="1:19" x14ac:dyDescent="0.3">
      <c r="A33" s="1" t="s">
        <v>52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 spans="1:19" x14ac:dyDescent="0.3">
      <c r="A34" s="1" t="s">
        <v>53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</row>
    <row r="35" spans="1:19" x14ac:dyDescent="0.3">
      <c r="A35" s="1" t="s">
        <v>54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0</v>
      </c>
    </row>
    <row r="36" spans="1:19" x14ac:dyDescent="0.3">
      <c r="A36" s="1" t="s">
        <v>55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</row>
    <row r="37" spans="1:19" x14ac:dyDescent="0.3">
      <c r="A37" s="1" t="s">
        <v>56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</row>
    <row r="38" spans="1:19" x14ac:dyDescent="0.3">
      <c r="A38" s="1" t="s">
        <v>57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</row>
    <row r="39" spans="1:19" x14ac:dyDescent="0.3">
      <c r="A39" s="1" t="s">
        <v>58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</row>
    <row r="40" spans="1:19" x14ac:dyDescent="0.3">
      <c r="A40" s="1" t="s">
        <v>59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</row>
    <row r="41" spans="1:19" x14ac:dyDescent="0.3">
      <c r="A41" s="1" t="s">
        <v>60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</row>
    <row r="42" spans="1:19" x14ac:dyDescent="0.3">
      <c r="A42" s="1" t="s">
        <v>61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</row>
    <row r="43" spans="1:19" x14ac:dyDescent="0.3">
      <c r="A43" s="1" t="s">
        <v>62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0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0</v>
      </c>
      <c r="S43" t="b">
        <v>1</v>
      </c>
    </row>
    <row r="44" spans="1:19" x14ac:dyDescent="0.3">
      <c r="A44" s="1" t="s">
        <v>63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0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1</v>
      </c>
    </row>
    <row r="45" spans="1:19" x14ac:dyDescent="0.3">
      <c r="A45" s="1" t="s">
        <v>64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</row>
    <row r="46" spans="1:19" x14ac:dyDescent="0.3">
      <c r="A46" s="1" t="s">
        <v>65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 spans="1:19" x14ac:dyDescent="0.3">
      <c r="A47" s="1" t="s">
        <v>66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</row>
    <row r="48" spans="1:19" x14ac:dyDescent="0.3">
      <c r="A48" s="1" t="s">
        <v>67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</row>
    <row r="49" spans="1:19" x14ac:dyDescent="0.3">
      <c r="A49" s="1" t="s">
        <v>68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</row>
    <row r="50" spans="1:19" x14ac:dyDescent="0.3">
      <c r="A50" s="1" t="s">
        <v>69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</row>
    <row r="51" spans="1:19" x14ac:dyDescent="0.3">
      <c r="A51" s="1" t="s">
        <v>70</v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</row>
    <row r="52" spans="1:19" x14ac:dyDescent="0.3">
      <c r="A52" s="1" t="s">
        <v>71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</row>
    <row r="53" spans="1:19" x14ac:dyDescent="0.3">
      <c r="A53" s="1" t="s">
        <v>72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</row>
    <row r="54" spans="1:19" x14ac:dyDescent="0.3">
      <c r="A54" s="1" t="s">
        <v>73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</row>
    <row r="55" spans="1:19" x14ac:dyDescent="0.3">
      <c r="A55" s="1" t="s">
        <v>74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</row>
    <row r="56" spans="1:19" x14ac:dyDescent="0.3">
      <c r="A56" s="1" t="s">
        <v>75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</row>
    <row r="57" spans="1:19" x14ac:dyDescent="0.3">
      <c r="A57" s="1" t="s">
        <v>76</v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</row>
    <row r="58" spans="1:19" x14ac:dyDescent="0.3">
      <c r="A58" s="1" t="s">
        <v>77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 spans="1:19" x14ac:dyDescent="0.3">
      <c r="A59" s="1" t="s">
        <v>78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</row>
    <row r="60" spans="1:19" x14ac:dyDescent="0.3">
      <c r="A60" s="1" t="s">
        <v>79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b">
        <v>1</v>
      </c>
      <c r="R60" t="b">
        <v>1</v>
      </c>
      <c r="S60" t="b">
        <v>1</v>
      </c>
    </row>
    <row r="61" spans="1:19" x14ac:dyDescent="0.3">
      <c r="A61" s="1" t="s">
        <v>80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</row>
    <row r="62" spans="1:19" x14ac:dyDescent="0.3">
      <c r="A62" s="1" t="s">
        <v>81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</row>
    <row r="63" spans="1:19" x14ac:dyDescent="0.3">
      <c r="A63" s="1" t="s">
        <v>82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</row>
    <row r="64" spans="1:19" x14ac:dyDescent="0.3">
      <c r="A64" s="1" t="s">
        <v>83</v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</row>
    <row r="65" spans="1:19" x14ac:dyDescent="0.3">
      <c r="A65" s="1" t="s">
        <v>84</v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1</v>
      </c>
      <c r="R65" t="b">
        <v>0</v>
      </c>
      <c r="S65" t="b">
        <v>1</v>
      </c>
    </row>
    <row r="66" spans="1:19" x14ac:dyDescent="0.3">
      <c r="A66" s="1" t="s">
        <v>85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b">
        <v>0</v>
      </c>
      <c r="S66" t="b">
        <v>1</v>
      </c>
    </row>
    <row r="67" spans="1:19" x14ac:dyDescent="0.3">
      <c r="A67" s="1" t="s">
        <v>86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</row>
    <row r="68" spans="1:19" x14ac:dyDescent="0.3">
      <c r="A68" s="1" t="s">
        <v>87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</row>
    <row r="69" spans="1:19" x14ac:dyDescent="0.3">
      <c r="A69" s="1" t="s">
        <v>88</v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</row>
    <row r="70" spans="1:19" x14ac:dyDescent="0.3">
      <c r="A70" s="1" t="s">
        <v>89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</row>
    <row r="71" spans="1:19" x14ac:dyDescent="0.3">
      <c r="A71" s="1" t="s">
        <v>90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0</v>
      </c>
      <c r="O71" t="b">
        <v>1</v>
      </c>
      <c r="P71" t="b">
        <v>0</v>
      </c>
      <c r="Q71" t="b">
        <v>1</v>
      </c>
      <c r="R71" t="b">
        <v>0</v>
      </c>
      <c r="S71" t="b">
        <v>1</v>
      </c>
    </row>
    <row r="72" spans="1:19" x14ac:dyDescent="0.3">
      <c r="A72" s="1" t="s">
        <v>91</v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0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</row>
    <row r="73" spans="1:19" x14ac:dyDescent="0.3">
      <c r="A73" s="1" t="s">
        <v>92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</row>
    <row r="74" spans="1:19" x14ac:dyDescent="0.3">
      <c r="A74" s="1" t="s">
        <v>93</v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</row>
    <row r="75" spans="1:19" x14ac:dyDescent="0.3">
      <c r="A75" s="1" t="s">
        <v>94</v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</row>
    <row r="76" spans="1:19" x14ac:dyDescent="0.3">
      <c r="A76" s="1" t="s">
        <v>95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0</v>
      </c>
    </row>
    <row r="77" spans="1:19" x14ac:dyDescent="0.3">
      <c r="A77" s="1" t="s">
        <v>96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</row>
    <row r="78" spans="1:19" x14ac:dyDescent="0.3">
      <c r="A78" s="1" t="s">
        <v>97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0</v>
      </c>
    </row>
    <row r="79" spans="1:19" x14ac:dyDescent="0.3">
      <c r="A79" s="1" t="s">
        <v>98</v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</row>
    <row r="80" spans="1:19" x14ac:dyDescent="0.3">
      <c r="A80" s="1" t="s">
        <v>99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</row>
    <row r="81" spans="1:19" x14ac:dyDescent="0.3">
      <c r="A81" s="1" t="s">
        <v>100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0</v>
      </c>
    </row>
    <row r="82" spans="1:19" x14ac:dyDescent="0.3">
      <c r="A82" s="1" t="s">
        <v>101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</row>
    <row r="83" spans="1:19" x14ac:dyDescent="0.3">
      <c r="A83" s="1" t="s">
        <v>102</v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</row>
    <row r="84" spans="1:19" x14ac:dyDescent="0.3">
      <c r="A84" s="1" t="s">
        <v>103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</row>
    <row r="85" spans="1:19" x14ac:dyDescent="0.3">
      <c r="A85" s="1" t="s">
        <v>104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</row>
    <row r="86" spans="1:19" x14ac:dyDescent="0.3">
      <c r="A86" s="1" t="s">
        <v>105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0</v>
      </c>
    </row>
    <row r="87" spans="1:19" x14ac:dyDescent="0.3">
      <c r="A87" s="1" t="s">
        <v>106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</row>
    <row r="88" spans="1:19" x14ac:dyDescent="0.3">
      <c r="A88" s="1" t="s">
        <v>107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</row>
    <row r="89" spans="1:19" x14ac:dyDescent="0.3">
      <c r="A89" s="1" t="s">
        <v>108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</row>
    <row r="90" spans="1:19" x14ac:dyDescent="0.3">
      <c r="A90" s="1" t="s">
        <v>109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b">
        <v>0</v>
      </c>
      <c r="S90" t="b">
        <v>1</v>
      </c>
    </row>
    <row r="91" spans="1:19" x14ac:dyDescent="0.3">
      <c r="A91" s="1" t="s">
        <v>110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</row>
    <row r="92" spans="1:19" x14ac:dyDescent="0.3">
      <c r="A92" s="1" t="s">
        <v>111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</row>
    <row r="93" spans="1:19" x14ac:dyDescent="0.3">
      <c r="A93" s="1" t="s">
        <v>112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1</v>
      </c>
    </row>
    <row r="94" spans="1:19" x14ac:dyDescent="0.3">
      <c r="A94" s="1" t="s">
        <v>113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</row>
    <row r="95" spans="1:19" x14ac:dyDescent="0.3">
      <c r="A95" s="1" t="s">
        <v>114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</row>
    <row r="96" spans="1:19" x14ac:dyDescent="0.3">
      <c r="A96" s="1" t="s">
        <v>115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</row>
    <row r="97" spans="1:19" x14ac:dyDescent="0.3">
      <c r="A97" s="1" t="s">
        <v>116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1</v>
      </c>
    </row>
    <row r="98" spans="1:19" x14ac:dyDescent="0.3">
      <c r="A98" s="1" t="s">
        <v>117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</row>
    <row r="99" spans="1:19" x14ac:dyDescent="0.3">
      <c r="A99" s="1" t="s">
        <v>118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</row>
    <row r="100" spans="1:19" x14ac:dyDescent="0.3">
      <c r="A100" s="1" t="s">
        <v>119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</row>
    <row r="101" spans="1:19" x14ac:dyDescent="0.3">
      <c r="A101" s="1" t="s">
        <v>120</v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</row>
    <row r="102" spans="1:19" x14ac:dyDescent="0.3">
      <c r="A102" s="1" t="s">
        <v>121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1</v>
      </c>
    </row>
    <row r="103" spans="1:19" x14ac:dyDescent="0.3">
      <c r="A103" s="1" t="s">
        <v>122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0</v>
      </c>
    </row>
    <row r="104" spans="1:19" x14ac:dyDescent="0.3">
      <c r="A104" s="1" t="s">
        <v>123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</row>
    <row r="105" spans="1:19" x14ac:dyDescent="0.3">
      <c r="A105" s="1" t="s">
        <v>124</v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</row>
    <row r="106" spans="1:19" x14ac:dyDescent="0.3">
      <c r="A106" s="1" t="s">
        <v>125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</row>
    <row r="107" spans="1:19" x14ac:dyDescent="0.3">
      <c r="A107" s="1" t="s">
        <v>126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0</v>
      </c>
      <c r="S107" t="b">
        <v>0</v>
      </c>
    </row>
    <row r="108" spans="1:19" x14ac:dyDescent="0.3">
      <c r="A108" s="1" t="s">
        <v>127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b">
        <v>1</v>
      </c>
      <c r="P108" t="b">
        <v>0</v>
      </c>
      <c r="Q108" t="b">
        <v>1</v>
      </c>
      <c r="R108" t="b">
        <v>1</v>
      </c>
      <c r="S108" t="b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8"/>
  <sheetViews>
    <sheetView rightToLeft="1" workbookViewId="0">
      <selection activeCell="D29" sqref="D29"/>
    </sheetView>
  </sheetViews>
  <sheetFormatPr defaultRowHeight="14" x14ac:dyDescent="0.3"/>
  <cols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3.5" customWidth="1"/>
    <col min="15" max="15" width="33" customWidth="1"/>
    <col min="16" max="17" width="33.25" customWidth="1"/>
    <col min="18" max="18" width="33.5" customWidth="1"/>
    <col min="19" max="19" width="13.9140625" customWidth="1"/>
  </cols>
  <sheetData>
    <row r="1" spans="1:19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20</v>
      </c>
    </row>
    <row r="2" spans="1:19" x14ac:dyDescent="0.3">
      <c r="A2" s="1" t="s">
        <v>21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b">
        <v>1</v>
      </c>
      <c r="R2" t="b">
        <v>1</v>
      </c>
      <c r="S2" t="b">
        <v>1</v>
      </c>
    </row>
    <row r="3" spans="1:19" x14ac:dyDescent="0.3">
      <c r="A3" s="1" t="s">
        <v>22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1</v>
      </c>
    </row>
    <row r="4" spans="1:19" x14ac:dyDescent="0.3">
      <c r="A4" s="1" t="s">
        <v>23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 spans="1:19" x14ac:dyDescent="0.3">
      <c r="A5" s="1" t="s">
        <v>24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spans="1:19" x14ac:dyDescent="0.3">
      <c r="A6" s="1" t="s">
        <v>25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1</v>
      </c>
      <c r="R6" t="b">
        <v>1</v>
      </c>
      <c r="S6" t="b">
        <v>1</v>
      </c>
    </row>
    <row r="7" spans="1:19" x14ac:dyDescent="0.3">
      <c r="A7" s="1" t="s">
        <v>26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</row>
    <row r="8" spans="1:19" x14ac:dyDescent="0.3">
      <c r="A8" s="1" t="s">
        <v>27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1</v>
      </c>
      <c r="R8" t="b">
        <v>1</v>
      </c>
      <c r="S8" t="b">
        <v>1</v>
      </c>
    </row>
    <row r="9" spans="1:19" x14ac:dyDescent="0.3">
      <c r="A9" s="1" t="s">
        <v>28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1</v>
      </c>
      <c r="R9" t="b">
        <v>1</v>
      </c>
      <c r="S9" t="b">
        <v>1</v>
      </c>
    </row>
    <row r="10" spans="1:19" x14ac:dyDescent="0.3">
      <c r="A10" s="1" t="s">
        <v>29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19" x14ac:dyDescent="0.3">
      <c r="A11" s="1" t="s">
        <v>30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</row>
    <row r="12" spans="1:19" x14ac:dyDescent="0.3">
      <c r="A12" s="1" t="s">
        <v>31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19" x14ac:dyDescent="0.3">
      <c r="A13" s="1" t="s">
        <v>32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19" x14ac:dyDescent="0.3">
      <c r="A14" s="1" t="s">
        <v>33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19" x14ac:dyDescent="0.3">
      <c r="A15" s="1" t="s">
        <v>34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</row>
    <row r="16" spans="1:19" x14ac:dyDescent="0.3">
      <c r="A16" s="1" t="s">
        <v>35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</row>
    <row r="17" spans="1:19" x14ac:dyDescent="0.3">
      <c r="A17" s="1" t="s">
        <v>36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3">
      <c r="A18" s="1" t="s">
        <v>37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 t="b">
        <v>1</v>
      </c>
      <c r="R18" t="b">
        <v>1</v>
      </c>
      <c r="S18" t="b">
        <v>1</v>
      </c>
    </row>
    <row r="19" spans="1:19" x14ac:dyDescent="0.3">
      <c r="A19" s="1" t="s">
        <v>38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</row>
    <row r="20" spans="1:19" x14ac:dyDescent="0.3">
      <c r="A20" s="1" t="s">
        <v>39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  <row r="21" spans="1:19" x14ac:dyDescent="0.3">
      <c r="A21" s="1" t="s">
        <v>40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  <c r="R21" t="b">
        <v>1</v>
      </c>
      <c r="S21" t="b">
        <v>1</v>
      </c>
    </row>
    <row r="22" spans="1:19" x14ac:dyDescent="0.3">
      <c r="A22" s="1" t="s">
        <v>41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1</v>
      </c>
    </row>
    <row r="23" spans="1:19" x14ac:dyDescent="0.3">
      <c r="A23" s="1" t="s">
        <v>42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 spans="1:19" x14ac:dyDescent="0.3">
      <c r="A24" s="1" t="s">
        <v>43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</row>
    <row r="25" spans="1:19" x14ac:dyDescent="0.3">
      <c r="A25" s="1" t="s">
        <v>44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</row>
    <row r="26" spans="1:19" x14ac:dyDescent="0.3">
      <c r="A26" s="1" t="s">
        <v>45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</row>
    <row r="27" spans="1:19" x14ac:dyDescent="0.3">
      <c r="A27" s="1" t="s">
        <v>46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</row>
    <row r="28" spans="1:19" x14ac:dyDescent="0.3">
      <c r="A28" s="1" t="s">
        <v>47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</row>
    <row r="29" spans="1:19" x14ac:dyDescent="0.3">
      <c r="A29" s="1" t="s">
        <v>48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1</v>
      </c>
      <c r="R29" t="b">
        <v>1</v>
      </c>
      <c r="S29" t="b">
        <v>1</v>
      </c>
    </row>
    <row r="30" spans="1:19" x14ac:dyDescent="0.3">
      <c r="A30" s="1" t="s">
        <v>49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</row>
    <row r="31" spans="1:19" x14ac:dyDescent="0.3">
      <c r="A31" s="1" t="s">
        <v>50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1</v>
      </c>
      <c r="S31" t="b">
        <v>1</v>
      </c>
    </row>
    <row r="32" spans="1:19" x14ac:dyDescent="0.3">
      <c r="A32" s="1" t="s">
        <v>51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</row>
    <row r="33" spans="1:19" x14ac:dyDescent="0.3">
      <c r="A33" s="1" t="s">
        <v>52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 spans="1:19" x14ac:dyDescent="0.3">
      <c r="A34" s="1" t="s">
        <v>53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</row>
    <row r="35" spans="1:19" x14ac:dyDescent="0.3">
      <c r="A35" s="1" t="s">
        <v>54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3">
      <c r="A36" s="1" t="s">
        <v>55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 t="b">
        <v>1</v>
      </c>
      <c r="R36" t="b">
        <v>1</v>
      </c>
      <c r="S36" t="b">
        <v>1</v>
      </c>
    </row>
    <row r="37" spans="1:19" x14ac:dyDescent="0.3">
      <c r="A37" s="1" t="s">
        <v>56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</row>
    <row r="38" spans="1:19" x14ac:dyDescent="0.3">
      <c r="A38" s="1" t="s">
        <v>57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</row>
    <row r="39" spans="1:19" x14ac:dyDescent="0.3">
      <c r="A39" s="1" t="s">
        <v>58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</row>
    <row r="40" spans="1:19" x14ac:dyDescent="0.3">
      <c r="A40" s="1" t="s">
        <v>59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</row>
    <row r="41" spans="1:19" x14ac:dyDescent="0.3">
      <c r="A41" s="1" t="s">
        <v>60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  <c r="P41" t="b">
        <v>0</v>
      </c>
      <c r="Q41" t="b">
        <v>1</v>
      </c>
      <c r="R41" t="b">
        <v>1</v>
      </c>
      <c r="S41" t="b">
        <v>1</v>
      </c>
    </row>
    <row r="42" spans="1:19" x14ac:dyDescent="0.3">
      <c r="A42" s="1" t="s">
        <v>61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1</v>
      </c>
      <c r="S42" t="b">
        <v>1</v>
      </c>
    </row>
    <row r="43" spans="1:19" x14ac:dyDescent="0.3">
      <c r="A43" s="1" t="s">
        <v>62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</row>
    <row r="44" spans="1:19" x14ac:dyDescent="0.3">
      <c r="A44" s="1" t="s">
        <v>63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</row>
    <row r="45" spans="1:19" x14ac:dyDescent="0.3">
      <c r="A45" s="1" t="s">
        <v>64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</row>
    <row r="46" spans="1:19" x14ac:dyDescent="0.3">
      <c r="A46" s="1" t="s">
        <v>65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 spans="1:19" x14ac:dyDescent="0.3">
      <c r="A47" s="1" t="s">
        <v>66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3">
      <c r="A48" s="1" t="s">
        <v>67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1</v>
      </c>
      <c r="S48" t="b">
        <v>0</v>
      </c>
    </row>
    <row r="49" spans="1:19" x14ac:dyDescent="0.3">
      <c r="A49" s="1" t="s">
        <v>68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</row>
    <row r="50" spans="1:19" x14ac:dyDescent="0.3">
      <c r="A50" s="1" t="s">
        <v>69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b">
        <v>1</v>
      </c>
    </row>
    <row r="51" spans="1:19" x14ac:dyDescent="0.3">
      <c r="A51" s="1" t="s">
        <v>70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b">
        <v>1</v>
      </c>
      <c r="R51" t="b">
        <v>1</v>
      </c>
      <c r="S51" t="b">
        <v>1</v>
      </c>
    </row>
    <row r="52" spans="1:19" x14ac:dyDescent="0.3">
      <c r="A52" s="1" t="s">
        <v>71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0</v>
      </c>
    </row>
    <row r="53" spans="1:19" x14ac:dyDescent="0.3">
      <c r="A53" s="1" t="s">
        <v>72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</row>
    <row r="54" spans="1:19" x14ac:dyDescent="0.3">
      <c r="A54" s="1" t="s">
        <v>73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1</v>
      </c>
      <c r="R54" t="b">
        <v>1</v>
      </c>
      <c r="S54" t="b">
        <v>1</v>
      </c>
    </row>
    <row r="55" spans="1:19" x14ac:dyDescent="0.3">
      <c r="A55" s="1" t="s">
        <v>74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</row>
    <row r="56" spans="1:19" x14ac:dyDescent="0.3">
      <c r="A56" s="1" t="s">
        <v>75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b">
        <v>1</v>
      </c>
    </row>
    <row r="57" spans="1:19" x14ac:dyDescent="0.3">
      <c r="A57" s="1" t="s">
        <v>76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b">
        <v>1</v>
      </c>
      <c r="R57" t="b">
        <v>1</v>
      </c>
      <c r="S57" t="b">
        <v>0</v>
      </c>
    </row>
    <row r="58" spans="1:19" x14ac:dyDescent="0.3">
      <c r="A58" s="1" t="s">
        <v>77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 spans="1:19" x14ac:dyDescent="0.3">
      <c r="A59" s="1" t="s">
        <v>78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</row>
    <row r="60" spans="1:19" x14ac:dyDescent="0.3">
      <c r="A60" s="1" t="s">
        <v>79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Q60" t="b">
        <v>1</v>
      </c>
      <c r="R60" t="b">
        <v>1</v>
      </c>
      <c r="S60" t="b">
        <v>1</v>
      </c>
    </row>
    <row r="61" spans="1:19" x14ac:dyDescent="0.3">
      <c r="A61" s="1" t="s">
        <v>80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</row>
    <row r="62" spans="1:19" x14ac:dyDescent="0.3">
      <c r="A62" s="1" t="s">
        <v>81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1</v>
      </c>
    </row>
    <row r="63" spans="1:19" x14ac:dyDescent="0.3">
      <c r="A63" s="1" t="s">
        <v>82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</row>
    <row r="64" spans="1:19" x14ac:dyDescent="0.3">
      <c r="A64" s="1" t="s">
        <v>83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b">
        <v>1</v>
      </c>
      <c r="R64" t="b">
        <v>1</v>
      </c>
      <c r="S64" t="b">
        <v>1</v>
      </c>
    </row>
    <row r="65" spans="1:19" x14ac:dyDescent="0.3">
      <c r="A65" s="1" t="s">
        <v>84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b">
        <v>1</v>
      </c>
    </row>
    <row r="66" spans="1:19" x14ac:dyDescent="0.3">
      <c r="A66" s="1" t="s">
        <v>85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</row>
    <row r="67" spans="1:19" x14ac:dyDescent="0.3">
      <c r="A67" s="1" t="s">
        <v>86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</row>
    <row r="68" spans="1:19" x14ac:dyDescent="0.3">
      <c r="A68" s="1" t="s">
        <v>87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</row>
    <row r="69" spans="1:19" x14ac:dyDescent="0.3">
      <c r="A69" s="1" t="s">
        <v>88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</row>
    <row r="70" spans="1:19" x14ac:dyDescent="0.3">
      <c r="A70" s="1" t="s">
        <v>89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</row>
    <row r="71" spans="1:19" x14ac:dyDescent="0.3">
      <c r="A71" s="1" t="s">
        <v>90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</row>
    <row r="72" spans="1:19" x14ac:dyDescent="0.3">
      <c r="A72" s="1" t="s">
        <v>91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</row>
    <row r="73" spans="1:19" x14ac:dyDescent="0.3">
      <c r="A73" s="1" t="s">
        <v>92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  <c r="P73" t="b">
        <v>0</v>
      </c>
      <c r="Q73" t="b">
        <v>1</v>
      </c>
      <c r="R73" t="b">
        <v>1</v>
      </c>
      <c r="S73" t="b">
        <v>1</v>
      </c>
    </row>
    <row r="74" spans="1:19" x14ac:dyDescent="0.3">
      <c r="A74" s="1" t="s">
        <v>93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b">
        <v>1</v>
      </c>
    </row>
    <row r="75" spans="1:19" x14ac:dyDescent="0.3">
      <c r="A75" s="1" t="s">
        <v>94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</row>
    <row r="76" spans="1:19" x14ac:dyDescent="0.3">
      <c r="A76" s="1" t="s">
        <v>95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1</v>
      </c>
      <c r="R76" t="b">
        <v>1</v>
      </c>
      <c r="S76" t="b">
        <v>0</v>
      </c>
    </row>
    <row r="77" spans="1:19" x14ac:dyDescent="0.3">
      <c r="A77" s="1" t="s">
        <v>96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</row>
    <row r="78" spans="1:19" x14ac:dyDescent="0.3">
      <c r="A78" s="1" t="s">
        <v>97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3">
      <c r="A79" s="1" t="s">
        <v>98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1</v>
      </c>
      <c r="R79" t="b">
        <v>1</v>
      </c>
      <c r="S79" t="b">
        <v>1</v>
      </c>
    </row>
    <row r="80" spans="1:19" x14ac:dyDescent="0.3">
      <c r="A80" s="1" t="s">
        <v>99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b">
        <v>1</v>
      </c>
      <c r="S80" t="b">
        <v>0</v>
      </c>
    </row>
    <row r="81" spans="1:19" x14ac:dyDescent="0.3">
      <c r="A81" s="1" t="s">
        <v>100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1</v>
      </c>
      <c r="R81" t="b">
        <v>1</v>
      </c>
      <c r="S81" t="b">
        <v>0</v>
      </c>
    </row>
    <row r="82" spans="1:19" x14ac:dyDescent="0.3">
      <c r="A82" s="1" t="s">
        <v>101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</row>
    <row r="83" spans="1:19" x14ac:dyDescent="0.3">
      <c r="A83" s="1" t="s">
        <v>102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</row>
    <row r="84" spans="1:19" x14ac:dyDescent="0.3">
      <c r="A84" s="1" t="s">
        <v>103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1</v>
      </c>
      <c r="R84" t="b">
        <v>1</v>
      </c>
      <c r="S84" t="b">
        <v>0</v>
      </c>
    </row>
    <row r="85" spans="1:19" x14ac:dyDescent="0.3">
      <c r="A85" s="1" t="s">
        <v>104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1</v>
      </c>
      <c r="R85" t="b">
        <v>1</v>
      </c>
      <c r="S85" t="b">
        <v>1</v>
      </c>
    </row>
    <row r="86" spans="1:19" x14ac:dyDescent="0.3">
      <c r="A86" s="1" t="s">
        <v>105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0</v>
      </c>
    </row>
    <row r="87" spans="1:19" x14ac:dyDescent="0.3">
      <c r="A87" s="1" t="s">
        <v>106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</row>
    <row r="88" spans="1:19" x14ac:dyDescent="0.3">
      <c r="A88" s="1" t="s">
        <v>107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</row>
    <row r="89" spans="1:19" x14ac:dyDescent="0.3">
      <c r="A89" s="1" t="s">
        <v>108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</row>
    <row r="90" spans="1:19" x14ac:dyDescent="0.3">
      <c r="A90" s="1" t="s">
        <v>109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b">
        <v>0</v>
      </c>
      <c r="S90" t="b">
        <v>1</v>
      </c>
    </row>
    <row r="91" spans="1:19" x14ac:dyDescent="0.3">
      <c r="A91" s="1" t="s">
        <v>110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b">
        <v>1</v>
      </c>
    </row>
    <row r="92" spans="1:19" x14ac:dyDescent="0.3">
      <c r="A92" s="1" t="s">
        <v>111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b">
        <v>1</v>
      </c>
    </row>
    <row r="93" spans="1:19" x14ac:dyDescent="0.3">
      <c r="A93" s="1" t="s">
        <v>112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1</v>
      </c>
    </row>
    <row r="94" spans="1:19" x14ac:dyDescent="0.3">
      <c r="A94" s="1" t="s">
        <v>113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</row>
    <row r="95" spans="1:19" x14ac:dyDescent="0.3">
      <c r="A95" s="1" t="s">
        <v>114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b">
        <v>1</v>
      </c>
    </row>
    <row r="96" spans="1:19" x14ac:dyDescent="0.3">
      <c r="A96" s="1" t="s">
        <v>115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b">
        <v>1</v>
      </c>
    </row>
    <row r="97" spans="1:19" x14ac:dyDescent="0.3">
      <c r="A97" s="1" t="s">
        <v>116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</row>
    <row r="98" spans="1:19" x14ac:dyDescent="0.3">
      <c r="A98" s="1" t="s">
        <v>117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</row>
    <row r="99" spans="1:19" x14ac:dyDescent="0.3">
      <c r="A99" s="1" t="s">
        <v>118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  <c r="Q99" t="b">
        <v>1</v>
      </c>
      <c r="R99" t="b">
        <v>1</v>
      </c>
      <c r="S99" t="b">
        <v>1</v>
      </c>
    </row>
    <row r="100" spans="1:19" x14ac:dyDescent="0.3">
      <c r="A100" s="1" t="s">
        <v>119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</row>
    <row r="101" spans="1:19" x14ac:dyDescent="0.3">
      <c r="A101" s="1" t="s">
        <v>120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</row>
    <row r="102" spans="1:19" x14ac:dyDescent="0.3">
      <c r="A102" s="1" t="s">
        <v>121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</row>
    <row r="103" spans="1:19" x14ac:dyDescent="0.3">
      <c r="A103" s="1" t="s">
        <v>122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3">
      <c r="A104" s="1" t="s">
        <v>123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1</v>
      </c>
      <c r="R104" t="b">
        <v>1</v>
      </c>
      <c r="S104" t="b">
        <v>1</v>
      </c>
    </row>
    <row r="105" spans="1:19" x14ac:dyDescent="0.3">
      <c r="A105" s="1" t="s">
        <v>124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1</v>
      </c>
    </row>
    <row r="106" spans="1:19" x14ac:dyDescent="0.3">
      <c r="A106" s="1" t="s">
        <v>125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</row>
    <row r="107" spans="1:19" x14ac:dyDescent="0.3">
      <c r="A107" s="1" t="s">
        <v>126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0</v>
      </c>
      <c r="Q107" t="b">
        <v>1</v>
      </c>
      <c r="R107" t="b">
        <v>1</v>
      </c>
      <c r="S107" t="b">
        <v>0</v>
      </c>
    </row>
    <row r="108" spans="1:19" x14ac:dyDescent="0.3">
      <c r="A108" s="1" t="s">
        <v>127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1</v>
      </c>
      <c r="R108" t="b">
        <v>1</v>
      </c>
      <c r="S108" t="b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8"/>
  <sheetViews>
    <sheetView rightToLeft="1" topLeftCell="K1" workbookViewId="0">
      <selection activeCell="D99" sqref="D99"/>
    </sheetView>
  </sheetViews>
  <sheetFormatPr defaultRowHeight="14" x14ac:dyDescent="0.3"/>
  <cols>
    <col min="2" max="2" width="12.75" customWidth="1"/>
    <col min="3" max="3" width="30.5" customWidth="1"/>
    <col min="4" max="4" width="30" customWidth="1"/>
    <col min="5" max="5" width="29" customWidth="1"/>
    <col min="6" max="6" width="28.5" customWidth="1"/>
    <col min="7" max="7" width="24" customWidth="1"/>
    <col min="8" max="8" width="26.75" customWidth="1"/>
    <col min="9" max="9" width="12.75" customWidth="1"/>
    <col min="10" max="10" width="17.4140625" customWidth="1"/>
    <col min="11" max="12" width="16.1640625" customWidth="1"/>
    <col min="13" max="13" width="33.25" customWidth="1"/>
    <col min="14" max="14" width="33.5" customWidth="1"/>
    <col min="15" max="15" width="33" customWidth="1"/>
    <col min="16" max="17" width="33.25" customWidth="1"/>
    <col min="18" max="18" width="33.5" customWidth="1"/>
  </cols>
  <sheetData>
    <row r="1" spans="1:18" x14ac:dyDescent="0.3">
      <c r="A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 t="s">
        <v>21</v>
      </c>
      <c r="B2">
        <v>214699.7490835989</v>
      </c>
      <c r="C2">
        <v>-6864.7103274789079</v>
      </c>
      <c r="D2">
        <v>-5125.6759786108532</v>
      </c>
      <c r="E2">
        <v>-9202.3712185323675</v>
      </c>
      <c r="F2">
        <v>-9200.0360662322273</v>
      </c>
      <c r="G2">
        <v>-9199.3120168611913</v>
      </c>
      <c r="H2">
        <v>-8491.9801199959093</v>
      </c>
      <c r="I2">
        <v>-8493.6494204124865</v>
      </c>
      <c r="J2">
        <v>-8493.6494204126575</v>
      </c>
      <c r="K2">
        <v>2.29931185458554E-3</v>
      </c>
      <c r="L2">
        <v>2.3478708717448171E-3</v>
      </c>
      <c r="M2">
        <v>2.3478735383832832E-3</v>
      </c>
      <c r="N2">
        <v>2.3478735383832832E-3</v>
      </c>
      <c r="O2">
        <v>-8493.6494204126921</v>
      </c>
      <c r="P2">
        <v>-8493.6494204126921</v>
      </c>
      <c r="Q2">
        <v>2.2993118600425082E-3</v>
      </c>
      <c r="R2">
        <v>2.2993118582235179E-3</v>
      </c>
    </row>
    <row r="3" spans="1:18" x14ac:dyDescent="0.3">
      <c r="A3" s="1" t="s">
        <v>22</v>
      </c>
      <c r="B3">
        <v>909760.82152758841</v>
      </c>
      <c r="C3">
        <v>-415.286418057226</v>
      </c>
      <c r="D3">
        <v>-406.65146085613111</v>
      </c>
      <c r="E3">
        <v>-419.87080782866201</v>
      </c>
      <c r="F3">
        <v>-413.88989253694189</v>
      </c>
      <c r="G3">
        <v>-349.75445037796788</v>
      </c>
      <c r="H3">
        <v>-251.10453855545799</v>
      </c>
      <c r="I3">
        <v>-423.62934287616798</v>
      </c>
      <c r="J3">
        <v>-423.62934287663802</v>
      </c>
      <c r="K3">
        <v>-4.7249989165720763E-6</v>
      </c>
      <c r="L3">
        <v>-8.5895499069010839E-7</v>
      </c>
      <c r="M3">
        <v>-8.5883993961033411E-7</v>
      </c>
      <c r="N3">
        <v>-52051.943762322233</v>
      </c>
      <c r="O3">
        <v>-423.62934287715888</v>
      </c>
      <c r="P3">
        <v>69607588.692439705</v>
      </c>
      <c r="Q3">
        <v>-4.7250009629351553E-6</v>
      </c>
      <c r="R3">
        <v>43089.585123661418</v>
      </c>
    </row>
    <row r="4" spans="1:18" x14ac:dyDescent="0.3">
      <c r="A4" s="1" t="s">
        <v>23</v>
      </c>
      <c r="B4">
        <v>55519.157737773312</v>
      </c>
      <c r="C4">
        <v>-2903.556041824982</v>
      </c>
      <c r="D4">
        <v>-2902.8639610378168</v>
      </c>
      <c r="E4">
        <v>-2904.4812320381302</v>
      </c>
      <c r="F4">
        <v>-2904.4436607252969</v>
      </c>
      <c r="G4">
        <v>-2904.343089902055</v>
      </c>
      <c r="H4">
        <v>-2812.8272761881808</v>
      </c>
      <c r="I4">
        <v>-4.2818118072318612E-4</v>
      </c>
      <c r="J4">
        <v>-4.2818118981813308E-4</v>
      </c>
      <c r="K4">
        <v>-6.4780899729157682E-3</v>
      </c>
      <c r="L4">
        <v>-1.096176622195344E-2</v>
      </c>
      <c r="M4">
        <v>-1.096176622877465E-2</v>
      </c>
      <c r="N4">
        <v>-1.096176622786516E-2</v>
      </c>
      <c r="O4">
        <v>-4.2818119482035399E-4</v>
      </c>
      <c r="P4">
        <v>-4.2818119482035399E-4</v>
      </c>
      <c r="Q4">
        <v>-6.4780900029290933E-3</v>
      </c>
      <c r="R4">
        <v>-6.4780900029290933E-3</v>
      </c>
    </row>
    <row r="5" spans="1:18" x14ac:dyDescent="0.3">
      <c r="A5" s="1" t="s">
        <v>24</v>
      </c>
      <c r="B5">
        <v>120202.9007596594</v>
      </c>
      <c r="C5">
        <v>-2871.2523497852758</v>
      </c>
      <c r="D5">
        <v>-2858.1067621929201</v>
      </c>
      <c r="E5">
        <v>-2873.300764438452</v>
      </c>
      <c r="F5">
        <v>-2861.7176656487281</v>
      </c>
      <c r="G5">
        <v>-2803.2576181044069</v>
      </c>
      <c r="H5">
        <v>-2279.228779615687</v>
      </c>
      <c r="I5">
        <v>-1.4442336719184821E-3</v>
      </c>
      <c r="J5">
        <v>-1.444233675101714E-3</v>
      </c>
      <c r="K5">
        <v>-3.2201485028053871E-3</v>
      </c>
      <c r="L5">
        <v>-4.7093520397538668E-3</v>
      </c>
      <c r="M5">
        <v>-4.7093520629459817E-3</v>
      </c>
      <c r="N5">
        <v>-4.7093520629459817E-3</v>
      </c>
      <c r="O5">
        <v>-1.4442336700994931E-3</v>
      </c>
      <c r="P5">
        <v>-1.4442336700994931E-3</v>
      </c>
      <c r="Q5">
        <v>-3.2201485059886181E-3</v>
      </c>
      <c r="R5">
        <v>-3.2201485059886181E-3</v>
      </c>
    </row>
    <row r="6" spans="1:18" x14ac:dyDescent="0.3">
      <c r="A6" s="1" t="s">
        <v>25</v>
      </c>
      <c r="B6">
        <v>262094.95425977741</v>
      </c>
      <c r="C6">
        <v>-1168.679911826388</v>
      </c>
      <c r="D6">
        <v>-870.41281228329103</v>
      </c>
      <c r="E6">
        <v>-1415.295585920702</v>
      </c>
      <c r="F6">
        <v>-1307.8503480413831</v>
      </c>
      <c r="G6">
        <v>-928.27856385512314</v>
      </c>
      <c r="H6">
        <v>-4.2997134822271619</v>
      </c>
      <c r="I6">
        <v>-186.52052888761321</v>
      </c>
      <c r="J6">
        <v>-186.5205288876073</v>
      </c>
      <c r="K6">
        <v>-5.2831169341516224E-6</v>
      </c>
      <c r="L6">
        <v>-8.4613179751613643E-6</v>
      </c>
      <c r="M6">
        <v>-8.4613220678875223E-6</v>
      </c>
      <c r="N6">
        <v>-1.3173918887332551E-5</v>
      </c>
      <c r="O6">
        <v>-186.520528887605</v>
      </c>
      <c r="P6">
        <v>-222.0058836788721</v>
      </c>
      <c r="Q6">
        <v>-5.2831182983936742E-6</v>
      </c>
      <c r="R6">
        <v>-3.8613043216173537E-6</v>
      </c>
    </row>
    <row r="7" spans="1:18" x14ac:dyDescent="0.3">
      <c r="A7" s="1" t="s">
        <v>26</v>
      </c>
      <c r="B7">
        <v>18538.804908154259</v>
      </c>
      <c r="C7">
        <v>-1940.3153214893439</v>
      </c>
      <c r="D7">
        <v>-1827.08219618813</v>
      </c>
      <c r="E7">
        <v>-1536.451468350084</v>
      </c>
      <c r="F7">
        <v>-1043.41911825703</v>
      </c>
      <c r="G7">
        <v>2050.5608493604518</v>
      </c>
      <c r="H7">
        <v>-555.72713662385013</v>
      </c>
      <c r="I7">
        <v>-269.2882485059431</v>
      </c>
      <c r="J7">
        <v>-269.28824850594719</v>
      </c>
      <c r="K7">
        <v>-1.433581719538779E-4</v>
      </c>
      <c r="L7">
        <v>-3.4681642637224291E-4</v>
      </c>
      <c r="M7">
        <v>-3.4681641818679049E-4</v>
      </c>
      <c r="N7">
        <v>-2.0518505298241512E-3</v>
      </c>
      <c r="O7">
        <v>-269.28824850594918</v>
      </c>
      <c r="P7">
        <v>-327.18543548689689</v>
      </c>
      <c r="Q7">
        <v>-1.4335817604660411E-4</v>
      </c>
      <c r="R7">
        <v>0.29241117245692289</v>
      </c>
    </row>
    <row r="8" spans="1:18" x14ac:dyDescent="0.3">
      <c r="A8" s="1" t="s">
        <v>27</v>
      </c>
      <c r="B8">
        <v>550586.15863319952</v>
      </c>
      <c r="C8">
        <v>-673.44015236092991</v>
      </c>
      <c r="D8">
        <v>-437.82023299695402</v>
      </c>
      <c r="E8">
        <v>48.415363916506067</v>
      </c>
      <c r="F8">
        <v>621.76718242974903</v>
      </c>
      <c r="G8">
        <v>10807.2260314255</v>
      </c>
      <c r="H8">
        <v>-512.372948611011</v>
      </c>
      <c r="I8">
        <v>-32.848058940165629</v>
      </c>
      <c r="J8">
        <v>-32.848058940165629</v>
      </c>
      <c r="K8">
        <v>-6.5009558056772221E-6</v>
      </c>
      <c r="L8">
        <v>7.7704921750409994E-6</v>
      </c>
      <c r="M8">
        <v>7.7704862633254379E-6</v>
      </c>
      <c r="N8">
        <v>7.7704862633254379E-6</v>
      </c>
      <c r="O8">
        <v>-32.848058940165629</v>
      </c>
      <c r="P8">
        <v>-32.848058940165629</v>
      </c>
      <c r="Q8">
        <v>-6.5009567151719239E-6</v>
      </c>
      <c r="R8">
        <v>-6.5009567151719239E-6</v>
      </c>
    </row>
    <row r="9" spans="1:18" x14ac:dyDescent="0.3">
      <c r="A9" s="1" t="s">
        <v>28</v>
      </c>
      <c r="B9">
        <v>798900.62001929898</v>
      </c>
      <c r="C9">
        <v>-162.49504360192989</v>
      </c>
      <c r="D9">
        <v>-35.857182264378032</v>
      </c>
      <c r="E9">
        <v>-464.04825827306291</v>
      </c>
      <c r="F9">
        <v>-460.94942881626679</v>
      </c>
      <c r="G9">
        <v>-458.85955400497193</v>
      </c>
      <c r="H9">
        <v>-281.17148579951299</v>
      </c>
      <c r="I9">
        <v>-486.19146593276758</v>
      </c>
      <c r="J9">
        <v>-486.19146593276668</v>
      </c>
      <c r="K9">
        <v>1.8431901480653319E-6</v>
      </c>
      <c r="L9">
        <v>-9.4952620202093385E-6</v>
      </c>
      <c r="M9">
        <v>-9.4952374638523906E-6</v>
      </c>
      <c r="N9">
        <v>-9.4952392828417942E-6</v>
      </c>
      <c r="O9">
        <v>-486.19146593276668</v>
      </c>
      <c r="P9">
        <v>-486.19146593276668</v>
      </c>
      <c r="Q9">
        <v>1.8431965145282449E-6</v>
      </c>
      <c r="R9">
        <v>1.8431965145282449E-6</v>
      </c>
    </row>
    <row r="10" spans="1:18" x14ac:dyDescent="0.3">
      <c r="A10" s="1" t="s">
        <v>29</v>
      </c>
      <c r="B10">
        <v>1950021.839294126</v>
      </c>
      <c r="C10">
        <v>-3764.7351913637231</v>
      </c>
      <c r="D10">
        <v>-3654.46775698072</v>
      </c>
      <c r="E10">
        <v>-3475.7549103266201</v>
      </c>
      <c r="F10">
        <v>-3306.567369782209</v>
      </c>
      <c r="G10">
        <v>-160.11994421868619</v>
      </c>
      <c r="H10">
        <v>-1625.678147568176</v>
      </c>
      <c r="I10">
        <v>-1.26724372166791E-2</v>
      </c>
      <c r="J10">
        <v>-1.26724372166791E-2</v>
      </c>
      <c r="K10">
        <v>-3.1454493637284031E-4</v>
      </c>
      <c r="L10">
        <v>2.3901802705950099E-6</v>
      </c>
      <c r="M10">
        <v>2.3901666281744842E-6</v>
      </c>
      <c r="N10">
        <v>2.390167537669186E-6</v>
      </c>
      <c r="O10">
        <v>-1.2672437218498089E-2</v>
      </c>
      <c r="P10">
        <v>-1.2672437218498089E-2</v>
      </c>
      <c r="Q10">
        <v>-3.1454493455385091E-4</v>
      </c>
      <c r="R10">
        <v>-3.1454493455385091E-4</v>
      </c>
    </row>
    <row r="11" spans="1:18" x14ac:dyDescent="0.3">
      <c r="A11" s="1" t="s">
        <v>30</v>
      </c>
      <c r="B11">
        <v>330729.17168240593</v>
      </c>
      <c r="C11">
        <v>-805.53917786328816</v>
      </c>
      <c r="D11">
        <v>-112.6335703312711</v>
      </c>
      <c r="E11">
        <v>-1423.5529967054881</v>
      </c>
      <c r="F11">
        <v>-1177.206484631103</v>
      </c>
      <c r="G11">
        <v>-598.60505108839811</v>
      </c>
      <c r="H11">
        <v>-282.84977930010342</v>
      </c>
      <c r="I11">
        <v>-464.90713150873921</v>
      </c>
      <c r="J11">
        <v>-464.90713150874097</v>
      </c>
      <c r="K11">
        <v>-1.3200397006585259E-5</v>
      </c>
      <c r="L11">
        <v>-2.68442081505782E-5</v>
      </c>
      <c r="M11">
        <v>-2.6844194962905021E-5</v>
      </c>
      <c r="N11">
        <v>-2.6844194962905021E-5</v>
      </c>
      <c r="O11">
        <v>-464.90713150874012</v>
      </c>
      <c r="P11">
        <v>-464.90713150874012</v>
      </c>
      <c r="Q11">
        <v>-1.3200397006585259E-5</v>
      </c>
      <c r="R11">
        <v>-1.3200397006585259E-5</v>
      </c>
    </row>
    <row r="12" spans="1:18" x14ac:dyDescent="0.3">
      <c r="A12" s="1" t="s">
        <v>31</v>
      </c>
      <c r="B12">
        <v>59069.55351134493</v>
      </c>
      <c r="C12">
        <v>-1306.5587533478549</v>
      </c>
      <c r="D12">
        <v>-1210.921480805624</v>
      </c>
      <c r="E12">
        <v>-1397.607412317773</v>
      </c>
      <c r="F12">
        <v>-1373.7277293489381</v>
      </c>
      <c r="G12">
        <v>-1299.303693596217</v>
      </c>
      <c r="H12">
        <v>489.07659612508019</v>
      </c>
      <c r="I12">
        <v>-7.4615487078517617E-3</v>
      </c>
      <c r="J12">
        <v>-7.4615486989841884E-3</v>
      </c>
      <c r="K12">
        <v>-3.749607003555866E-6</v>
      </c>
      <c r="L12">
        <v>2.096010098284751E-5</v>
      </c>
      <c r="M12">
        <v>2.0960102119715881E-5</v>
      </c>
      <c r="N12">
        <v>2.0960102119715881E-5</v>
      </c>
      <c r="O12">
        <v>-7.4615486998936831E-3</v>
      </c>
      <c r="P12">
        <v>-7.4615486998936831E-3</v>
      </c>
      <c r="Q12">
        <v>-3.749607003555866E-6</v>
      </c>
      <c r="R12">
        <v>-3.749607003555866E-6</v>
      </c>
    </row>
    <row r="13" spans="1:18" x14ac:dyDescent="0.3">
      <c r="A13" s="1" t="s">
        <v>32</v>
      </c>
      <c r="B13">
        <v>95613.021060366693</v>
      </c>
      <c r="C13">
        <v>-3405.02521935713</v>
      </c>
      <c r="D13">
        <v>-3396.4518221627309</v>
      </c>
      <c r="E13">
        <v>-3416.1138595710131</v>
      </c>
      <c r="F13">
        <v>-3414.663210419058</v>
      </c>
      <c r="G13">
        <v>-3408.9669922077192</v>
      </c>
      <c r="H13">
        <v>-2363.8026535417548</v>
      </c>
      <c r="I13">
        <v>-5.0943001497216756E-4</v>
      </c>
      <c r="J13">
        <v>-5.0943001315317815E-4</v>
      </c>
      <c r="K13">
        <v>-1.720266397114756E-3</v>
      </c>
      <c r="L13">
        <v>-2.821378217049642E-3</v>
      </c>
      <c r="M13">
        <v>-2.82137820022399E-3</v>
      </c>
      <c r="N13">
        <v>-2.82137820022399E-3</v>
      </c>
      <c r="O13">
        <v>-5.0943001315317815E-4</v>
      </c>
      <c r="P13">
        <v>-5.0943001315317815E-4</v>
      </c>
      <c r="Q13">
        <v>-1.72026642394485E-3</v>
      </c>
      <c r="R13">
        <v>-1.72026642394485E-3</v>
      </c>
    </row>
    <row r="14" spans="1:18" x14ac:dyDescent="0.3">
      <c r="A14" s="1" t="s">
        <v>33</v>
      </c>
      <c r="B14">
        <v>71281.093133831979</v>
      </c>
      <c r="C14">
        <v>-3352.6503560478759</v>
      </c>
      <c r="D14">
        <v>-3320.2410781911808</v>
      </c>
      <c r="E14">
        <v>-3407.1596256731491</v>
      </c>
      <c r="F14">
        <v>-3406.5993040949188</v>
      </c>
      <c r="G14">
        <v>-3404.840861749688</v>
      </c>
      <c r="H14">
        <v>-1736.737992350563</v>
      </c>
      <c r="I14">
        <v>-1.4529160530400991E-3</v>
      </c>
      <c r="J14">
        <v>-1.4529160539495929E-3</v>
      </c>
      <c r="K14">
        <v>-2.1828372118761759E-3</v>
      </c>
      <c r="L14">
        <v>-3.0545200061169449E-3</v>
      </c>
      <c r="M14">
        <v>-3.0545199879270508E-3</v>
      </c>
      <c r="N14">
        <v>-3.0545199879270508E-3</v>
      </c>
      <c r="O14">
        <v>-1.4529160530400991E-3</v>
      </c>
      <c r="P14">
        <v>-1.4529160530400991E-3</v>
      </c>
      <c r="Q14">
        <v>-2.1828371800438622E-3</v>
      </c>
      <c r="R14">
        <v>-2.1828371800438622E-3</v>
      </c>
    </row>
    <row r="15" spans="1:18" x14ac:dyDescent="0.3">
      <c r="A15" s="1" t="s">
        <v>34</v>
      </c>
      <c r="B15">
        <v>704786.41600117716</v>
      </c>
      <c r="C15">
        <v>-2292.8507937526192</v>
      </c>
      <c r="D15">
        <v>-2211.8528176045402</v>
      </c>
      <c r="E15">
        <v>-2024.2355296147909</v>
      </c>
      <c r="F15">
        <v>-1608.498695642709</v>
      </c>
      <c r="G15">
        <v>303.81249631258112</v>
      </c>
      <c r="H15">
        <v>-1029.00837286871</v>
      </c>
      <c r="I15">
        <v>2.7049059779528761E-2</v>
      </c>
      <c r="J15">
        <v>2.7049059917771959E-2</v>
      </c>
      <c r="K15">
        <v>-1.209206311614253E-4</v>
      </c>
      <c r="L15">
        <v>-2.7147998116561212E-4</v>
      </c>
      <c r="M15">
        <v>-2.7147999207954848E-4</v>
      </c>
      <c r="N15">
        <v>-2.719700314628426E-4</v>
      </c>
      <c r="O15">
        <v>2.7049059939599829E-2</v>
      </c>
      <c r="P15">
        <v>2.8661668929998999E-2</v>
      </c>
      <c r="Q15">
        <v>-1.209206311614253E-4</v>
      </c>
      <c r="R15">
        <v>-1.209465408464894E-4</v>
      </c>
    </row>
    <row r="16" spans="1:18" x14ac:dyDescent="0.3">
      <c r="A16" s="1" t="s">
        <v>35</v>
      </c>
      <c r="B16">
        <v>210607.06847765431</v>
      </c>
      <c r="C16">
        <v>323.7764718631779</v>
      </c>
      <c r="D16">
        <v>1077.022469743069</v>
      </c>
      <c r="E16">
        <v>-578.57922813050436</v>
      </c>
      <c r="F16">
        <v>-486.81020661128571</v>
      </c>
      <c r="G16">
        <v>-364.23425877341077</v>
      </c>
      <c r="H16">
        <v>365.39378844293611</v>
      </c>
      <c r="I16">
        <v>-2.1662974762689369</v>
      </c>
      <c r="J16">
        <v>-2.1662974762689369</v>
      </c>
      <c r="K16">
        <v>-4.7951351007213823E-5</v>
      </c>
      <c r="L16">
        <v>-1.269487950139592E-4</v>
      </c>
      <c r="M16">
        <v>-1.269487959234539E-4</v>
      </c>
      <c r="N16">
        <v>-1.269487959234539E-4</v>
      </c>
      <c r="O16">
        <v>-2.1662974762680278</v>
      </c>
      <c r="P16">
        <v>-2.1662974762680278</v>
      </c>
      <c r="Q16">
        <v>-4.7951351007213823E-5</v>
      </c>
      <c r="R16">
        <v>-4.7951351007213823E-5</v>
      </c>
    </row>
    <row r="17" spans="1:18" x14ac:dyDescent="0.3">
      <c r="A17" s="1" t="s">
        <v>36</v>
      </c>
      <c r="B17">
        <v>357948.99107983138</v>
      </c>
      <c r="C17">
        <v>-6493.3786063766047</v>
      </c>
      <c r="D17">
        <v>-6476.0232163816781</v>
      </c>
      <c r="E17">
        <v>-6493.790265689986</v>
      </c>
      <c r="F17">
        <v>-6476.7254953881547</v>
      </c>
      <c r="G17">
        <v>-6474.7466032686243</v>
      </c>
      <c r="H17">
        <v>-5793.1634766025763</v>
      </c>
      <c r="I17">
        <v>-6379.7519690601448</v>
      </c>
      <c r="J17">
        <v>-6377.3706282831417</v>
      </c>
      <c r="K17">
        <v>-10.49581210140968</v>
      </c>
      <c r="L17">
        <v>-10.48825518517879</v>
      </c>
      <c r="M17">
        <v>-10.48825518517879</v>
      </c>
      <c r="N17">
        <v>-10.489664129139779</v>
      </c>
      <c r="O17">
        <v>-6377.3706282831499</v>
      </c>
      <c r="P17">
        <v>-6404.8003383198311</v>
      </c>
      <c r="Q17">
        <v>-10.49581210140968</v>
      </c>
      <c r="R17">
        <v>-10.496138544611309</v>
      </c>
    </row>
    <row r="18" spans="1:18" x14ac:dyDescent="0.3">
      <c r="A18" s="1" t="s">
        <v>37</v>
      </c>
      <c r="B18">
        <v>274792.06585456547</v>
      </c>
      <c r="C18">
        <v>-1157.059886288303</v>
      </c>
      <c r="D18">
        <v>-1146.834569906543</v>
      </c>
      <c r="E18">
        <v>-1164.393317459223</v>
      </c>
      <c r="F18">
        <v>-1156.987284442102</v>
      </c>
      <c r="G18">
        <v>-1016.504430520509</v>
      </c>
      <c r="H18">
        <v>-1098.114569343245</v>
      </c>
      <c r="I18">
        <v>-265.92849243717501</v>
      </c>
      <c r="J18">
        <v>-265.92849243720048</v>
      </c>
      <c r="K18">
        <v>1.351919763692422E-5</v>
      </c>
      <c r="L18">
        <v>-1.2689421237155329E-4</v>
      </c>
      <c r="M18">
        <v>-1.2689421873801621E-4</v>
      </c>
      <c r="N18">
        <v>-1.2720412178168769E-4</v>
      </c>
      <c r="O18">
        <v>-265.92849243719871</v>
      </c>
      <c r="P18">
        <v>-370.82444721953561</v>
      </c>
      <c r="Q18">
        <v>1.351919581793481E-5</v>
      </c>
      <c r="R18">
        <v>1.351574519503629E-5</v>
      </c>
    </row>
    <row r="19" spans="1:18" x14ac:dyDescent="0.3">
      <c r="A19" s="1" t="s">
        <v>38</v>
      </c>
      <c r="B19">
        <v>465694.69062844611</v>
      </c>
      <c r="C19">
        <v>-677.31368121149399</v>
      </c>
      <c r="D19">
        <v>-555.54564789599499</v>
      </c>
      <c r="E19">
        <v>-615.85522558764023</v>
      </c>
      <c r="F19">
        <v>-451.17464526337329</v>
      </c>
      <c r="G19">
        <v>1761.5216088623581</v>
      </c>
      <c r="H19">
        <v>-375.60264591443769</v>
      </c>
      <c r="I19">
        <v>-8.1828255133586936E-5</v>
      </c>
      <c r="J19">
        <v>-8.1828256952576339E-5</v>
      </c>
      <c r="K19">
        <v>-1.8838062715076379E-5</v>
      </c>
      <c r="L19">
        <v>-5.0141114115831442E-5</v>
      </c>
      <c r="M19">
        <v>-5.0141136853198993E-5</v>
      </c>
      <c r="N19">
        <v>-5.0174443458672613E-5</v>
      </c>
      <c r="O19">
        <v>-8.1828256952576339E-5</v>
      </c>
      <c r="P19">
        <v>-8.2155828749819193E-5</v>
      </c>
      <c r="Q19">
        <v>-1.8838061805581671E-5</v>
      </c>
      <c r="R19">
        <v>-1.8839132280845661E-5</v>
      </c>
    </row>
    <row r="20" spans="1:18" x14ac:dyDescent="0.3">
      <c r="A20" s="1" t="s">
        <v>39</v>
      </c>
      <c r="B20">
        <v>419214.48301838018</v>
      </c>
      <c r="C20">
        <v>-559.52261195601295</v>
      </c>
      <c r="D20">
        <v>-447.1625725430431</v>
      </c>
      <c r="E20">
        <v>-661.89321650433567</v>
      </c>
      <c r="F20">
        <v>-617.84642272218207</v>
      </c>
      <c r="G20">
        <v>-252.51958558605381</v>
      </c>
      <c r="H20">
        <v>-460.14732773154361</v>
      </c>
      <c r="I20">
        <v>-4.2200830648653209E-5</v>
      </c>
      <c r="J20">
        <v>-4.2200833377137308E-5</v>
      </c>
      <c r="K20">
        <v>-2.254624814668205E-5</v>
      </c>
      <c r="L20">
        <v>-2.7125572160002779E-5</v>
      </c>
      <c r="M20">
        <v>-2.7125587621412709E-5</v>
      </c>
      <c r="N20">
        <v>-2.713391586439684E-5</v>
      </c>
      <c r="O20">
        <v>-4.2200831558147911E-5</v>
      </c>
      <c r="P20">
        <v>-4.174951754976064E-5</v>
      </c>
      <c r="Q20">
        <v>-2.2546246327692639E-5</v>
      </c>
      <c r="R20">
        <v>-2.2552075279236309E-5</v>
      </c>
    </row>
    <row r="21" spans="1:18" x14ac:dyDescent="0.3">
      <c r="A21" s="1" t="s">
        <v>40</v>
      </c>
      <c r="B21">
        <v>163904.78905158621</v>
      </c>
      <c r="C21">
        <v>-122.70319079115301</v>
      </c>
      <c r="D21">
        <v>232.63978918447901</v>
      </c>
      <c r="E21">
        <v>-345.82258717215308</v>
      </c>
      <c r="F21">
        <v>-187.92272445570711</v>
      </c>
      <c r="G21">
        <v>57.73560351711194</v>
      </c>
      <c r="H21">
        <v>173.71716159206991</v>
      </c>
      <c r="I21">
        <v>-9.6088881505429526</v>
      </c>
      <c r="J21">
        <v>-9.6088881505420431</v>
      </c>
      <c r="K21">
        <v>-1.3715871318709109E-6</v>
      </c>
      <c r="L21">
        <v>-1.488756993239804E-5</v>
      </c>
      <c r="M21">
        <v>-1.488756902290334E-5</v>
      </c>
      <c r="N21">
        <v>-1.488756902290334E-5</v>
      </c>
      <c r="O21">
        <v>-9.6088881505420431</v>
      </c>
      <c r="P21">
        <v>-9.6088881505420431</v>
      </c>
      <c r="Q21">
        <v>-1.3715859950025331E-6</v>
      </c>
      <c r="R21">
        <v>-1.3715871318709109E-6</v>
      </c>
    </row>
    <row r="22" spans="1:18" x14ac:dyDescent="0.3">
      <c r="A22" s="1" t="s">
        <v>41</v>
      </c>
      <c r="B22">
        <v>233359.0204403477</v>
      </c>
      <c r="C22">
        <v>-172.74346104766661</v>
      </c>
      <c r="D22">
        <v>-133.02666258964749</v>
      </c>
      <c r="E22">
        <v>91.102362118688688</v>
      </c>
      <c r="F22">
        <v>311.29708870533068</v>
      </c>
      <c r="G22">
        <v>1992.3746585942631</v>
      </c>
      <c r="H22">
        <v>33.504520261251862</v>
      </c>
      <c r="I22">
        <v>-211.1438205724389</v>
      </c>
      <c r="J22">
        <v>-211.14382057243799</v>
      </c>
      <c r="K22">
        <v>5.445634997158777E-6</v>
      </c>
      <c r="L22">
        <v>1.7772002138372048E-5</v>
      </c>
      <c r="M22">
        <v>1.7771993043425031E-5</v>
      </c>
      <c r="N22">
        <v>1.7774788830138281E-5</v>
      </c>
      <c r="O22">
        <v>-211.1438205724389</v>
      </c>
      <c r="P22">
        <v>-211.14382109723559</v>
      </c>
      <c r="Q22">
        <v>5.4456313591799699E-6</v>
      </c>
      <c r="R22">
        <v>5.4456904763355851E-6</v>
      </c>
    </row>
    <row r="23" spans="1:18" x14ac:dyDescent="0.3">
      <c r="A23" s="1" t="s">
        <v>42</v>
      </c>
      <c r="B23">
        <v>8326.3740126535577</v>
      </c>
      <c r="C23">
        <v>-469.28731505887629</v>
      </c>
      <c r="D23">
        <v>-350.2200819896625</v>
      </c>
      <c r="E23">
        <v>-823.69794134655967</v>
      </c>
      <c r="F23">
        <v>-808.8039318052339</v>
      </c>
      <c r="G23">
        <v>-714.33776021123981</v>
      </c>
      <c r="H23">
        <v>-607.70201607056538</v>
      </c>
      <c r="I23">
        <v>3.382260989610586E-4</v>
      </c>
      <c r="J23">
        <v>3.3822609998424008E-4</v>
      </c>
      <c r="K23">
        <v>5.0269485996068397E-5</v>
      </c>
      <c r="L23">
        <v>1.134419159143363E-4</v>
      </c>
      <c r="M23">
        <v>1.134419179606994E-4</v>
      </c>
      <c r="N23">
        <v>1.1100958886345321E-4</v>
      </c>
      <c r="O23">
        <v>3.3822609998424008E-4</v>
      </c>
      <c r="P23">
        <v>3.2602540409243369E-4</v>
      </c>
      <c r="Q23">
        <v>5.0269485996068397E-5</v>
      </c>
      <c r="R23">
        <v>5.3172542038737447E-5</v>
      </c>
    </row>
    <row r="24" spans="1:18" x14ac:dyDescent="0.3">
      <c r="A24" s="1" t="s">
        <v>43</v>
      </c>
      <c r="B24">
        <v>596663.77203070919</v>
      </c>
      <c r="C24">
        <v>-758.99341964132054</v>
      </c>
      <c r="D24">
        <v>-101.5945910121754</v>
      </c>
      <c r="E24">
        <v>-1596.336197226623</v>
      </c>
      <c r="F24">
        <v>-1474.122064936402</v>
      </c>
      <c r="G24">
        <v>-860.16227293912834</v>
      </c>
      <c r="H24">
        <v>878.22419082854503</v>
      </c>
      <c r="I24">
        <v>2.1359575930546271E-4</v>
      </c>
      <c r="J24">
        <v>2.1359575930546271E-4</v>
      </c>
      <c r="K24">
        <v>5.4000188356440049E-5</v>
      </c>
      <c r="L24">
        <v>1.4596008259104559E-4</v>
      </c>
      <c r="M24">
        <v>1.459600835005403E-4</v>
      </c>
      <c r="N24">
        <v>1.5137483933358451E-4</v>
      </c>
      <c r="O24">
        <v>2.1359576021495741E-4</v>
      </c>
      <c r="P24">
        <v>2.5612246099626651E-4</v>
      </c>
      <c r="Q24">
        <v>5.400018926593475E-5</v>
      </c>
      <c r="R24">
        <v>5.4106317293189932E-5</v>
      </c>
    </row>
    <row r="25" spans="1:18" x14ac:dyDescent="0.3">
      <c r="A25" s="1" t="s">
        <v>44</v>
      </c>
      <c r="B25">
        <v>436.45062679747531</v>
      </c>
      <c r="C25">
        <v>-1890.4969501323701</v>
      </c>
      <c r="D25">
        <v>-1624.3990299572049</v>
      </c>
      <c r="E25">
        <v>-2210.758030827747</v>
      </c>
      <c r="F25">
        <v>-2119.799809281586</v>
      </c>
      <c r="G25">
        <v>-1915.932810221442</v>
      </c>
      <c r="H25">
        <v>-1101.5825545818529</v>
      </c>
      <c r="I25">
        <v>-1260.066459294783</v>
      </c>
      <c r="J25">
        <v>-1260.0664619443089</v>
      </c>
      <c r="K25">
        <v>-2.7126351187689579E-4</v>
      </c>
      <c r="L25">
        <v>8.4001365121366689E-4</v>
      </c>
      <c r="M25">
        <v>8.400135770898487E-4</v>
      </c>
      <c r="N25">
        <v>8.400135770898487E-4</v>
      </c>
      <c r="O25">
        <v>-1260.0665699671299</v>
      </c>
      <c r="P25">
        <v>-1260.0665699671299</v>
      </c>
      <c r="Q25">
        <v>-2.7126350914841169E-4</v>
      </c>
      <c r="R25">
        <v>-2.7126350914841169E-4</v>
      </c>
    </row>
    <row r="26" spans="1:18" x14ac:dyDescent="0.3">
      <c r="A26" s="1" t="s">
        <v>45</v>
      </c>
      <c r="B26">
        <v>35257.864189956214</v>
      </c>
      <c r="C26">
        <v>-1021.334007122065</v>
      </c>
      <c r="D26">
        <v>2420.2564444568088</v>
      </c>
      <c r="E26">
        <v>-2111.4438238642661</v>
      </c>
      <c r="F26">
        <v>213.37037455397689</v>
      </c>
      <c r="G26">
        <v>3080.7821243691492</v>
      </c>
      <c r="H26">
        <v>-2851.3507823774662</v>
      </c>
      <c r="I26">
        <v>-7.0325897668226389E-3</v>
      </c>
      <c r="J26">
        <v>-7.0325897577276919E-3</v>
      </c>
      <c r="K26">
        <v>-1.916154302307405E-3</v>
      </c>
      <c r="L26">
        <v>-8.1099463077407563E-3</v>
      </c>
      <c r="M26">
        <v>-8.1099462986458093E-3</v>
      </c>
      <c r="N26">
        <v>-8.1099462986458093E-3</v>
      </c>
      <c r="O26">
        <v>-7.0325897631846601E-3</v>
      </c>
      <c r="P26">
        <v>-7.0325897631846601E-3</v>
      </c>
      <c r="Q26">
        <v>-1.916154304126394E-3</v>
      </c>
      <c r="R26">
        <v>-1.916154304126394E-3</v>
      </c>
    </row>
    <row r="27" spans="1:18" x14ac:dyDescent="0.3">
      <c r="A27" s="1" t="s">
        <v>46</v>
      </c>
      <c r="B27">
        <v>203679.95269604551</v>
      </c>
      <c r="C27">
        <v>-35633.934796324378</v>
      </c>
      <c r="D27">
        <v>-31165.34915963532</v>
      </c>
      <c r="E27">
        <v>-39429.397840676487</v>
      </c>
      <c r="F27">
        <v>-37656.187350859567</v>
      </c>
      <c r="G27">
        <v>-32363.99105491547</v>
      </c>
      <c r="H27">
        <v>21422.501480156421</v>
      </c>
      <c r="I27">
        <v>-614.10434237204754</v>
      </c>
      <c r="J27">
        <v>-614.10434237200388</v>
      </c>
      <c r="K27">
        <v>-6.4241894797305577E-3</v>
      </c>
      <c r="L27">
        <v>-3.8135451686684969E-3</v>
      </c>
      <c r="M27">
        <v>-3.8135454160510558E-3</v>
      </c>
      <c r="N27">
        <v>-3.8135454160510558E-3</v>
      </c>
      <c r="O27">
        <v>-614.10434237200388</v>
      </c>
      <c r="P27">
        <v>-614.10434237200388</v>
      </c>
      <c r="Q27">
        <v>-6.4241895961458786E-3</v>
      </c>
      <c r="R27">
        <v>-6.4241895961458786E-3</v>
      </c>
    </row>
    <row r="28" spans="1:18" x14ac:dyDescent="0.3">
      <c r="A28" s="1" t="s">
        <v>47</v>
      </c>
      <c r="B28">
        <v>4026614.671936451</v>
      </c>
      <c r="C28">
        <v>46.356560037787858</v>
      </c>
      <c r="D28">
        <v>369.04296738070838</v>
      </c>
      <c r="E28">
        <v>-392.27705637270992</v>
      </c>
      <c r="F28">
        <v>-355.95906151711102</v>
      </c>
      <c r="G28">
        <v>-324.38059596120002</v>
      </c>
      <c r="H28">
        <v>16.93959272733991</v>
      </c>
      <c r="I28">
        <v>-5.80806408834178E-5</v>
      </c>
      <c r="J28">
        <v>-5.80806408834178E-5</v>
      </c>
      <c r="K28">
        <v>-8.2339502114336938E-6</v>
      </c>
      <c r="L28">
        <v>-4.8789101128932089E-5</v>
      </c>
      <c r="M28">
        <v>-4.8789101128932089E-5</v>
      </c>
      <c r="N28">
        <v>-4.8789101128932089E-5</v>
      </c>
      <c r="O28">
        <v>-5.80806408834178E-5</v>
      </c>
      <c r="P28">
        <v>-5.80806408834178E-5</v>
      </c>
      <c r="Q28">
        <v>-8.2339392974972725E-6</v>
      </c>
      <c r="R28">
        <v>-8.2339392974972725E-6</v>
      </c>
    </row>
    <row r="29" spans="1:18" x14ac:dyDescent="0.3">
      <c r="A29" s="1" t="s">
        <v>48</v>
      </c>
      <c r="B29">
        <v>426497.11736487813</v>
      </c>
      <c r="C29">
        <v>-405.06975594021242</v>
      </c>
      <c r="D29">
        <v>803.35844072808959</v>
      </c>
      <c r="E29">
        <v>-580.69656619172201</v>
      </c>
      <c r="F29">
        <v>441.76922840167299</v>
      </c>
      <c r="G29">
        <v>1177.1204947130659</v>
      </c>
      <c r="H29">
        <v>-647.9696688522863</v>
      </c>
      <c r="I29">
        <v>-493.33781938465933</v>
      </c>
      <c r="J29">
        <v>-493.33781938465842</v>
      </c>
      <c r="K29">
        <v>-7.9666000601719134E-5</v>
      </c>
      <c r="L29">
        <v>-8.3305290536372922E-4</v>
      </c>
      <c r="M29">
        <v>-8.3305290263524512E-4</v>
      </c>
      <c r="N29">
        <v>-8.3305290354473982E-4</v>
      </c>
      <c r="O29">
        <v>-493.33781938465751</v>
      </c>
      <c r="P29">
        <v>-493.33781938465648</v>
      </c>
      <c r="Q29">
        <v>-7.9666001511213835E-5</v>
      </c>
      <c r="R29">
        <v>-7.9666001511213835E-5</v>
      </c>
    </row>
    <row r="30" spans="1:18" x14ac:dyDescent="0.3">
      <c r="A30" s="1" t="s">
        <v>49</v>
      </c>
      <c r="B30">
        <v>1227513.939847728</v>
      </c>
      <c r="C30">
        <v>-1116.7732294495449</v>
      </c>
      <c r="D30">
        <v>-1013.6595064373</v>
      </c>
      <c r="E30">
        <v>-992.11940555494948</v>
      </c>
      <c r="F30">
        <v>-778.0469444044893</v>
      </c>
      <c r="G30">
        <v>539.08842041255593</v>
      </c>
      <c r="H30">
        <v>-312.61233329192783</v>
      </c>
      <c r="I30">
        <v>1.9814069946733071E-4</v>
      </c>
      <c r="J30">
        <v>1.981406958293519E-4</v>
      </c>
      <c r="K30">
        <v>1.6059920199040789E-5</v>
      </c>
      <c r="L30">
        <v>6.7802795456373133E-5</v>
      </c>
      <c r="M30">
        <v>6.7802791818394326E-5</v>
      </c>
      <c r="N30">
        <v>6.7802790908899624E-5</v>
      </c>
      <c r="O30">
        <v>1.981406949198572E-4</v>
      </c>
      <c r="P30">
        <v>1.981406949198572E-4</v>
      </c>
      <c r="Q30">
        <v>1.6059921108535491E-5</v>
      </c>
      <c r="R30">
        <v>1.6059921108535491E-5</v>
      </c>
    </row>
    <row r="31" spans="1:18" x14ac:dyDescent="0.3">
      <c r="A31" s="1" t="s">
        <v>50</v>
      </c>
      <c r="B31">
        <v>75035.431173667952</v>
      </c>
      <c r="C31">
        <v>-891.17622165043622</v>
      </c>
      <c r="D31">
        <v>-690.37868004296388</v>
      </c>
      <c r="E31">
        <v>-1074.420574283258</v>
      </c>
      <c r="F31">
        <v>-1053.1198544549411</v>
      </c>
      <c r="G31">
        <v>-1039.9540912191089</v>
      </c>
      <c r="H31">
        <v>-955.77590361101511</v>
      </c>
      <c r="I31">
        <v>-9.8295774032421832</v>
      </c>
      <c r="J31">
        <v>-9.829577403239</v>
      </c>
      <c r="K31">
        <v>5.1886863730032928E-5</v>
      </c>
      <c r="L31">
        <v>2.1315382082320869E-4</v>
      </c>
      <c r="M31">
        <v>2.1315382491593479E-4</v>
      </c>
      <c r="N31">
        <v>2.1315382491593479E-4</v>
      </c>
      <c r="O31">
        <v>-9.829577403237181</v>
      </c>
      <c r="P31">
        <v>-9.829577403237181</v>
      </c>
      <c r="Q31">
        <v>5.1886863730032928E-5</v>
      </c>
      <c r="R31">
        <v>5.1886863730032928E-5</v>
      </c>
    </row>
    <row r="32" spans="1:18" x14ac:dyDescent="0.3">
      <c r="A32" s="1" t="s">
        <v>51</v>
      </c>
      <c r="B32">
        <v>36472.122697373998</v>
      </c>
      <c r="C32">
        <v>-442.95913194015588</v>
      </c>
      <c r="D32">
        <v>17.401562453567291</v>
      </c>
      <c r="E32">
        <v>-1182.1044022017811</v>
      </c>
      <c r="F32">
        <v>-1153.622186311751</v>
      </c>
      <c r="G32">
        <v>-1045.98842436789</v>
      </c>
      <c r="H32">
        <v>-1075.7812750254459</v>
      </c>
      <c r="I32">
        <v>-1.765698330018495E-4</v>
      </c>
      <c r="J32">
        <v>-1.7656983072811269E-4</v>
      </c>
      <c r="K32">
        <v>-8.0216525930154603E-5</v>
      </c>
      <c r="L32">
        <v>-1.5667093975935131E-4</v>
      </c>
      <c r="M32">
        <v>-1.5667093975935131E-4</v>
      </c>
      <c r="N32">
        <v>-1.5667093975935131E-4</v>
      </c>
      <c r="O32">
        <v>-1.765698320923548E-4</v>
      </c>
      <c r="P32">
        <v>-1.765698320923548E-4</v>
      </c>
      <c r="Q32">
        <v>-8.0216526839649305E-5</v>
      </c>
      <c r="R32">
        <v>-8.0216526839649305E-5</v>
      </c>
    </row>
    <row r="33" spans="1:18" x14ac:dyDescent="0.3">
      <c r="A33" s="1" t="s">
        <v>52</v>
      </c>
      <c r="B33">
        <v>84262.112571298043</v>
      </c>
      <c r="C33">
        <v>-307.74134879327897</v>
      </c>
      <c r="D33">
        <v>-275.77307002992211</v>
      </c>
      <c r="E33">
        <v>-313.00446025238313</v>
      </c>
      <c r="F33">
        <v>-285.35642499354532</v>
      </c>
      <c r="G33">
        <v>-212.65438729223521</v>
      </c>
      <c r="H33">
        <v>-146.63198230370199</v>
      </c>
      <c r="I33">
        <v>-4.7516491576971021E-6</v>
      </c>
      <c r="J33">
        <v>-4.7516491576971021E-6</v>
      </c>
      <c r="K33">
        <v>3.1728100111649842E-6</v>
      </c>
      <c r="L33">
        <v>6.0629317886196077E-6</v>
      </c>
      <c r="M33">
        <v>6.0629326981143086E-6</v>
      </c>
      <c r="N33">
        <v>6.0629326981143086E-6</v>
      </c>
      <c r="O33">
        <v>-4.7516491576971021E-6</v>
      </c>
      <c r="P33">
        <v>-4.7516491576971021E-6</v>
      </c>
      <c r="Q33">
        <v>3.1728100111649842E-6</v>
      </c>
      <c r="R33">
        <v>3.1728109206596859E-6</v>
      </c>
    </row>
    <row r="34" spans="1:18" x14ac:dyDescent="0.3">
      <c r="A34" s="1" t="s">
        <v>53</v>
      </c>
      <c r="B34">
        <v>27034.711900899609</v>
      </c>
      <c r="C34">
        <v>-1515.370660320898</v>
      </c>
      <c r="D34">
        <v>-1380.7079938545451</v>
      </c>
      <c r="E34">
        <v>-1542.8460897586051</v>
      </c>
      <c r="F34">
        <v>-1438.795729515964</v>
      </c>
      <c r="G34">
        <v>-1295.6796580722389</v>
      </c>
      <c r="H34">
        <v>-1191.3632493246071</v>
      </c>
      <c r="I34">
        <v>-495.02285826470012</v>
      </c>
      <c r="J34">
        <v>-495.02285826470012</v>
      </c>
      <c r="K34">
        <v>-5.6001592638660904</v>
      </c>
      <c r="L34">
        <v>-141.4185053947422</v>
      </c>
      <c r="M34">
        <v>-141.41850539474399</v>
      </c>
      <c r="N34">
        <v>-141.41850539474399</v>
      </c>
      <c r="O34">
        <v>-495.02285826469921</v>
      </c>
      <c r="P34">
        <v>-495.02285826469921</v>
      </c>
      <c r="Q34">
        <v>-5.6001592638640432</v>
      </c>
      <c r="R34">
        <v>-5.6001592638640432</v>
      </c>
    </row>
    <row r="35" spans="1:18" x14ac:dyDescent="0.3">
      <c r="A35" s="1" t="s">
        <v>54</v>
      </c>
      <c r="B35">
        <v>132536.57099285381</v>
      </c>
      <c r="C35">
        <v>-991.03331576709559</v>
      </c>
      <c r="D35">
        <v>-938.93707726279604</v>
      </c>
      <c r="E35">
        <v>-1041.4280321616079</v>
      </c>
      <c r="F35">
        <v>-1037.4215290117879</v>
      </c>
      <c r="G35">
        <v>-1031.7814858367269</v>
      </c>
      <c r="H35">
        <v>-984.80047549682172</v>
      </c>
      <c r="I35">
        <v>-221.06644458448409</v>
      </c>
      <c r="J35">
        <v>-221.06644458446911</v>
      </c>
      <c r="K35">
        <v>-1.9206501549740549</v>
      </c>
      <c r="L35">
        <v>-6.0537096255870892</v>
      </c>
      <c r="M35">
        <v>-6.0537096255900451</v>
      </c>
      <c r="N35">
        <v>-6.0537096255900451</v>
      </c>
      <c r="O35">
        <v>-221.06644458447201</v>
      </c>
      <c r="P35">
        <v>-221.06644458447201</v>
      </c>
      <c r="Q35">
        <v>-1.9206501549740549</v>
      </c>
      <c r="R35">
        <v>-1.9206501549740549</v>
      </c>
    </row>
    <row r="36" spans="1:18" x14ac:dyDescent="0.3">
      <c r="A36" s="1" t="s">
        <v>55</v>
      </c>
      <c r="B36">
        <v>59240.719111482147</v>
      </c>
      <c r="C36">
        <v>-5897.034336103965</v>
      </c>
      <c r="D36">
        <v>-5696.1023666950068</v>
      </c>
      <c r="E36">
        <v>-6276.2742790189341</v>
      </c>
      <c r="F36">
        <v>-6265.2545554633734</v>
      </c>
      <c r="G36">
        <v>-6205.1204844640724</v>
      </c>
      <c r="H36">
        <v>-5021.5319637199491</v>
      </c>
      <c r="I36">
        <v>-1.5562368397722821</v>
      </c>
      <c r="J36">
        <v>-1.5562368403561779</v>
      </c>
      <c r="K36">
        <v>-4.9901496377060539E-3</v>
      </c>
      <c r="L36">
        <v>-7.3265891651317361E-3</v>
      </c>
      <c r="M36">
        <v>-7.3265891915070824E-3</v>
      </c>
      <c r="N36">
        <v>-7.3265891915070824E-3</v>
      </c>
      <c r="O36">
        <v>-1.556236840216116</v>
      </c>
      <c r="P36">
        <v>-1.556236840216116</v>
      </c>
      <c r="Q36">
        <v>-4.9901496240636334E-3</v>
      </c>
      <c r="R36">
        <v>-4.9901496240636334E-3</v>
      </c>
    </row>
    <row r="37" spans="1:18" x14ac:dyDescent="0.3">
      <c r="A37" s="1" t="s">
        <v>56</v>
      </c>
      <c r="B37">
        <v>74423.726231373905</v>
      </c>
      <c r="C37">
        <v>9478.7708707515631</v>
      </c>
      <c r="D37">
        <v>45086.774179436492</v>
      </c>
      <c r="E37">
        <v>-38859.971047446939</v>
      </c>
      <c r="F37">
        <v>-37688.823640002818</v>
      </c>
      <c r="G37">
        <v>-33514.707728977577</v>
      </c>
      <c r="H37">
        <v>14863.914546686579</v>
      </c>
      <c r="I37">
        <v>-7.1791985828895122E-4</v>
      </c>
      <c r="J37">
        <v>-7.179198000812903E-4</v>
      </c>
      <c r="K37">
        <v>-4.408927343320101E-4</v>
      </c>
      <c r="L37">
        <v>-6.9278237788239494E-4</v>
      </c>
      <c r="M37">
        <v>-6.9278229784686118E-4</v>
      </c>
      <c r="N37">
        <v>-6.9278229057090357E-4</v>
      </c>
      <c r="O37">
        <v>-7.179198000812903E-4</v>
      </c>
      <c r="P37">
        <v>-7.1791980735724792E-4</v>
      </c>
      <c r="Q37">
        <v>-4.4089272705605248E-4</v>
      </c>
      <c r="R37">
        <v>-4.4089271978009492E-4</v>
      </c>
    </row>
    <row r="38" spans="1:18" x14ac:dyDescent="0.3">
      <c r="A38" s="1" t="s">
        <v>57</v>
      </c>
      <c r="B38">
        <v>96632.984861533958</v>
      </c>
      <c r="C38">
        <v>-973.40328881902497</v>
      </c>
      <c r="D38">
        <v>-712.82431723228592</v>
      </c>
      <c r="E38">
        <v>-1184.2220809403791</v>
      </c>
      <c r="F38">
        <v>-1081.3433059973049</v>
      </c>
      <c r="G38">
        <v>-1003.813099400434</v>
      </c>
      <c r="H38">
        <v>-583.68453261827608</v>
      </c>
      <c r="I38">
        <v>2.7123685003971332E-4</v>
      </c>
      <c r="J38">
        <v>2.7123685094920802E-4</v>
      </c>
      <c r="K38">
        <v>2.527596097934293E-5</v>
      </c>
      <c r="L38">
        <v>2.357311250307248E-4</v>
      </c>
      <c r="M38">
        <v>2.357311250307248E-4</v>
      </c>
      <c r="N38">
        <v>2.357311250307248E-4</v>
      </c>
      <c r="O38">
        <v>2.7123685276819742E-4</v>
      </c>
      <c r="P38">
        <v>2.7123685276819742E-4</v>
      </c>
      <c r="Q38">
        <v>2.5275961888837631E-5</v>
      </c>
      <c r="R38">
        <v>2.5275961888837631E-5</v>
      </c>
    </row>
    <row r="39" spans="1:18" x14ac:dyDescent="0.3">
      <c r="A39" s="1" t="s">
        <v>58</v>
      </c>
      <c r="B39">
        <v>208222.448688804</v>
      </c>
      <c r="C39">
        <v>-195.99959331201629</v>
      </c>
      <c r="D39">
        <v>194.85124357217961</v>
      </c>
      <c r="E39">
        <v>-1110.3799525202689</v>
      </c>
      <c r="F39">
        <v>-1097.5832716871389</v>
      </c>
      <c r="G39">
        <v>-1089.9833724375069</v>
      </c>
      <c r="H39">
        <v>-13.56421348754156</v>
      </c>
      <c r="I39">
        <v>-4.2507745092734686E-6</v>
      </c>
      <c r="J39">
        <v>-4.2507745092734686E-6</v>
      </c>
      <c r="K39">
        <v>4.2766732804011554E-6</v>
      </c>
      <c r="L39">
        <v>6.5169942899956368E-6</v>
      </c>
      <c r="M39">
        <v>6.5169961089850403E-6</v>
      </c>
      <c r="N39">
        <v>6.5169961089850403E-6</v>
      </c>
      <c r="O39">
        <v>-4.2507745092734686E-6</v>
      </c>
      <c r="P39">
        <v>-4.2507745092734686E-6</v>
      </c>
      <c r="Q39">
        <v>4.2766741898958571E-6</v>
      </c>
      <c r="R39">
        <v>4.2766732804011554E-6</v>
      </c>
    </row>
    <row r="40" spans="1:18" x14ac:dyDescent="0.3">
      <c r="A40" s="1" t="s">
        <v>59</v>
      </c>
      <c r="B40">
        <v>126433.90715454151</v>
      </c>
      <c r="C40">
        <v>-69.655015420663176</v>
      </c>
      <c r="D40">
        <v>242.36105818515901</v>
      </c>
      <c r="E40">
        <v>-472.58709250495332</v>
      </c>
      <c r="F40">
        <v>-433.40310255674552</v>
      </c>
      <c r="G40">
        <v>-263.50305445197279</v>
      </c>
      <c r="H40">
        <v>102.92613522591</v>
      </c>
      <c r="I40">
        <v>-2.5967072133425969E-5</v>
      </c>
      <c r="J40">
        <v>-2.5967072133425969E-5</v>
      </c>
      <c r="K40">
        <v>-7.9463911788479891E-6</v>
      </c>
      <c r="L40">
        <v>-4.031352000311017E-5</v>
      </c>
      <c r="M40">
        <v>-4.0313521139978548E-5</v>
      </c>
      <c r="N40">
        <v>-4.0313521139978548E-5</v>
      </c>
      <c r="O40">
        <v>-2.5967072133425969E-5</v>
      </c>
      <c r="P40">
        <v>-2.5967072133425969E-5</v>
      </c>
      <c r="Q40">
        <v>-7.9463911788479891E-6</v>
      </c>
      <c r="R40">
        <v>-7.9463900419796119E-6</v>
      </c>
    </row>
    <row r="41" spans="1:18" x14ac:dyDescent="0.3">
      <c r="A41" s="1" t="s">
        <v>60</v>
      </c>
      <c r="B41">
        <v>251756.3521325094</v>
      </c>
      <c r="C41">
        <v>-9542.4036007376417</v>
      </c>
      <c r="D41">
        <v>-9358.7120699590105</v>
      </c>
      <c r="E41">
        <v>-9629.1648398469515</v>
      </c>
      <c r="F41">
        <v>-9542.1227437224006</v>
      </c>
      <c r="G41">
        <v>-9522.4470426773914</v>
      </c>
      <c r="H41">
        <v>-7142.8391901061314</v>
      </c>
      <c r="I41">
        <v>-6838.6260845060006</v>
      </c>
      <c r="J41">
        <v>-6838.6260845059714</v>
      </c>
      <c r="K41">
        <v>-2.6700465241447091E-4</v>
      </c>
      <c r="L41">
        <v>-9.6940076036844403E-4</v>
      </c>
      <c r="M41">
        <v>-9.6940078219631687E-4</v>
      </c>
      <c r="N41">
        <v>-9.6940077128238045E-4</v>
      </c>
      <c r="O41">
        <v>-6838.6260845059905</v>
      </c>
      <c r="P41">
        <v>-6838.6260845059905</v>
      </c>
      <c r="Q41">
        <v>-2.6700464150053449E-4</v>
      </c>
      <c r="R41">
        <v>-2.6700465241447091E-4</v>
      </c>
    </row>
    <row r="42" spans="1:18" x14ac:dyDescent="0.3">
      <c r="A42" s="1" t="s">
        <v>61</v>
      </c>
      <c r="B42">
        <v>172927.64865785069</v>
      </c>
      <c r="C42">
        <v>-8581.5405143331081</v>
      </c>
      <c r="D42">
        <v>-7383.3882901002289</v>
      </c>
      <c r="E42">
        <v>-9162.8061026925388</v>
      </c>
      <c r="F42">
        <v>-8676.2637955765495</v>
      </c>
      <c r="G42">
        <v>-8674.6548956750194</v>
      </c>
      <c r="H42">
        <v>-6348.6850785619281</v>
      </c>
      <c r="I42">
        <v>-9730.8230715722493</v>
      </c>
      <c r="J42">
        <v>-9730.8230715722384</v>
      </c>
      <c r="K42">
        <v>-1.213073846884072E-5</v>
      </c>
      <c r="L42">
        <v>-5.0785689381882548E-5</v>
      </c>
      <c r="M42">
        <v>-5.078564936411567E-5</v>
      </c>
      <c r="N42">
        <v>-5.0785660278052092E-5</v>
      </c>
      <c r="O42">
        <v>-9730.8230715722384</v>
      </c>
      <c r="P42">
        <v>-9730.8230715722384</v>
      </c>
      <c r="Q42">
        <v>-1.213073846884072E-5</v>
      </c>
      <c r="R42">
        <v>-1.213073846884072E-5</v>
      </c>
    </row>
    <row r="43" spans="1:18" x14ac:dyDescent="0.3">
      <c r="A43" s="1" t="s">
        <v>62</v>
      </c>
      <c r="B43">
        <v>-156841.49830862851</v>
      </c>
      <c r="C43">
        <v>-419.22096811488808</v>
      </c>
      <c r="D43">
        <v>-318.48506523919963</v>
      </c>
      <c r="E43">
        <v>-516.00887289976174</v>
      </c>
      <c r="F43">
        <v>-477.49131146964731</v>
      </c>
      <c r="G43">
        <v>37.088966371843362</v>
      </c>
      <c r="H43">
        <v>-8.1046063650932183</v>
      </c>
      <c r="I43">
        <v>8.9776720528789156E-6</v>
      </c>
      <c r="J43">
        <v>8.977672280252591E-6</v>
      </c>
      <c r="K43">
        <v>4.274891739441955E-5</v>
      </c>
      <c r="L43">
        <v>-1.3535004421783009E-4</v>
      </c>
      <c r="M43">
        <v>-1.3535004495679459E-4</v>
      </c>
      <c r="N43">
        <v>-1.3535004512732479E-4</v>
      </c>
      <c r="O43">
        <v>8.9776720528789156E-6</v>
      </c>
      <c r="P43">
        <v>8.9776720528789156E-6</v>
      </c>
      <c r="Q43">
        <v>4.274891739441955E-5</v>
      </c>
      <c r="R43">
        <v>4.2748917280732712E-5</v>
      </c>
    </row>
    <row r="44" spans="1:18" x14ac:dyDescent="0.3">
      <c r="A44" s="1" t="s">
        <v>63</v>
      </c>
      <c r="B44">
        <v>-13031.29479885945</v>
      </c>
      <c r="C44">
        <v>-94.354803871318836</v>
      </c>
      <c r="D44">
        <v>86.558348008321047</v>
      </c>
      <c r="E44">
        <v>-226.4194454733468</v>
      </c>
      <c r="F44">
        <v>-113.1861330036208</v>
      </c>
      <c r="G44">
        <v>748.11563222176392</v>
      </c>
      <c r="H44">
        <v>-239.89329159182739</v>
      </c>
      <c r="I44">
        <v>8.4176808741176501E-6</v>
      </c>
      <c r="J44">
        <v>8.4176808741176501E-6</v>
      </c>
      <c r="K44">
        <v>-7.1415317961509572E-6</v>
      </c>
      <c r="L44">
        <v>6.315185999028472E-6</v>
      </c>
      <c r="M44">
        <v>6.3151858853416343E-6</v>
      </c>
      <c r="N44">
        <v>6.3151858853416343E-6</v>
      </c>
      <c r="O44">
        <v>8.4176809878044878E-6</v>
      </c>
      <c r="P44">
        <v>8.4176808741176501E-6</v>
      </c>
      <c r="Q44">
        <v>-7.1415317961509572E-6</v>
      </c>
      <c r="R44">
        <v>-7.1415317393075384E-6</v>
      </c>
    </row>
    <row r="45" spans="1:18" x14ac:dyDescent="0.3">
      <c r="A45" s="1" t="s">
        <v>64</v>
      </c>
      <c r="B45">
        <v>49678.881088544862</v>
      </c>
      <c r="C45">
        <v>-1216.2492849654959</v>
      </c>
      <c r="D45">
        <v>-988.5284019336259</v>
      </c>
      <c r="E45">
        <v>-1670.5200135189791</v>
      </c>
      <c r="F45">
        <v>-1647.9512963281711</v>
      </c>
      <c r="G45">
        <v>-1630.6780118253171</v>
      </c>
      <c r="H45">
        <v>-1541.2274017288121</v>
      </c>
      <c r="I45">
        <v>3.0837797976346343E-4</v>
      </c>
      <c r="J45">
        <v>3.0837798294669477E-4</v>
      </c>
      <c r="K45">
        <v>4.9236519771511673E-5</v>
      </c>
      <c r="L45">
        <v>1.5677822784709861E-4</v>
      </c>
      <c r="M45">
        <v>1.5677823193982479E-4</v>
      </c>
      <c r="N45">
        <v>1.5677823103033009E-4</v>
      </c>
      <c r="O45">
        <v>3.0837798294669477E-4</v>
      </c>
      <c r="P45">
        <v>3.0837798294669477E-4</v>
      </c>
      <c r="Q45">
        <v>4.9236518862016958E-5</v>
      </c>
      <c r="R45">
        <v>4.9236518862016958E-5</v>
      </c>
    </row>
    <row r="46" spans="1:18" x14ac:dyDescent="0.3">
      <c r="A46" s="1" t="s">
        <v>65</v>
      </c>
      <c r="B46">
        <v>1945592.0831264979</v>
      </c>
      <c r="C46">
        <v>-2294.0308498405461</v>
      </c>
      <c r="D46">
        <v>-2285.2131974850258</v>
      </c>
      <c r="E46">
        <v>-2236.7052745401211</v>
      </c>
      <c r="F46">
        <v>-2182.279450759725</v>
      </c>
      <c r="G46">
        <v>-1357.900773694575</v>
      </c>
      <c r="H46">
        <v>-1699.8147178962081</v>
      </c>
      <c r="I46">
        <v>1.4931994355720239E-3</v>
      </c>
      <c r="J46">
        <v>1.493199459218886E-3</v>
      </c>
      <c r="K46">
        <v>1.5486737538594749E-5</v>
      </c>
      <c r="L46">
        <v>9.1821573732886463E-5</v>
      </c>
      <c r="M46">
        <v>9.1821599198738113E-5</v>
      </c>
      <c r="N46">
        <v>9.1821597379748709E-5</v>
      </c>
      <c r="O46">
        <v>1.4931994755897899E-3</v>
      </c>
      <c r="P46">
        <v>1.4931994755897899E-3</v>
      </c>
      <c r="Q46">
        <v>1.5486737538594749E-5</v>
      </c>
      <c r="R46">
        <v>1.5486735719605349E-5</v>
      </c>
    </row>
    <row r="47" spans="1:18" x14ac:dyDescent="0.3">
      <c r="A47" s="1" t="s">
        <v>66</v>
      </c>
      <c r="B47">
        <v>-16032.92496058884</v>
      </c>
      <c r="C47">
        <v>-50156.782467297438</v>
      </c>
      <c r="D47">
        <v>-65787.509281838386</v>
      </c>
      <c r="E47">
        <v>-12836.05954867742</v>
      </c>
      <c r="F47">
        <v>-14230.473537499251</v>
      </c>
      <c r="G47">
        <v>-14775.468935837291</v>
      </c>
      <c r="H47">
        <v>-23829.654661369132</v>
      </c>
      <c r="I47">
        <v>-62593.513738212358</v>
      </c>
      <c r="J47">
        <v>-62593.513738212387</v>
      </c>
      <c r="K47">
        <v>2390.8641386581039</v>
      </c>
      <c r="L47">
        <v>1380.246306324113</v>
      </c>
      <c r="M47">
        <v>1380.246306324113</v>
      </c>
      <c r="N47">
        <v>1366.784353520678</v>
      </c>
      <c r="O47">
        <v>-62593.513738212423</v>
      </c>
      <c r="P47">
        <v>-62707.287983341419</v>
      </c>
      <c r="Q47">
        <v>2390.8641386581039</v>
      </c>
      <c r="R47">
        <v>2384.9775734915211</v>
      </c>
    </row>
    <row r="48" spans="1:18" x14ac:dyDescent="0.3">
      <c r="A48" s="1" t="s">
        <v>67</v>
      </c>
      <c r="B48">
        <v>18632696.751279209</v>
      </c>
      <c r="C48">
        <v>-3466.8093496311922</v>
      </c>
      <c r="D48">
        <v>-3387.8223914777918</v>
      </c>
      <c r="E48">
        <v>-3573.890220147689</v>
      </c>
      <c r="F48">
        <v>-3547.189579750499</v>
      </c>
      <c r="G48">
        <v>-3413.9498275530932</v>
      </c>
      <c r="H48">
        <v>-104.58164478930119</v>
      </c>
      <c r="I48">
        <v>-321.69670678229892</v>
      </c>
      <c r="J48">
        <v>-321.69670678638789</v>
      </c>
      <c r="K48">
        <v>-0.38788382829807228</v>
      </c>
      <c r="L48">
        <v>-4.0553439865907421</v>
      </c>
      <c r="M48">
        <v>-4.0553439871000592</v>
      </c>
      <c r="N48">
        <v>-4.0553439871000592</v>
      </c>
      <c r="O48">
        <v>-321.69670678729022</v>
      </c>
      <c r="P48">
        <v>-321.69670678729022</v>
      </c>
      <c r="Q48">
        <v>-0.38788382829807228</v>
      </c>
      <c r="R48">
        <v>-0.38788382829807228</v>
      </c>
    </row>
    <row r="49" spans="1:18" x14ac:dyDescent="0.3">
      <c r="A49" s="1" t="s">
        <v>68</v>
      </c>
      <c r="B49">
        <v>2767417.5358715211</v>
      </c>
      <c r="C49">
        <v>-2426.0976817507399</v>
      </c>
      <c r="D49">
        <v>-2414.440867658981</v>
      </c>
      <c r="E49">
        <v>-2418.91073935141</v>
      </c>
      <c r="F49">
        <v>-2400.9611248448018</v>
      </c>
      <c r="G49">
        <v>-2257.970092734729</v>
      </c>
      <c r="H49">
        <v>-2414.56452788569</v>
      </c>
      <c r="I49">
        <v>-3161.6117064037498</v>
      </c>
      <c r="J49">
        <v>-3161.611706401869</v>
      </c>
      <c r="K49">
        <v>-2.4702765949768951E-4</v>
      </c>
      <c r="L49">
        <v>-7.855260519136209E-4</v>
      </c>
      <c r="M49">
        <v>-7.8552641207352281E-4</v>
      </c>
      <c r="N49">
        <v>1562232895465.092</v>
      </c>
      <c r="O49">
        <v>-3161.6117064031901</v>
      </c>
      <c r="P49">
        <v>-3235.8082706048522</v>
      </c>
      <c r="Q49">
        <v>-2.4702765949768951E-4</v>
      </c>
      <c r="R49">
        <v>-4394.5577805820394</v>
      </c>
    </row>
    <row r="50" spans="1:18" x14ac:dyDescent="0.3">
      <c r="A50" s="1" t="s">
        <v>69</v>
      </c>
      <c r="B50">
        <v>546255.61655741406</v>
      </c>
      <c r="C50">
        <v>1769.995137917032</v>
      </c>
      <c r="D50">
        <v>4914.6682846688636</v>
      </c>
      <c r="E50">
        <v>-2571.0694062747539</v>
      </c>
      <c r="F50">
        <v>-2466.2645252747038</v>
      </c>
      <c r="G50">
        <v>-2060.2847368600501</v>
      </c>
      <c r="H50">
        <v>1354.221719771969</v>
      </c>
      <c r="I50">
        <v>-229.00311496666521</v>
      </c>
      <c r="J50">
        <v>-229.00311496667109</v>
      </c>
      <c r="K50">
        <v>-1.7644470017330599E-4</v>
      </c>
      <c r="L50">
        <v>-4.8690374796933611E-4</v>
      </c>
      <c r="M50">
        <v>-4.8690375206206232E-4</v>
      </c>
      <c r="N50">
        <v>-4.8690375206206232E-4</v>
      </c>
      <c r="O50">
        <v>-229.00311496666791</v>
      </c>
      <c r="P50">
        <v>-229.00311496666791</v>
      </c>
      <c r="Q50">
        <v>-1.7644469608057989E-4</v>
      </c>
      <c r="R50">
        <v>-1.7644469608057989E-4</v>
      </c>
    </row>
    <row r="51" spans="1:18" x14ac:dyDescent="0.3">
      <c r="A51" s="1" t="s">
        <v>70</v>
      </c>
      <c r="B51">
        <v>52163.00506675864</v>
      </c>
      <c r="C51">
        <v>-46.190663457510141</v>
      </c>
      <c r="D51">
        <v>250.406597923596</v>
      </c>
      <c r="E51">
        <v>-500.11973002589832</v>
      </c>
      <c r="F51">
        <v>-486.24570959558901</v>
      </c>
      <c r="G51">
        <v>-444.98645123557418</v>
      </c>
      <c r="H51">
        <v>-264.07894759384942</v>
      </c>
      <c r="I51">
        <v>-169.431868409511</v>
      </c>
      <c r="J51">
        <v>-169.43186840951131</v>
      </c>
      <c r="K51">
        <v>4.6700231905560941E-5</v>
      </c>
      <c r="L51">
        <v>1.4239998995435599E-4</v>
      </c>
      <c r="M51">
        <v>1.4239998790799291E-4</v>
      </c>
      <c r="N51">
        <v>1.4239998790799291E-4</v>
      </c>
      <c r="O51">
        <v>-169.431868409511</v>
      </c>
      <c r="P51">
        <v>-169.431868409511</v>
      </c>
      <c r="Q51">
        <v>4.6700230996066239E-5</v>
      </c>
      <c r="R51">
        <v>4.6700230996066239E-5</v>
      </c>
    </row>
    <row r="52" spans="1:18" x14ac:dyDescent="0.3">
      <c r="A52" s="1" t="s">
        <v>71</v>
      </c>
      <c r="B52">
        <v>-2378.922355770816</v>
      </c>
      <c r="C52">
        <v>-747.17548380193819</v>
      </c>
      <c r="D52">
        <v>-689.59733571723962</v>
      </c>
      <c r="E52">
        <v>-735.88099641236465</v>
      </c>
      <c r="F52">
        <v>-667.59440539268007</v>
      </c>
      <c r="G52">
        <v>-607.07964754655325</v>
      </c>
      <c r="H52">
        <v>110.0815058106916</v>
      </c>
      <c r="I52">
        <v>9.4558995556326408E-5</v>
      </c>
      <c r="J52">
        <v>9.4558996238447435E-5</v>
      </c>
      <c r="K52">
        <v>-1.63258471957306E-4</v>
      </c>
      <c r="L52">
        <v>-7.2594171138007368E-4</v>
      </c>
      <c r="M52">
        <v>-7.2594174025653047E-4</v>
      </c>
      <c r="N52">
        <v>-7.2594174025653047E-4</v>
      </c>
      <c r="O52">
        <v>9.4558995442639571E-5</v>
      </c>
      <c r="P52">
        <v>9.4558995442639571E-5</v>
      </c>
      <c r="Q52">
        <v>-1.632584687740746E-4</v>
      </c>
      <c r="R52">
        <v>-1.632584687740746E-4</v>
      </c>
    </row>
    <row r="53" spans="1:18" x14ac:dyDescent="0.3">
      <c r="A53" s="1" t="s">
        <v>72</v>
      </c>
      <c r="B53">
        <v>523044.19987773022</v>
      </c>
      <c r="C53">
        <v>-1129.4548304497021</v>
      </c>
      <c r="D53">
        <v>-957.64710011185616</v>
      </c>
      <c r="E53">
        <v>-1397.894205958117</v>
      </c>
      <c r="F53">
        <v>-1386.4179563342091</v>
      </c>
      <c r="G53">
        <v>-1359.9255442962819</v>
      </c>
      <c r="H53">
        <v>-928.45749375517244</v>
      </c>
      <c r="I53">
        <v>-9.0551502580638044E-5</v>
      </c>
      <c r="J53">
        <v>-9.0551503490132745E-5</v>
      </c>
      <c r="K53">
        <v>1.3568534086516589E-5</v>
      </c>
      <c r="L53">
        <v>-9.3871944955026265E-5</v>
      </c>
      <c r="M53">
        <v>-9.387193222210044E-5</v>
      </c>
      <c r="N53">
        <v>-9.3871933131595142E-5</v>
      </c>
      <c r="O53">
        <v>-9.0551502580638044E-5</v>
      </c>
      <c r="P53">
        <v>-9.0551502580638044E-5</v>
      </c>
      <c r="Q53">
        <v>1.3568534996011289E-5</v>
      </c>
      <c r="R53">
        <v>1.3568535905506E-5</v>
      </c>
    </row>
    <row r="54" spans="1:18" x14ac:dyDescent="0.3">
      <c r="A54" s="1" t="s">
        <v>73</v>
      </c>
      <c r="B54">
        <v>87484.04270079502</v>
      </c>
      <c r="C54">
        <v>-617.52932920283979</v>
      </c>
      <c r="D54">
        <v>-538.62341132495169</v>
      </c>
      <c r="E54">
        <v>-592.80013739720084</v>
      </c>
      <c r="F54">
        <v>-483.90145538146709</v>
      </c>
      <c r="G54">
        <v>-371.73883421189498</v>
      </c>
      <c r="H54">
        <v>-176.78579280584211</v>
      </c>
      <c r="I54">
        <v>-343.82567187081122</v>
      </c>
      <c r="J54">
        <v>-343.82567187081139</v>
      </c>
      <c r="K54">
        <v>1.428417795068526E-5</v>
      </c>
      <c r="L54">
        <v>4.1018372940015979E-5</v>
      </c>
      <c r="M54">
        <v>4.1018374986379058E-5</v>
      </c>
      <c r="N54">
        <v>4.1018374986379058E-5</v>
      </c>
      <c r="O54">
        <v>-343.82567187081179</v>
      </c>
      <c r="P54">
        <v>-343.82567187081179</v>
      </c>
      <c r="Q54">
        <v>1.428417795068526E-5</v>
      </c>
      <c r="R54">
        <v>1.428417795068526E-5</v>
      </c>
    </row>
    <row r="55" spans="1:18" x14ac:dyDescent="0.3">
      <c r="A55" s="1" t="s">
        <v>74</v>
      </c>
      <c r="B55">
        <v>8540.2009665852474</v>
      </c>
      <c r="C55">
        <v>-2710.2324995539989</v>
      </c>
      <c r="D55">
        <v>-2699.4180489669029</v>
      </c>
      <c r="E55">
        <v>-2721.9204098768391</v>
      </c>
      <c r="F55">
        <v>-2715.063041468798</v>
      </c>
      <c r="G55">
        <v>-2670.855685900814</v>
      </c>
      <c r="H55">
        <v>-1789.8545218496811</v>
      </c>
      <c r="I55">
        <v>-2007.069169736134</v>
      </c>
      <c r="J55">
        <v>-2007.069169736134</v>
      </c>
      <c r="K55">
        <v>-6.7889568526879876E-6</v>
      </c>
      <c r="L55">
        <v>-3.7212519146123668E-5</v>
      </c>
      <c r="M55">
        <v>-3.7212516872386907E-5</v>
      </c>
      <c r="N55">
        <v>-3.7612650885421317E-5</v>
      </c>
      <c r="O55">
        <v>-2007.069169736134</v>
      </c>
      <c r="P55">
        <v>-2007.069170955353</v>
      </c>
      <c r="Q55">
        <v>-6.7889659476350062E-6</v>
      </c>
      <c r="R55">
        <v>-6.8420881689235102E-6</v>
      </c>
    </row>
    <row r="56" spans="1:18" x14ac:dyDescent="0.3">
      <c r="A56" s="1" t="s">
        <v>75</v>
      </c>
      <c r="B56">
        <v>10443228.17079455</v>
      </c>
      <c r="C56">
        <v>-15852.24360581978</v>
      </c>
      <c r="D56">
        <v>-15841.429155232679</v>
      </c>
      <c r="E56">
        <v>-15891.096527948281</v>
      </c>
      <c r="F56">
        <v>-15890.612510748349</v>
      </c>
      <c r="G56">
        <v>-15886.97575918403</v>
      </c>
      <c r="H56">
        <v>-15883.02170126533</v>
      </c>
      <c r="I56">
        <v>-23133.352248798841</v>
      </c>
      <c r="J56">
        <v>-23133.352248798841</v>
      </c>
      <c r="K56">
        <v>-2.0643520110752431E-4</v>
      </c>
      <c r="L56">
        <v>-3.8558400410693139E-4</v>
      </c>
      <c r="M56">
        <v>-3.8558449887204921E-4</v>
      </c>
      <c r="N56">
        <v>-3.8560510438401252E-4</v>
      </c>
      <c r="O56">
        <v>-23133.352248798841</v>
      </c>
      <c r="P56">
        <v>-23133.352248839419</v>
      </c>
      <c r="Q56">
        <v>-2.0643509924411771E-4</v>
      </c>
      <c r="R56">
        <v>-2.0643731113523239E-4</v>
      </c>
    </row>
    <row r="57" spans="1:18" x14ac:dyDescent="0.3">
      <c r="A57" s="1" t="s">
        <v>76</v>
      </c>
      <c r="B57">
        <v>815017.28946123563</v>
      </c>
      <c r="C57">
        <v>-5442.7905869255601</v>
      </c>
      <c r="D57">
        <v>-5322.0690750275971</v>
      </c>
      <c r="E57">
        <v>-5228.7896696166335</v>
      </c>
      <c r="F57">
        <v>-4859.6005685005484</v>
      </c>
      <c r="G57">
        <v>-3150.3471145711178</v>
      </c>
      <c r="H57">
        <v>-1799.40055700735</v>
      </c>
      <c r="I57">
        <v>-1849.6081282159939</v>
      </c>
      <c r="J57">
        <v>-1849.608128216041</v>
      </c>
      <c r="K57">
        <v>4.5431213948177167E-5</v>
      </c>
      <c r="L57">
        <v>-3.769816248677671E-5</v>
      </c>
      <c r="M57">
        <v>-3.7698151572840288E-5</v>
      </c>
      <c r="N57">
        <v>-3.7698151572840288E-5</v>
      </c>
      <c r="O57">
        <v>-1849.608128216016</v>
      </c>
      <c r="P57">
        <v>-1849.608128216016</v>
      </c>
      <c r="Q57">
        <v>4.5431210310198367E-5</v>
      </c>
      <c r="R57">
        <v>4.5431208491208963E-5</v>
      </c>
    </row>
    <row r="58" spans="1:18" x14ac:dyDescent="0.3">
      <c r="A58" s="1" t="s">
        <v>77</v>
      </c>
      <c r="B58">
        <v>1647981.8000335181</v>
      </c>
      <c r="C58">
        <v>-538.04650322112911</v>
      </c>
      <c r="D58">
        <v>16.68690046969596</v>
      </c>
      <c r="E58">
        <v>-880.6886252255922</v>
      </c>
      <c r="F58">
        <v>-621.0319617454752</v>
      </c>
      <c r="G58">
        <v>1078.3710857324911</v>
      </c>
      <c r="H58">
        <v>-233.96034713387601</v>
      </c>
      <c r="I58">
        <v>-3.94325002162077E-5</v>
      </c>
      <c r="J58">
        <v>-3.9431924960808828E-5</v>
      </c>
      <c r="K58">
        <v>-6.2370098930841777E-5</v>
      </c>
      <c r="L58">
        <v>-9.5745061116758734E-5</v>
      </c>
      <c r="M58">
        <v>-9.574505929776933E-5</v>
      </c>
      <c r="N58">
        <v>-8.5680666870757705E-5</v>
      </c>
      <c r="O58">
        <v>-3.9431924051314127E-5</v>
      </c>
      <c r="P58">
        <v>1.7832002140494299E-4</v>
      </c>
      <c r="Q58">
        <v>-6.2370098930841777E-5</v>
      </c>
      <c r="R58">
        <v>-5.069375720267999E-5</v>
      </c>
    </row>
    <row r="59" spans="1:18" x14ac:dyDescent="0.3">
      <c r="A59" s="1" t="s">
        <v>78</v>
      </c>
      <c r="B59">
        <v>228162.71332978379</v>
      </c>
      <c r="C59">
        <v>-1013.7109605967159</v>
      </c>
      <c r="D59">
        <v>-974.42885611737984</v>
      </c>
      <c r="E59">
        <v>-1079.5230025016931</v>
      </c>
      <c r="F59">
        <v>-1073.7627047906881</v>
      </c>
      <c r="G59">
        <v>-1050.3557061351851</v>
      </c>
      <c r="H59">
        <v>-1041.078503062962</v>
      </c>
      <c r="I59">
        <v>1.8740264749794729E-5</v>
      </c>
      <c r="J59">
        <v>1.8740265659289431E-5</v>
      </c>
      <c r="K59">
        <v>1.5756822904222641E-6</v>
      </c>
      <c r="L59">
        <v>-2.7205933292862028E-6</v>
      </c>
      <c r="M59">
        <v>-2.7205933292862028E-6</v>
      </c>
      <c r="N59">
        <v>-2.720592419791501E-6</v>
      </c>
      <c r="O59">
        <v>1.874027020676294E-5</v>
      </c>
      <c r="P59">
        <v>1.874027020676294E-5</v>
      </c>
      <c r="Q59">
        <v>1.57568501890637E-6</v>
      </c>
      <c r="R59">
        <v>1.575685928401072E-6</v>
      </c>
    </row>
    <row r="60" spans="1:18" x14ac:dyDescent="0.3">
      <c r="A60" s="1" t="s">
        <v>79</v>
      </c>
      <c r="B60">
        <v>86558.583932784604</v>
      </c>
      <c r="C60">
        <v>-936.74833919778985</v>
      </c>
      <c r="D60">
        <v>-924.80901649625173</v>
      </c>
      <c r="E60">
        <v>-945.20207980073928</v>
      </c>
      <c r="F60">
        <v>-938.3249517482601</v>
      </c>
      <c r="G60">
        <v>-762.38908334804364</v>
      </c>
      <c r="H60">
        <v>-310.00178736646399</v>
      </c>
      <c r="I60">
        <v>-100.228851347732</v>
      </c>
      <c r="J60">
        <v>-100.2288513477331</v>
      </c>
      <c r="K60">
        <v>-1.8076896094498809E-4</v>
      </c>
      <c r="L60">
        <v>-4.4314086699159821E-4</v>
      </c>
      <c r="M60">
        <v>-4.4314086812846648E-4</v>
      </c>
      <c r="N60">
        <v>-1.3179285097066899E-3</v>
      </c>
      <c r="O60">
        <v>-100.2288513477331</v>
      </c>
      <c r="P60">
        <v>-714.89242965122139</v>
      </c>
      <c r="Q60">
        <v>-1.8076896003549339E-4</v>
      </c>
      <c r="R60">
        <v>-2.0518617407105921E-4</v>
      </c>
    </row>
    <row r="61" spans="1:18" x14ac:dyDescent="0.3">
      <c r="A61" s="1" t="s">
        <v>80</v>
      </c>
      <c r="B61">
        <v>1024333.60070758</v>
      </c>
      <c r="C61">
        <v>-700.2029073466756</v>
      </c>
      <c r="D61">
        <v>-266.8062207924113</v>
      </c>
      <c r="E61">
        <v>-1377.203682777063</v>
      </c>
      <c r="F61">
        <v>-1358.669030683069</v>
      </c>
      <c r="G61">
        <v>-1308.254044174573</v>
      </c>
      <c r="H61">
        <v>-1182.6229198065921</v>
      </c>
      <c r="I61">
        <v>-1.36736031890905E-4</v>
      </c>
      <c r="J61">
        <v>-1.3673603007191559E-4</v>
      </c>
      <c r="K61">
        <v>-2.7121504899696451E-6</v>
      </c>
      <c r="L61">
        <v>-2.546131963754306E-5</v>
      </c>
      <c r="M61">
        <v>-2.5461299628659621E-5</v>
      </c>
      <c r="N61">
        <v>-2.5461299628659621E-5</v>
      </c>
      <c r="O61">
        <v>-1.3673603098141029E-4</v>
      </c>
      <c r="P61">
        <v>-1.3673603098141029E-4</v>
      </c>
      <c r="Q61">
        <v>-2.7121504899696451E-6</v>
      </c>
      <c r="R61">
        <v>-2.7121504899696451E-6</v>
      </c>
    </row>
    <row r="62" spans="1:18" x14ac:dyDescent="0.3">
      <c r="A62" s="1" t="s">
        <v>81</v>
      </c>
      <c r="B62">
        <v>69241.250252129306</v>
      </c>
      <c r="C62">
        <v>-559.79700408746521</v>
      </c>
      <c r="D62">
        <v>-505.45600868915949</v>
      </c>
      <c r="E62">
        <v>-621.64092170267361</v>
      </c>
      <c r="F62">
        <v>-614.69062210441336</v>
      </c>
      <c r="G62">
        <v>-607.63838149242167</v>
      </c>
      <c r="H62">
        <v>7.847233724859052</v>
      </c>
      <c r="I62">
        <v>-10.82754864718299</v>
      </c>
      <c r="J62">
        <v>-10.827548647182081</v>
      </c>
      <c r="K62">
        <v>-2.6655656938601169E-5</v>
      </c>
      <c r="L62">
        <v>-9.689106104815437E-5</v>
      </c>
      <c r="M62">
        <v>-9.6891063094517449E-5</v>
      </c>
      <c r="N62">
        <v>-9.6891063094517449E-5</v>
      </c>
      <c r="O62">
        <v>-10.827548647182081</v>
      </c>
      <c r="P62">
        <v>-10.82754864718299</v>
      </c>
      <c r="Q62">
        <v>-2.6655656938601169E-5</v>
      </c>
      <c r="R62">
        <v>-2.6655656938601169E-5</v>
      </c>
    </row>
    <row r="63" spans="1:18" x14ac:dyDescent="0.3">
      <c r="A63" s="1" t="s">
        <v>82</v>
      </c>
      <c r="B63">
        <v>25135.43350430614</v>
      </c>
      <c r="C63">
        <v>-151.6330487731569</v>
      </c>
      <c r="D63">
        <v>-30.916923461795481</v>
      </c>
      <c r="E63">
        <v>-101.7732462904855</v>
      </c>
      <c r="F63">
        <v>43.172889250732403</v>
      </c>
      <c r="G63">
        <v>43.172889250732403</v>
      </c>
      <c r="H63">
        <v>688.46062366088995</v>
      </c>
      <c r="I63">
        <v>-1.8737414393399381E-6</v>
      </c>
      <c r="J63">
        <v>-1.8737416667136131E-6</v>
      </c>
      <c r="K63">
        <v>1.642973757043364E-6</v>
      </c>
      <c r="L63">
        <v>2.173555913032033E-6</v>
      </c>
      <c r="M63">
        <v>2.173555571971519E-6</v>
      </c>
      <c r="N63">
        <v>2.1735556856583571E-6</v>
      </c>
      <c r="O63">
        <v>-1.8737416667136131E-6</v>
      </c>
      <c r="P63">
        <v>-1.8737414393399381E-6</v>
      </c>
      <c r="Q63">
        <v>1.642973757043364E-6</v>
      </c>
      <c r="R63">
        <v>1.642973870730202E-6</v>
      </c>
    </row>
    <row r="64" spans="1:18" x14ac:dyDescent="0.3">
      <c r="A64" s="1" t="s">
        <v>83</v>
      </c>
      <c r="B64">
        <v>2286085.2677688161</v>
      </c>
      <c r="C64">
        <v>-7361.9859112155282</v>
      </c>
      <c r="D64">
        <v>-7223.8189209643497</v>
      </c>
      <c r="E64">
        <v>-7527.9005242755684</v>
      </c>
      <c r="F64">
        <v>-7523.2116867252189</v>
      </c>
      <c r="G64">
        <v>-7506.281691026019</v>
      </c>
      <c r="H64">
        <v>-4430.0436125738888</v>
      </c>
      <c r="I64">
        <v>-9409.4045982386087</v>
      </c>
      <c r="J64">
        <v>-9409.4045982386087</v>
      </c>
      <c r="K64">
        <v>-4.6396489778999239E-5</v>
      </c>
      <c r="L64">
        <v>-8.4218190750107169E-5</v>
      </c>
      <c r="M64">
        <v>-8.4218190750107169E-5</v>
      </c>
      <c r="N64">
        <v>-8.4412400610744953E-5</v>
      </c>
      <c r="O64">
        <v>-9409.4045982385996</v>
      </c>
      <c r="P64">
        <v>-9409.4046070476506</v>
      </c>
      <c r="Q64">
        <v>-4.6396489778999239E-5</v>
      </c>
      <c r="R64">
        <v>-4.6412176743615419E-5</v>
      </c>
    </row>
    <row r="65" spans="1:18" x14ac:dyDescent="0.3">
      <c r="A65" s="1" t="s">
        <v>84</v>
      </c>
      <c r="B65">
        <v>5650.4077974522716</v>
      </c>
      <c r="C65">
        <v>-3182.8432360833372</v>
      </c>
      <c r="D65">
        <v>-3006.115887481214</v>
      </c>
      <c r="E65">
        <v>-2389.753954913258</v>
      </c>
      <c r="F65">
        <v>-819.35423380259999</v>
      </c>
      <c r="G65">
        <v>382190.90928881301</v>
      </c>
      <c r="H65">
        <v>-1191.621862276781</v>
      </c>
      <c r="I65">
        <v>-369.48535482488018</v>
      </c>
      <c r="J65">
        <v>-369.48535482487893</v>
      </c>
      <c r="K65">
        <v>-1.448081422950054E-3</v>
      </c>
      <c r="L65">
        <v>-4.6828197901049862E-3</v>
      </c>
      <c r="M65">
        <v>-4.6828197810100392E-3</v>
      </c>
      <c r="N65">
        <v>4.4753690622201248E-4</v>
      </c>
      <c r="O65">
        <v>-369.48535482487699</v>
      </c>
      <c r="P65">
        <v>-982.54464613069285</v>
      </c>
      <c r="Q65">
        <v>-1.4480814220405589E-3</v>
      </c>
      <c r="R65">
        <v>2.506727601030434E-4</v>
      </c>
    </row>
    <row r="66" spans="1:18" x14ac:dyDescent="0.3">
      <c r="A66" s="1" t="s">
        <v>85</v>
      </c>
      <c r="B66">
        <v>626947.89810984582</v>
      </c>
      <c r="C66">
        <v>-409.49463681145329</v>
      </c>
      <c r="D66">
        <v>658.81983838301949</v>
      </c>
      <c r="E66">
        <v>-1587.798591395205</v>
      </c>
      <c r="F66">
        <v>-1313.322786772269</v>
      </c>
      <c r="G66">
        <v>-667.01919461899797</v>
      </c>
      <c r="H66">
        <v>-1119.917418389321</v>
      </c>
      <c r="I66">
        <v>-1258.9645183652719</v>
      </c>
      <c r="J66">
        <v>-1258.964518365269</v>
      </c>
      <c r="K66">
        <v>-3.9306140934058931E-5</v>
      </c>
      <c r="L66">
        <v>-2.845906146831112E-5</v>
      </c>
      <c r="M66">
        <v>-2.84590532828588E-5</v>
      </c>
      <c r="N66">
        <v>207.1027561723331</v>
      </c>
      <c r="O66">
        <v>-1258.9645183652681</v>
      </c>
      <c r="P66">
        <v>-1262.0282577620769</v>
      </c>
      <c r="Q66">
        <v>-3.9306142753048327E-5</v>
      </c>
      <c r="R66">
        <v>86.843581185449693</v>
      </c>
    </row>
    <row r="67" spans="1:18" x14ac:dyDescent="0.3">
      <c r="A67" s="1" t="s">
        <v>86</v>
      </c>
      <c r="B67">
        <v>265077.15673098469</v>
      </c>
      <c r="C67">
        <v>-1006.137527749201</v>
      </c>
      <c r="D67">
        <v>-458.77169725753492</v>
      </c>
      <c r="E67">
        <v>-1453.166452300118</v>
      </c>
      <c r="F67">
        <v>-1233.2046265203369</v>
      </c>
      <c r="G67">
        <v>-480.35224554914788</v>
      </c>
      <c r="H67">
        <v>-1319.3496826307151</v>
      </c>
      <c r="I67">
        <v>-1259.4786643784121</v>
      </c>
      <c r="J67">
        <v>-1259.478664378415</v>
      </c>
      <c r="K67">
        <v>-9.0928156623704126E-5</v>
      </c>
      <c r="L67">
        <v>-1.9389727594898429E-4</v>
      </c>
      <c r="M67">
        <v>-1.938972809512052E-4</v>
      </c>
      <c r="N67">
        <v>-1.938972818606999E-4</v>
      </c>
      <c r="O67">
        <v>-1259.478664378413</v>
      </c>
      <c r="P67">
        <v>-1259.478664378413</v>
      </c>
      <c r="Q67">
        <v>-9.0928157987946179E-5</v>
      </c>
      <c r="R67">
        <v>-9.0928157987946179E-5</v>
      </c>
    </row>
    <row r="68" spans="1:18" x14ac:dyDescent="0.3">
      <c r="A68" s="1" t="s">
        <v>87</v>
      </c>
      <c r="B68">
        <v>273250.1992657368</v>
      </c>
      <c r="C68">
        <v>-1336.5237001045541</v>
      </c>
      <c r="D68">
        <v>-998.82815372782284</v>
      </c>
      <c r="E68">
        <v>-1585.1398915403361</v>
      </c>
      <c r="F68">
        <v>-1423.763354619625</v>
      </c>
      <c r="G68">
        <v>-542.96818916465782</v>
      </c>
      <c r="H68">
        <v>-1433.5984751107219</v>
      </c>
      <c r="I68">
        <v>-1750.1124196872661</v>
      </c>
      <c r="J68">
        <v>-1750.1124196872661</v>
      </c>
      <c r="K68">
        <v>-1.3135796461938301E-4</v>
      </c>
      <c r="L68">
        <v>-2.4132759790518321E-4</v>
      </c>
      <c r="M68">
        <v>-2.413276047263935E-4</v>
      </c>
      <c r="N68">
        <v>-2.413276047263935E-4</v>
      </c>
      <c r="O68">
        <v>-1750.112419687267</v>
      </c>
      <c r="P68">
        <v>-1750.112419687267</v>
      </c>
      <c r="Q68">
        <v>-1.3135796280039361E-4</v>
      </c>
      <c r="R68">
        <v>-1.3135796280039361E-4</v>
      </c>
    </row>
    <row r="69" spans="1:18" x14ac:dyDescent="0.3">
      <c r="A69" s="1" t="s">
        <v>88</v>
      </c>
      <c r="B69">
        <v>4125095.2281332552</v>
      </c>
      <c r="C69">
        <v>-258.7169729226207</v>
      </c>
      <c r="D69">
        <v>1475.4520815579201</v>
      </c>
      <c r="E69">
        <v>-1136.2651897440901</v>
      </c>
      <c r="F69">
        <v>-18.118537713809928</v>
      </c>
      <c r="G69">
        <v>8089.5507850894101</v>
      </c>
      <c r="H69">
        <v>-2200.9078128168089</v>
      </c>
      <c r="I69">
        <v>-2754.6352499008258</v>
      </c>
      <c r="J69">
        <v>-2754.6352499005388</v>
      </c>
      <c r="K69">
        <v>3.5278630093671381E-5</v>
      </c>
      <c r="L69">
        <v>-1.5561065083602441E-4</v>
      </c>
      <c r="M69">
        <v>-1.5560967949568291E-4</v>
      </c>
      <c r="N69">
        <v>-1.5547525981673971E-4</v>
      </c>
      <c r="O69">
        <v>-2754.6352499011941</v>
      </c>
      <c r="P69">
        <v>-2757.7468788101319</v>
      </c>
      <c r="Q69">
        <v>3.5278630093671381E-5</v>
      </c>
      <c r="R69">
        <v>3.5279321309644729E-5</v>
      </c>
    </row>
    <row r="70" spans="1:18" x14ac:dyDescent="0.3">
      <c r="A70" s="1" t="s">
        <v>89</v>
      </c>
      <c r="B70">
        <v>14795.90810202077</v>
      </c>
      <c r="C70">
        <v>-653.29101448531196</v>
      </c>
      <c r="D70">
        <v>-515.31132245970105</v>
      </c>
      <c r="E70">
        <v>-471.89453050208249</v>
      </c>
      <c r="F70">
        <v>-202.74297800286749</v>
      </c>
      <c r="G70">
        <v>6150.198161187298</v>
      </c>
      <c r="H70">
        <v>121.4136565633689</v>
      </c>
      <c r="I70">
        <v>-1.5174788995864219E-4</v>
      </c>
      <c r="J70">
        <v>-1.5174788995864219E-4</v>
      </c>
      <c r="K70">
        <v>-1.0087650002788E-4</v>
      </c>
      <c r="L70">
        <v>-1.664270819219382E-4</v>
      </c>
      <c r="M70">
        <v>-1.664270810124435E-4</v>
      </c>
      <c r="N70">
        <v>-3.0704241271450877E-4</v>
      </c>
      <c r="O70">
        <v>-1.5174788995864219E-4</v>
      </c>
      <c r="P70">
        <v>-2.0765396311617221E-4</v>
      </c>
      <c r="Q70">
        <v>-1.0087650002788E-4</v>
      </c>
      <c r="R70">
        <v>-1.179898670216062E-4</v>
      </c>
    </row>
    <row r="71" spans="1:18" x14ac:dyDescent="0.3">
      <c r="A71" s="1" t="s">
        <v>90</v>
      </c>
      <c r="B71">
        <v>61548.726463838648</v>
      </c>
      <c r="C71">
        <v>-11630.247629640049</v>
      </c>
      <c r="D71">
        <v>-9673.1126631757834</v>
      </c>
      <c r="E71">
        <v>-3782.9049365901119</v>
      </c>
      <c r="F71">
        <v>7658.6823864585676</v>
      </c>
      <c r="G71">
        <v>89868.640451160551</v>
      </c>
      <c r="H71">
        <v>-8019.2008949277042</v>
      </c>
      <c r="I71">
        <v>-3120.1793568659118</v>
      </c>
      <c r="J71">
        <v>-3120.1793568640619</v>
      </c>
      <c r="K71">
        <v>-2.142454981367337E-3</v>
      </c>
      <c r="L71">
        <v>-7.3017241811612621E-3</v>
      </c>
      <c r="M71">
        <v>-7.3017244430957362E-3</v>
      </c>
      <c r="N71">
        <v>2487.6481453170418</v>
      </c>
      <c r="O71">
        <v>-3120.179356864071</v>
      </c>
      <c r="P71">
        <v>-159069440.3869378</v>
      </c>
      <c r="Q71">
        <v>-2.1424549413495701E-3</v>
      </c>
      <c r="R71">
        <v>17166.47841106285</v>
      </c>
    </row>
    <row r="72" spans="1:18" x14ac:dyDescent="0.3">
      <c r="A72" s="1" t="s">
        <v>91</v>
      </c>
      <c r="B72">
        <v>82983.174702798788</v>
      </c>
      <c r="C72">
        <v>-2123.2147479466712</v>
      </c>
      <c r="D72">
        <v>-166.16806619081851</v>
      </c>
      <c r="E72">
        <v>3604.6274581876351</v>
      </c>
      <c r="F72">
        <v>10631.033480849341</v>
      </c>
      <c r="G72">
        <v>26672.222274900399</v>
      </c>
      <c r="H72">
        <v>-1522.020910957986</v>
      </c>
      <c r="I72">
        <v>-1311.914117460843</v>
      </c>
      <c r="J72">
        <v>-1311.9141174610079</v>
      </c>
      <c r="K72">
        <v>1.078530658560339E-5</v>
      </c>
      <c r="L72">
        <v>4.1826706546999048E-4</v>
      </c>
      <c r="M72">
        <v>4.1826724191196257E-4</v>
      </c>
      <c r="N72">
        <v>5911.305328130863</v>
      </c>
      <c r="O72">
        <v>-1311.9141174610079</v>
      </c>
      <c r="P72">
        <v>-1316.15555216436</v>
      </c>
      <c r="Q72">
        <v>1.078530476661399E-5</v>
      </c>
      <c r="R72">
        <v>894.15261293751701</v>
      </c>
    </row>
    <row r="73" spans="1:18" x14ac:dyDescent="0.3">
      <c r="A73" s="1" t="s">
        <v>92</v>
      </c>
      <c r="B73">
        <v>90685.949941020954</v>
      </c>
      <c r="C73">
        <v>-3011.6221455278428</v>
      </c>
      <c r="D73">
        <v>-2388.036720070053</v>
      </c>
      <c r="E73">
        <v>-1936.493892068574</v>
      </c>
      <c r="F73">
        <v>-24.000088865610451</v>
      </c>
      <c r="G73">
        <v>415.78925355468891</v>
      </c>
      <c r="H73">
        <v>-2030.820938987725</v>
      </c>
      <c r="I73">
        <v>-282.09032118557121</v>
      </c>
      <c r="J73">
        <v>-282.09032118559122</v>
      </c>
      <c r="K73">
        <v>-6.2939971030573361E-5</v>
      </c>
      <c r="L73">
        <v>-4.405281288200058E-6</v>
      </c>
      <c r="M73">
        <v>-4.4052503653801978E-6</v>
      </c>
      <c r="N73">
        <v>-4.4052503653801978E-6</v>
      </c>
      <c r="O73">
        <v>-282.09032118558031</v>
      </c>
      <c r="P73">
        <v>-282.09032118558031</v>
      </c>
      <c r="Q73">
        <v>-6.2939971030573361E-5</v>
      </c>
      <c r="R73">
        <v>-6.2939971030573361E-5</v>
      </c>
    </row>
    <row r="74" spans="1:18" x14ac:dyDescent="0.3">
      <c r="A74" s="1" t="s">
        <v>93</v>
      </c>
      <c r="B74">
        <v>380576.98253968329</v>
      </c>
      <c r="C74">
        <v>-3889.18227185564</v>
      </c>
      <c r="D74">
        <v>-3412.2094278493901</v>
      </c>
      <c r="E74">
        <v>-4553.1581583241386</v>
      </c>
      <c r="F74">
        <v>-4498.9217499769602</v>
      </c>
      <c r="G74">
        <v>-4402.488897160858</v>
      </c>
      <c r="H74">
        <v>-4285.7230448268056</v>
      </c>
      <c r="I74">
        <v>-459.63210191257889</v>
      </c>
      <c r="J74">
        <v>-459.63210191254979</v>
      </c>
      <c r="K74">
        <v>-2.7147898435941901E-5</v>
      </c>
      <c r="L74">
        <v>-5.8323491975897923E-4</v>
      </c>
      <c r="M74">
        <v>-5.8323486882727593E-4</v>
      </c>
      <c r="N74">
        <v>-5.8323486882727593E-4</v>
      </c>
      <c r="O74">
        <v>-459.63210191254979</v>
      </c>
      <c r="P74">
        <v>-459.63210191254979</v>
      </c>
      <c r="Q74">
        <v>-2.7147898435941901E-5</v>
      </c>
      <c r="R74">
        <v>-2.7147898435941901E-5</v>
      </c>
    </row>
    <row r="75" spans="1:18" x14ac:dyDescent="0.3">
      <c r="A75" s="1" t="s">
        <v>94</v>
      </c>
      <c r="B75">
        <v>2022578.6912049151</v>
      </c>
      <c r="C75">
        <v>-14105.59637774236</v>
      </c>
      <c r="D75">
        <v>-14065.702125919101</v>
      </c>
      <c r="E75">
        <v>-13891.020177827841</v>
      </c>
      <c r="F75">
        <v>-13722.173517956469</v>
      </c>
      <c r="G75">
        <v>-9649.2904246201506</v>
      </c>
      <c r="H75">
        <v>-13894.5116362392</v>
      </c>
      <c r="I75">
        <v>-3.4001172498392411E-3</v>
      </c>
      <c r="J75">
        <v>-3.4001172498392411E-3</v>
      </c>
      <c r="K75">
        <v>9.9560664966702461E-4</v>
      </c>
      <c r="L75">
        <v>1.655098851188086E-3</v>
      </c>
      <c r="M75">
        <v>1.6550989093957471E-3</v>
      </c>
      <c r="N75">
        <v>1.6550989093957471E-3</v>
      </c>
      <c r="O75">
        <v>-3.4001172498392411E-3</v>
      </c>
      <c r="P75">
        <v>-3.4001172498392411E-3</v>
      </c>
      <c r="Q75">
        <v>9.9560666058096103E-4</v>
      </c>
      <c r="R75">
        <v>9.9560666058096103E-4</v>
      </c>
    </row>
    <row r="76" spans="1:18" x14ac:dyDescent="0.3">
      <c r="A76" s="1" t="s">
        <v>95</v>
      </c>
      <c r="B76">
        <v>397731.0702544357</v>
      </c>
      <c r="C76">
        <v>-3330.9991268326248</v>
      </c>
      <c r="D76">
        <v>-3289.2570732234062</v>
      </c>
      <c r="E76">
        <v>-3248.1346191729899</v>
      </c>
      <c r="F76">
        <v>-3163.5605097966072</v>
      </c>
      <c r="G76">
        <v>212.61339176698769</v>
      </c>
      <c r="H76">
        <v>-2551.6040888519401</v>
      </c>
      <c r="I76">
        <v>-3005.0340514652589</v>
      </c>
      <c r="J76">
        <v>-3005.034051465258</v>
      </c>
      <c r="K76">
        <v>-1.2045761468471031E-4</v>
      </c>
      <c r="L76">
        <v>-9.1896943013125565E-4</v>
      </c>
      <c r="M76">
        <v>-9.1896941739832982E-4</v>
      </c>
      <c r="N76">
        <v>-1.5893134914222169E-3</v>
      </c>
      <c r="O76">
        <v>-3005.0340514652571</v>
      </c>
      <c r="P76">
        <v>-4554.4694017812517</v>
      </c>
      <c r="Q76">
        <v>-1.204576128657209E-4</v>
      </c>
      <c r="R76">
        <v>-1.3248356935946501E-4</v>
      </c>
    </row>
    <row r="77" spans="1:18" x14ac:dyDescent="0.3">
      <c r="A77" s="1" t="s">
        <v>96</v>
      </c>
      <c r="B77">
        <v>14497.939222773861</v>
      </c>
      <c r="C77">
        <v>-3405.8187874019759</v>
      </c>
      <c r="D77">
        <v>-3393.1572968028299</v>
      </c>
      <c r="E77">
        <v>-3169.5499885775789</v>
      </c>
      <c r="F77">
        <v>-2682.5226459266319</v>
      </c>
      <c r="G77">
        <v>5889.4566216466119</v>
      </c>
      <c r="H77">
        <v>-616.82263548495303</v>
      </c>
      <c r="I77">
        <v>-3.6376970410856302E-4</v>
      </c>
      <c r="J77">
        <v>-3.6376971092977328E-4</v>
      </c>
      <c r="K77">
        <v>7.7194084951770492E-5</v>
      </c>
      <c r="L77">
        <v>1.663684101913532E-4</v>
      </c>
      <c r="M77">
        <v>1.6636840609862699E-4</v>
      </c>
      <c r="N77">
        <v>3.1077856874617282E-4</v>
      </c>
      <c r="O77">
        <v>-3.6376971002027858E-4</v>
      </c>
      <c r="P77">
        <v>-5.4748836009821389E-4</v>
      </c>
      <c r="Q77">
        <v>7.7194084951770492E-5</v>
      </c>
      <c r="R77">
        <v>8.5945900536898989E-5</v>
      </c>
    </row>
    <row r="78" spans="1:18" x14ac:dyDescent="0.3">
      <c r="A78" s="1" t="s">
        <v>97</v>
      </c>
      <c r="B78">
        <v>14658.91387389889</v>
      </c>
      <c r="C78">
        <v>-7155.7441784961084</v>
      </c>
      <c r="D78">
        <v>-7152.4258289144918</v>
      </c>
      <c r="E78">
        <v>14953.517126041659</v>
      </c>
      <c r="F78">
        <v>134114.0243660376</v>
      </c>
      <c r="G78">
        <v>8307842682.3600254</v>
      </c>
      <c r="H78">
        <v>-7029.210382097619</v>
      </c>
      <c r="I78">
        <v>-3859.9940718332109</v>
      </c>
      <c r="J78">
        <v>-3859.994071836385</v>
      </c>
      <c r="K78">
        <v>0.14521272331148791</v>
      </c>
      <c r="L78">
        <v>-7.9122649048258609E-2</v>
      </c>
      <c r="M78">
        <v>-7.9122681842818565E-2</v>
      </c>
      <c r="N78">
        <v>-7.9122681842818565E-2</v>
      </c>
      <c r="O78">
        <v>-3859.9940718377811</v>
      </c>
      <c r="P78">
        <v>-3859.9940718377811</v>
      </c>
      <c r="Q78">
        <v>0.1452127233342253</v>
      </c>
      <c r="R78">
        <v>0.1452127233342253</v>
      </c>
    </row>
    <row r="79" spans="1:18" x14ac:dyDescent="0.3">
      <c r="A79" s="1" t="s">
        <v>98</v>
      </c>
      <c r="B79">
        <v>21163.80558554074</v>
      </c>
      <c r="C79">
        <v>-4088.7919623233461</v>
      </c>
      <c r="D79">
        <v>-3110.3055870236481</v>
      </c>
      <c r="E79">
        <v>-4631.7827097641066</v>
      </c>
      <c r="F79">
        <v>-3869.476446472569</v>
      </c>
      <c r="G79">
        <v>38532.158425313261</v>
      </c>
      <c r="H79">
        <v>-5444.3851267324908</v>
      </c>
      <c r="I79">
        <v>-910.81557216002329</v>
      </c>
      <c r="J79">
        <v>-910.81557215950852</v>
      </c>
      <c r="K79">
        <v>2.474383142725856E-3</v>
      </c>
      <c r="L79">
        <v>1.8152234388253421E-3</v>
      </c>
      <c r="M79">
        <v>1.8152239217670289E-3</v>
      </c>
      <c r="N79">
        <v>1.8152239217670289E-3</v>
      </c>
      <c r="O79">
        <v>-910.81557215823159</v>
      </c>
      <c r="P79">
        <v>-910.81557215823159</v>
      </c>
      <c r="Q79">
        <v>2.4743831472733291E-3</v>
      </c>
      <c r="R79">
        <v>2.4743831472733291E-3</v>
      </c>
    </row>
    <row r="80" spans="1:18" x14ac:dyDescent="0.3">
      <c r="A80" s="1" t="s">
        <v>99</v>
      </c>
      <c r="B80">
        <v>250028.9496467367</v>
      </c>
      <c r="C80">
        <v>-4654.8276443625564</v>
      </c>
      <c r="D80">
        <v>-3657.4327123203352</v>
      </c>
      <c r="E80">
        <v>-5110.6783943081246</v>
      </c>
      <c r="F80">
        <v>-4440.8488446121373</v>
      </c>
      <c r="G80">
        <v>7772.399664168408</v>
      </c>
      <c r="H80">
        <v>-5061.1348624702359</v>
      </c>
      <c r="I80">
        <v>-2518.8427976707062</v>
      </c>
      <c r="J80">
        <v>-2518.8427976785501</v>
      </c>
      <c r="K80">
        <v>9.9892405160062481E-5</v>
      </c>
      <c r="L80">
        <v>-1.6717767502996139E-3</v>
      </c>
      <c r="M80">
        <v>-1.6717771841285871E-3</v>
      </c>
      <c r="N80">
        <v>-1.671777183219092E-3</v>
      </c>
      <c r="O80">
        <v>-2518.8427976786202</v>
      </c>
      <c r="P80">
        <v>-2518.8427976786211</v>
      </c>
      <c r="Q80">
        <v>9.9892408798041288E-5</v>
      </c>
      <c r="R80">
        <v>9.9892408798041288E-5</v>
      </c>
    </row>
    <row r="81" spans="1:18" x14ac:dyDescent="0.3">
      <c r="A81" s="1" t="s">
        <v>100</v>
      </c>
      <c r="B81">
        <v>17443122.189373929</v>
      </c>
      <c r="C81">
        <v>-3928.877101067631</v>
      </c>
      <c r="D81">
        <v>-3891.5970892780738</v>
      </c>
      <c r="E81">
        <v>-3909.0863870701828</v>
      </c>
      <c r="F81">
        <v>-3849.5764549906462</v>
      </c>
      <c r="G81">
        <v>-3115.642577727418</v>
      </c>
      <c r="H81">
        <v>-3709.8509285132018</v>
      </c>
      <c r="I81">
        <v>-4425.491675627557</v>
      </c>
      <c r="J81">
        <v>-4425.4916756273306</v>
      </c>
      <c r="K81">
        <v>4.54849887319142E-5</v>
      </c>
      <c r="L81">
        <v>-3.0619898097938858E-4</v>
      </c>
      <c r="M81">
        <v>-3.0620051074947702E-4</v>
      </c>
      <c r="N81">
        <v>-3.0668371073261369E-4</v>
      </c>
      <c r="O81">
        <v>-4425.491675627025</v>
      </c>
      <c r="P81">
        <v>-4427.5647658318903</v>
      </c>
      <c r="Q81">
        <v>4.54849887319142E-5</v>
      </c>
      <c r="R81">
        <v>4.5475999286281883E-5</v>
      </c>
    </row>
    <row r="82" spans="1:18" x14ac:dyDescent="0.3">
      <c r="A82" s="1" t="s">
        <v>101</v>
      </c>
      <c r="B82">
        <v>2872585.5623678798</v>
      </c>
      <c r="C82">
        <v>188.23068799957949</v>
      </c>
      <c r="D82">
        <v>2108.9376607315899</v>
      </c>
      <c r="E82">
        <v>-13.756377079389489</v>
      </c>
      <c r="F82">
        <v>1738.88606745011</v>
      </c>
      <c r="G82">
        <v>16193.439984912849</v>
      </c>
      <c r="H82">
        <v>-1755.103053582578</v>
      </c>
      <c r="I82">
        <v>-2141.766948146666</v>
      </c>
      <c r="J82">
        <v>-2141.7669481466069</v>
      </c>
      <c r="K82">
        <v>-5.6345930715906427E-5</v>
      </c>
      <c r="L82">
        <v>-4.322664190112846E-4</v>
      </c>
      <c r="M82">
        <v>-4.3226650996075477E-4</v>
      </c>
      <c r="N82">
        <v>-4.3269950037938543E-4</v>
      </c>
      <c r="O82">
        <v>-2141.7669481476132</v>
      </c>
      <c r="P82">
        <v>-2143.8325638850752</v>
      </c>
      <c r="Q82">
        <v>-5.6345939810853451E-5</v>
      </c>
      <c r="R82">
        <v>-5.6349710575887002E-5</v>
      </c>
    </row>
    <row r="83" spans="1:18" x14ac:dyDescent="0.3">
      <c r="A83" s="1" t="s">
        <v>102</v>
      </c>
      <c r="B83">
        <v>206521.28891199629</v>
      </c>
      <c r="C83">
        <v>173.3887908171539</v>
      </c>
      <c r="D83">
        <v>243.69456165370889</v>
      </c>
      <c r="E83">
        <v>-132.48255635604301</v>
      </c>
      <c r="F83">
        <v>-132.28007873553881</v>
      </c>
      <c r="G83">
        <v>-131.52630963288991</v>
      </c>
      <c r="H83">
        <v>-20.622893953733861</v>
      </c>
      <c r="I83">
        <v>-9.4627239377587102E-6</v>
      </c>
      <c r="J83">
        <v>-9.4627239377587102E-6</v>
      </c>
      <c r="K83">
        <v>-2.050408966169925E-6</v>
      </c>
      <c r="L83">
        <v>-5.6727508308540564E-6</v>
      </c>
      <c r="M83">
        <v>-5.6727428727754159E-6</v>
      </c>
      <c r="N83">
        <v>-5.6727428727754159E-6</v>
      </c>
      <c r="O83">
        <v>-9.4627239377587102E-6</v>
      </c>
      <c r="P83">
        <v>-9.4627239377587102E-6</v>
      </c>
      <c r="Q83">
        <v>-2.050408966169925E-6</v>
      </c>
      <c r="R83">
        <v>-2.050408966169925E-6</v>
      </c>
    </row>
    <row r="84" spans="1:18" x14ac:dyDescent="0.3">
      <c r="A84" s="1" t="s">
        <v>103</v>
      </c>
      <c r="B84">
        <v>463192.56780090969</v>
      </c>
      <c r="C84">
        <v>-2222.2044236396232</v>
      </c>
      <c r="D84">
        <v>-2606.6191895714642</v>
      </c>
      <c r="E84">
        <v>-2592.4387813689432</v>
      </c>
      <c r="F84">
        <v>-3602.9940592242492</v>
      </c>
      <c r="G84">
        <v>-2648.3025764136091</v>
      </c>
      <c r="H84">
        <v>-1954.4709690171239</v>
      </c>
      <c r="I84">
        <v>-78739.827571788235</v>
      </c>
      <c r="J84">
        <v>-78739.827571787755</v>
      </c>
      <c r="K84">
        <v>-7.1751460836821934E-5</v>
      </c>
      <c r="L84">
        <v>-1.7657952594163359E-4</v>
      </c>
      <c r="M84">
        <v>-1.765795168466866E-4</v>
      </c>
      <c r="N84">
        <v>-1.765795168466866E-4</v>
      </c>
      <c r="O84">
        <v>-78739.827571789749</v>
      </c>
      <c r="P84">
        <v>-78739.827571789749</v>
      </c>
      <c r="Q84">
        <v>-7.1751459017832531E-5</v>
      </c>
      <c r="R84">
        <v>-7.1751459017832531E-5</v>
      </c>
    </row>
    <row r="85" spans="1:18" x14ac:dyDescent="0.3">
      <c r="A85" s="1" t="s">
        <v>104</v>
      </c>
      <c r="B85">
        <v>517578.80181487312</v>
      </c>
      <c r="C85">
        <v>-946.40938342899972</v>
      </c>
      <c r="D85">
        <v>-253.2399149202229</v>
      </c>
      <c r="E85">
        <v>-1267.6061806225971</v>
      </c>
      <c r="F85">
        <v>-868.6092158126412</v>
      </c>
      <c r="G85">
        <v>-618.13473509458254</v>
      </c>
      <c r="H85">
        <v>-184.27951584344009</v>
      </c>
      <c r="I85">
        <v>-1046.6625908139849</v>
      </c>
      <c r="J85">
        <v>-1046.6625908139829</v>
      </c>
      <c r="K85">
        <v>-1.478219110140344E-5</v>
      </c>
      <c r="L85">
        <v>-2.977600979647832E-5</v>
      </c>
      <c r="M85">
        <v>-2.9776027986372359E-5</v>
      </c>
      <c r="N85">
        <v>-2.9776028895867061E-5</v>
      </c>
      <c r="O85">
        <v>-1046.6625908139849</v>
      </c>
      <c r="P85">
        <v>-1046.6625908139849</v>
      </c>
      <c r="Q85">
        <v>-1.478219473938225E-5</v>
      </c>
      <c r="R85">
        <v>-1.478219473938225E-5</v>
      </c>
    </row>
    <row r="86" spans="1:18" x14ac:dyDescent="0.3">
      <c r="A86" s="1" t="s">
        <v>105</v>
      </c>
      <c r="B86">
        <v>466999.04199779878</v>
      </c>
      <c r="C86">
        <v>-218.30503298712119</v>
      </c>
      <c r="D86">
        <v>131.12739227428941</v>
      </c>
      <c r="E86">
        <v>1053.497014479753</v>
      </c>
      <c r="F86">
        <v>2345.8409695324281</v>
      </c>
      <c r="G86">
        <v>5072.6407984595189</v>
      </c>
      <c r="H86">
        <v>1265.326209858443</v>
      </c>
      <c r="I86">
        <v>-12.25682876896281</v>
      </c>
      <c r="J86">
        <v>-12.25682876895007</v>
      </c>
      <c r="K86">
        <v>2.3783909455232791E-5</v>
      </c>
      <c r="L86">
        <v>5.7208379075746052E-5</v>
      </c>
      <c r="M86">
        <v>5.7208371799788438E-5</v>
      </c>
      <c r="N86">
        <v>5.7296452723676339E-5</v>
      </c>
      <c r="O86">
        <v>-12.25682876894825</v>
      </c>
      <c r="P86">
        <v>-12.256822354130239</v>
      </c>
      <c r="Q86">
        <v>2.3783909455232791E-5</v>
      </c>
      <c r="R86">
        <v>2.3788171347405299E-5</v>
      </c>
    </row>
    <row r="87" spans="1:18" x14ac:dyDescent="0.3">
      <c r="A87" s="1" t="s">
        <v>106</v>
      </c>
      <c r="B87">
        <v>133821.57140898571</v>
      </c>
      <c r="C87">
        <v>-1502.024115059349</v>
      </c>
      <c r="D87">
        <v>-1308.0639405134491</v>
      </c>
      <c r="E87">
        <v>-1482.4458941229041</v>
      </c>
      <c r="F87">
        <v>-1276.136961446412</v>
      </c>
      <c r="G87">
        <v>2125.340478216257</v>
      </c>
      <c r="H87">
        <v>-472.65627157095969</v>
      </c>
      <c r="I87">
        <v>-2.198786905864836E-4</v>
      </c>
      <c r="J87">
        <v>-2.1987868603901009E-4</v>
      </c>
      <c r="K87">
        <v>-3.9793181713321253E-5</v>
      </c>
      <c r="L87">
        <v>-1.8175169589085269E-4</v>
      </c>
      <c r="M87">
        <v>-1.8175171589973621E-4</v>
      </c>
      <c r="N87">
        <v>-1.8175171589973621E-4</v>
      </c>
      <c r="O87">
        <v>-2.1987870377415669E-4</v>
      </c>
      <c r="P87">
        <v>-2.1987870377415669E-4</v>
      </c>
      <c r="Q87">
        <v>-3.9793182622815948E-5</v>
      </c>
      <c r="R87">
        <v>-3.9793182622815948E-5</v>
      </c>
    </row>
    <row r="88" spans="1:18" x14ac:dyDescent="0.3">
      <c r="A88" s="1" t="s">
        <v>107</v>
      </c>
      <c r="B88">
        <v>187801.1454447431</v>
      </c>
      <c r="C88">
        <v>-1531.758737685328</v>
      </c>
      <c r="D88">
        <v>-1349.3304726358319</v>
      </c>
      <c r="E88">
        <v>-1505.102828141519</v>
      </c>
      <c r="F88">
        <v>-1305.5752958155281</v>
      </c>
      <c r="G88">
        <v>2820.1826403508289</v>
      </c>
      <c r="H88">
        <v>-631.84722233696584</v>
      </c>
      <c r="I88">
        <v>2.8935482987435529E-7</v>
      </c>
      <c r="J88">
        <v>2.893530108849518E-7</v>
      </c>
      <c r="K88">
        <v>1.1796335002145501E-5</v>
      </c>
      <c r="L88">
        <v>2.8176293199067001E-5</v>
      </c>
      <c r="M88">
        <v>2.817629092533025E-5</v>
      </c>
      <c r="N88">
        <v>2.8176291834824951E-5</v>
      </c>
      <c r="O88">
        <v>2.8935710361110978E-7</v>
      </c>
      <c r="P88">
        <v>2.8935710361110978E-7</v>
      </c>
      <c r="Q88">
        <v>1.179633318315609E-5</v>
      </c>
      <c r="R88">
        <v>1.179633318315609E-5</v>
      </c>
    </row>
    <row r="89" spans="1:18" x14ac:dyDescent="0.3">
      <c r="A89" s="1" t="s">
        <v>108</v>
      </c>
      <c r="B89">
        <v>276864.26905351569</v>
      </c>
      <c r="C89">
        <v>-6120.3269307561222</v>
      </c>
      <c r="D89">
        <v>-5017.671169016221</v>
      </c>
      <c r="E89">
        <v>-3507.6665921396202</v>
      </c>
      <c r="F89">
        <v>435.24917689299758</v>
      </c>
      <c r="G89">
        <v>6593.5875728653082</v>
      </c>
      <c r="H89">
        <v>-1826.8357145866501</v>
      </c>
      <c r="I89">
        <v>7.9461018685833551E-4</v>
      </c>
      <c r="J89">
        <v>7.946101795823779E-4</v>
      </c>
      <c r="K89">
        <v>1.5890317808953111E-4</v>
      </c>
      <c r="L89">
        <v>8.7407335013267584E-4</v>
      </c>
      <c r="M89">
        <v>8.7407336832256988E-4</v>
      </c>
      <c r="N89">
        <v>9.3452210057876073E-4</v>
      </c>
      <c r="O89">
        <v>7.9461019777227193E-4</v>
      </c>
      <c r="P89">
        <v>8.3256145808263682E-4</v>
      </c>
      <c r="Q89">
        <v>1.5890317808953111E-4</v>
      </c>
      <c r="R89">
        <v>1.6154668992385271E-4</v>
      </c>
    </row>
    <row r="90" spans="1:18" x14ac:dyDescent="0.3">
      <c r="A90" s="1" t="s">
        <v>109</v>
      </c>
      <c r="B90">
        <v>269578.40446012712</v>
      </c>
      <c r="C90">
        <v>-2133.1778675250271</v>
      </c>
      <c r="D90">
        <v>-2032.162738301809</v>
      </c>
      <c r="E90">
        <v>-2265.542832121926</v>
      </c>
      <c r="F90">
        <v>-2216.7581365654742</v>
      </c>
      <c r="G90">
        <v>-1589.2793207740481</v>
      </c>
      <c r="H90">
        <v>-696.32604255949082</v>
      </c>
      <c r="I90">
        <v>-8.5682452663604636E-5</v>
      </c>
      <c r="J90">
        <v>-8.5682458120572846E-5</v>
      </c>
      <c r="K90">
        <v>-7.3622341005830094E-6</v>
      </c>
      <c r="L90">
        <v>-2.6986489501723551E-5</v>
      </c>
      <c r="M90">
        <v>-2.6986498596670568E-5</v>
      </c>
      <c r="N90">
        <v>-6788.0027589114834</v>
      </c>
      <c r="O90">
        <v>-8.5682457211078145E-5</v>
      </c>
      <c r="P90">
        <v>-8.5638149357691873E-5</v>
      </c>
      <c r="Q90">
        <v>-7.362235919572413E-6</v>
      </c>
      <c r="R90">
        <v>-12461.899632178191</v>
      </c>
    </row>
    <row r="91" spans="1:18" x14ac:dyDescent="0.3">
      <c r="A91" s="1" t="s">
        <v>110</v>
      </c>
      <c r="B91">
        <v>1270874.6504236229</v>
      </c>
      <c r="C91">
        <v>-653.12546942587869</v>
      </c>
      <c r="D91">
        <v>-218.12177983888981</v>
      </c>
      <c r="E91">
        <v>-1116.833297497333</v>
      </c>
      <c r="F91">
        <v>-916.02576089173817</v>
      </c>
      <c r="G91">
        <v>118.66518605188681</v>
      </c>
      <c r="H91">
        <v>69.327263435750865</v>
      </c>
      <c r="I91">
        <v>-3.2814901900601399</v>
      </c>
      <c r="J91">
        <v>-3.2814901900592299</v>
      </c>
      <c r="K91">
        <v>-4.1186964153894223E-5</v>
      </c>
      <c r="L91">
        <v>-2.5593141526769608E-4</v>
      </c>
      <c r="M91">
        <v>-2.559314443715266E-4</v>
      </c>
      <c r="N91">
        <v>-2.559314452810213E-4</v>
      </c>
      <c r="O91">
        <v>-3.2814901900601399</v>
      </c>
      <c r="P91">
        <v>-3.2814901900619589</v>
      </c>
      <c r="Q91">
        <v>-4.1186964153894223E-5</v>
      </c>
      <c r="R91">
        <v>-4.1186964153894223E-5</v>
      </c>
    </row>
    <row r="92" spans="1:18" x14ac:dyDescent="0.3">
      <c r="A92" s="1" t="s">
        <v>111</v>
      </c>
      <c r="B92">
        <v>696980.88105466426</v>
      </c>
      <c r="C92">
        <v>-1052.330052065679</v>
      </c>
      <c r="D92">
        <v>-791.90948807278073</v>
      </c>
      <c r="E92">
        <v>-208.5931010147697</v>
      </c>
      <c r="F92">
        <v>653.33855567230785</v>
      </c>
      <c r="G92">
        <v>10776.065005693319</v>
      </c>
      <c r="H92">
        <v>117.6945992629971</v>
      </c>
      <c r="I92">
        <v>-4.2717707326728487</v>
      </c>
      <c r="J92">
        <v>-4.2717707326764867</v>
      </c>
      <c r="K92">
        <v>-7.9512128650094382E-6</v>
      </c>
      <c r="L92">
        <v>-1.051084745995468E-5</v>
      </c>
      <c r="M92">
        <v>-1.051081653713482E-5</v>
      </c>
      <c r="N92">
        <v>-1.051081744662952E-5</v>
      </c>
      <c r="O92">
        <v>-4.2717707326764867</v>
      </c>
      <c r="P92">
        <v>-4.2717707326755772</v>
      </c>
      <c r="Q92">
        <v>-7.9512128650094382E-6</v>
      </c>
      <c r="R92">
        <v>-7.9512128650094382E-6</v>
      </c>
    </row>
    <row r="93" spans="1:18" x14ac:dyDescent="0.3">
      <c r="A93" s="1" t="s">
        <v>112</v>
      </c>
      <c r="B93">
        <v>833612.96827215538</v>
      </c>
      <c r="C93">
        <v>-2018.402622160595</v>
      </c>
      <c r="D93">
        <v>-1135.3446640376289</v>
      </c>
      <c r="E93">
        <v>-2643.5295719295832</v>
      </c>
      <c r="F93">
        <v>-2241.7972515461979</v>
      </c>
      <c r="G93">
        <v>-1134.663753237475</v>
      </c>
      <c r="H93">
        <v>-1541.2080287654701</v>
      </c>
      <c r="I93">
        <v>-1.212756251334213E-4</v>
      </c>
      <c r="J93">
        <v>-1.2127602349210059E-4</v>
      </c>
      <c r="K93">
        <v>-7.8022676461841911E-6</v>
      </c>
      <c r="L93">
        <v>-1.1142068433400711E-4</v>
      </c>
      <c r="M93">
        <v>-1.114207680075197E-4</v>
      </c>
      <c r="N93">
        <v>-221566696252251.59</v>
      </c>
      <c r="O93">
        <v>-1.212757742905524E-4</v>
      </c>
      <c r="P93">
        <v>1.688990227777112E+17</v>
      </c>
      <c r="Q93">
        <v>-7.8022585512371734E-6</v>
      </c>
      <c r="R93">
        <v>-4807789769315834</v>
      </c>
    </row>
    <row r="94" spans="1:18" x14ac:dyDescent="0.3">
      <c r="A94" s="1" t="s">
        <v>113</v>
      </c>
      <c r="B94">
        <v>1019299.876122577</v>
      </c>
      <c r="C94">
        <v>-149.55679342533989</v>
      </c>
      <c r="D94">
        <v>671.77959633289993</v>
      </c>
      <c r="E94">
        <v>-1042.2989261939349</v>
      </c>
      <c r="F94">
        <v>-886.28139218268007</v>
      </c>
      <c r="G94">
        <v>-641.66513277361582</v>
      </c>
      <c r="H94">
        <v>72.861877725210888</v>
      </c>
      <c r="I94">
        <v>-137.24662706351</v>
      </c>
      <c r="J94">
        <v>-137.24662706351091</v>
      </c>
      <c r="K94">
        <v>8.3524350884545129E-6</v>
      </c>
      <c r="L94">
        <v>1.1693855867633831E-5</v>
      </c>
      <c r="M94">
        <v>1.1693854958139131E-5</v>
      </c>
      <c r="N94">
        <v>1.1693854958139131E-5</v>
      </c>
      <c r="O94">
        <v>-137.24662706351091</v>
      </c>
      <c r="P94">
        <v>-137.24662706351091</v>
      </c>
      <c r="Q94">
        <v>8.3524359979492147E-6</v>
      </c>
      <c r="R94">
        <v>8.3524359979492147E-6</v>
      </c>
    </row>
    <row r="95" spans="1:18" x14ac:dyDescent="0.3">
      <c r="A95" s="1" t="s">
        <v>114</v>
      </c>
      <c r="B95">
        <v>1456041.34675055</v>
      </c>
      <c r="C95">
        <v>-8043.184868189579</v>
      </c>
      <c r="D95">
        <v>-6688.2392472117645</v>
      </c>
      <c r="E95">
        <v>-8695.3527563949901</v>
      </c>
      <c r="F95">
        <v>-7991.2025974940043</v>
      </c>
      <c r="G95">
        <v>-7770.4157274510653</v>
      </c>
      <c r="H95">
        <v>3446.346526638416</v>
      </c>
      <c r="I95">
        <v>-713.24805761516473</v>
      </c>
      <c r="J95">
        <v>-713.24805761512107</v>
      </c>
      <c r="K95">
        <v>2.3004802642390129E-5</v>
      </c>
      <c r="L95">
        <v>-1.0235712397843601E-4</v>
      </c>
      <c r="M95">
        <v>-1.0235719673801209E-4</v>
      </c>
      <c r="N95">
        <v>-1.0235719673801209E-4</v>
      </c>
      <c r="O95">
        <v>-713.24805761502648</v>
      </c>
      <c r="P95">
        <v>-713.24805761502648</v>
      </c>
      <c r="Q95">
        <v>2.3004802642390129E-5</v>
      </c>
      <c r="R95">
        <v>2.3004795366432521E-5</v>
      </c>
    </row>
    <row r="96" spans="1:18" x14ac:dyDescent="0.3">
      <c r="A96" s="1" t="s">
        <v>115</v>
      </c>
      <c r="B96">
        <v>1136381.5414693111</v>
      </c>
      <c r="C96">
        <v>-4653.2362056258862</v>
      </c>
      <c r="D96">
        <v>-4605.4656780999121</v>
      </c>
      <c r="E96">
        <v>-4701.0484610232916</v>
      </c>
      <c r="F96">
        <v>-4699.5658313107824</v>
      </c>
      <c r="G96">
        <v>-4697.0978901125636</v>
      </c>
      <c r="H96">
        <v>-4867.4005312908594</v>
      </c>
      <c r="I96">
        <v>-7351.0744357918666</v>
      </c>
      <c r="J96">
        <v>-7351.0744357918602</v>
      </c>
      <c r="K96">
        <v>-1.065162105078343E-4</v>
      </c>
      <c r="L96">
        <v>-1.2981492000108119E-4</v>
      </c>
      <c r="M96">
        <v>-1.2981487998331431E-4</v>
      </c>
      <c r="N96">
        <v>-1.2979421990166881E-4</v>
      </c>
      <c r="O96">
        <v>-7351.074435791862</v>
      </c>
      <c r="P96">
        <v>-7362.6570980601564</v>
      </c>
      <c r="Q96">
        <v>-1.065162105078343E-4</v>
      </c>
      <c r="R96">
        <v>-1.065164397004992E-4</v>
      </c>
    </row>
    <row r="97" spans="1:18" x14ac:dyDescent="0.3">
      <c r="A97" s="1" t="s">
        <v>116</v>
      </c>
      <c r="B97">
        <v>-17714.409805114759</v>
      </c>
      <c r="C97">
        <v>-1665.226874438375</v>
      </c>
      <c r="D97">
        <v>-1594.0273588522041</v>
      </c>
      <c r="E97">
        <v>-1734.534812590007</v>
      </c>
      <c r="F97">
        <v>-1709.4211461654679</v>
      </c>
      <c r="G97">
        <v>-1579.5562408242849</v>
      </c>
      <c r="H97">
        <v>-1345.592157956582</v>
      </c>
      <c r="I97">
        <v>-4.3408096507846489E-4</v>
      </c>
      <c r="J97">
        <v>-4.3408096689745429E-4</v>
      </c>
      <c r="K97">
        <v>1.5821892702660989E-4</v>
      </c>
      <c r="L97">
        <v>1.020275547944038E-3</v>
      </c>
      <c r="M97">
        <v>1.0202755440786859E-3</v>
      </c>
      <c r="N97">
        <v>9.4574605009256629E-4</v>
      </c>
      <c r="O97">
        <v>-4.3408096803432272E-4</v>
      </c>
      <c r="P97">
        <v>-4.1460077500232728E-4</v>
      </c>
      <c r="Q97">
        <v>1.5821892702660989E-4</v>
      </c>
      <c r="R97">
        <v>1.5106941009435099E-4</v>
      </c>
    </row>
    <row r="98" spans="1:18" x14ac:dyDescent="0.3">
      <c r="A98" s="1" t="s">
        <v>117</v>
      </c>
      <c r="B98">
        <v>18392.526930139189</v>
      </c>
      <c r="C98">
        <v>-576.88455852854497</v>
      </c>
      <c r="D98">
        <v>-466.43288020706387</v>
      </c>
      <c r="E98">
        <v>-723.36703667875963</v>
      </c>
      <c r="F98">
        <v>-687.92287430831152</v>
      </c>
      <c r="G98">
        <v>-318.28546948899469</v>
      </c>
      <c r="H98">
        <v>-415.73747217286058</v>
      </c>
      <c r="I98">
        <v>-1.4656643202215491E-4</v>
      </c>
      <c r="J98">
        <v>-1.4656645907962229E-4</v>
      </c>
      <c r="K98">
        <v>-9.3516277956950944E-5</v>
      </c>
      <c r="L98">
        <v>-1.6530335915376779E-4</v>
      </c>
      <c r="M98">
        <v>-1.6530336915820951E-4</v>
      </c>
      <c r="N98">
        <v>-1.6530336915820951E-4</v>
      </c>
      <c r="O98">
        <v>-1.4656643315902329E-4</v>
      </c>
      <c r="P98">
        <v>-1.4656643315902329E-4</v>
      </c>
      <c r="Q98">
        <v>-9.3516275001093163E-5</v>
      </c>
      <c r="R98">
        <v>-9.3516275001093163E-5</v>
      </c>
    </row>
    <row r="99" spans="1:18" x14ac:dyDescent="0.3">
      <c r="A99" s="1" t="s">
        <v>118</v>
      </c>
      <c r="B99">
        <v>51750.811694620941</v>
      </c>
      <c r="C99">
        <v>-83.245813092687968</v>
      </c>
      <c r="D99">
        <v>203.13521230641209</v>
      </c>
      <c r="E99">
        <v>-537.95949317599059</v>
      </c>
      <c r="F99">
        <v>-503.21292780724929</v>
      </c>
      <c r="G99">
        <v>-356.07882641915819</v>
      </c>
      <c r="H99">
        <v>-129.85061683598289</v>
      </c>
      <c r="I99">
        <v>-112.0515774907101</v>
      </c>
      <c r="J99">
        <v>-112.051577490711</v>
      </c>
      <c r="K99">
        <v>-1.8378060076429389E-5</v>
      </c>
      <c r="L99">
        <v>-2.5433611881453541E-5</v>
      </c>
      <c r="M99">
        <v>-2.543361392781662E-5</v>
      </c>
      <c r="N99">
        <v>-2.543361392781662E-5</v>
      </c>
      <c r="O99">
        <v>-112.0515774907101</v>
      </c>
      <c r="P99">
        <v>-112.0515774907101</v>
      </c>
      <c r="Q99">
        <v>-1.8378060076429389E-5</v>
      </c>
      <c r="R99">
        <v>-1.8378060076429389E-5</v>
      </c>
    </row>
    <row r="100" spans="1:18" x14ac:dyDescent="0.3">
      <c r="A100" s="1" t="s">
        <v>119</v>
      </c>
      <c r="B100">
        <v>26163.330561691469</v>
      </c>
      <c r="C100">
        <v>4977.0314423137534</v>
      </c>
      <c r="D100">
        <v>10268.21818836789</v>
      </c>
      <c r="E100">
        <v>-1552.50094313198</v>
      </c>
      <c r="F100">
        <v>-668.77040518319063</v>
      </c>
      <c r="G100">
        <v>46703.082083993722</v>
      </c>
      <c r="H100">
        <v>1970.835165093401</v>
      </c>
      <c r="I100">
        <v>-564.05414473523888</v>
      </c>
      <c r="J100">
        <v>-564.05414473523888</v>
      </c>
      <c r="K100">
        <v>-1.1616668052738531E-2</v>
      </c>
      <c r="L100">
        <v>-1.3915334448029171E-3</v>
      </c>
      <c r="M100">
        <v>-1.3915334538978641E-3</v>
      </c>
      <c r="N100">
        <v>-1.391704227899027E-3</v>
      </c>
      <c r="O100">
        <v>-564.05414473523797</v>
      </c>
      <c r="P100">
        <v>-564.09191948635998</v>
      </c>
      <c r="Q100">
        <v>-1.1616668055012269E-2</v>
      </c>
      <c r="R100">
        <v>-1.162079242794789E-2</v>
      </c>
    </row>
    <row r="101" spans="1:18" x14ac:dyDescent="0.3">
      <c r="A101" s="1" t="s">
        <v>120</v>
      </c>
      <c r="B101">
        <v>305817.82133199129</v>
      </c>
      <c r="C101">
        <v>-607.18908260102762</v>
      </c>
      <c r="D101">
        <v>-174.67073147368859</v>
      </c>
      <c r="E101">
        <v>-1045.495527767798</v>
      </c>
      <c r="F101">
        <v>-967.12870609849051</v>
      </c>
      <c r="G101">
        <v>-822.1573248989589</v>
      </c>
      <c r="H101">
        <v>-247.34468504229881</v>
      </c>
      <c r="I101">
        <v>-9.5481998869217932E-5</v>
      </c>
      <c r="J101">
        <v>-9.5481969765387475E-5</v>
      </c>
      <c r="K101">
        <v>-2.0097850210731849E-5</v>
      </c>
      <c r="L101">
        <v>-5.493947901413776E-5</v>
      </c>
      <c r="M101">
        <v>-5.4939468100201339E-5</v>
      </c>
      <c r="N101">
        <v>-5.4939468100201339E-5</v>
      </c>
      <c r="O101">
        <v>-9.5481969765387475E-5</v>
      </c>
      <c r="P101">
        <v>-9.5481969765387475E-5</v>
      </c>
      <c r="Q101">
        <v>-2.0097850210731849E-5</v>
      </c>
      <c r="R101">
        <v>-2.0097850210731849E-5</v>
      </c>
    </row>
    <row r="102" spans="1:18" x14ac:dyDescent="0.3">
      <c r="A102" s="1" t="s">
        <v>121</v>
      </c>
      <c r="B102">
        <v>-145473.94149398219</v>
      </c>
      <c r="C102">
        <v>-60.10346190230598</v>
      </c>
      <c r="D102">
        <v>178.83188965982029</v>
      </c>
      <c r="E102">
        <v>-399.21614134333038</v>
      </c>
      <c r="F102">
        <v>-280.80432429612989</v>
      </c>
      <c r="G102">
        <v>815.53287154207544</v>
      </c>
      <c r="H102">
        <v>350.39358883880959</v>
      </c>
      <c r="I102">
        <v>-1.419602131136344E-5</v>
      </c>
      <c r="J102">
        <v>-1.419602148189369E-5</v>
      </c>
      <c r="K102">
        <v>2.3986007136045369E-6</v>
      </c>
      <c r="L102">
        <v>-2.9748891677172651E-5</v>
      </c>
      <c r="M102">
        <v>-2.9748891165581881E-5</v>
      </c>
      <c r="N102">
        <v>-2.9748891279268719E-5</v>
      </c>
      <c r="O102">
        <v>-1.4196021595580531E-5</v>
      </c>
      <c r="P102">
        <v>-1.419602148189369E-5</v>
      </c>
      <c r="Q102">
        <v>2.398600827291375E-6</v>
      </c>
      <c r="R102">
        <v>2.398600827291375E-6</v>
      </c>
    </row>
    <row r="103" spans="1:18" x14ac:dyDescent="0.3">
      <c r="A103" s="1" t="s">
        <v>122</v>
      </c>
      <c r="B103">
        <v>344891.03010956233</v>
      </c>
      <c r="C103">
        <v>-2321.855024558643</v>
      </c>
      <c r="D103">
        <v>-1158.424963795027</v>
      </c>
      <c r="E103">
        <v>-3896.8080076389829</v>
      </c>
      <c r="F103">
        <v>-3520.6850710626982</v>
      </c>
      <c r="G103">
        <v>-3080.9471761733012</v>
      </c>
      <c r="H103">
        <v>2642.2038050116121</v>
      </c>
      <c r="I103">
        <v>-118.29115232227009</v>
      </c>
      <c r="J103">
        <v>-118.2911523222683</v>
      </c>
      <c r="K103">
        <v>-0.2225269695136376</v>
      </c>
      <c r="L103">
        <v>-4.2285760739487159</v>
      </c>
      <c r="M103">
        <v>-4.228576073939621</v>
      </c>
      <c r="N103">
        <v>6917.4814528859006</v>
      </c>
      <c r="O103">
        <v>-118.2911523222629</v>
      </c>
      <c r="P103">
        <v>-1556108.5709940719</v>
      </c>
      <c r="Q103">
        <v>-0.22252696951545661</v>
      </c>
      <c r="R103">
        <v>-10272.494720718139</v>
      </c>
    </row>
    <row r="104" spans="1:18" x14ac:dyDescent="0.3">
      <c r="A104" s="1" t="s">
        <v>123</v>
      </c>
      <c r="B104">
        <v>12112.65353829923</v>
      </c>
      <c r="C104">
        <v>-152.59000174897099</v>
      </c>
      <c r="D104">
        <v>-151.36820017951001</v>
      </c>
      <c r="E104">
        <v>-153.9558398396843</v>
      </c>
      <c r="F104">
        <v>-153.23703254470061</v>
      </c>
      <c r="G104">
        <v>-151.11547741228159</v>
      </c>
      <c r="H104">
        <v>-6.0996945171723382E-2</v>
      </c>
      <c r="I104">
        <v>-59.553439650945528</v>
      </c>
      <c r="J104">
        <v>-59.553439650945528</v>
      </c>
      <c r="K104">
        <v>-5.8147821846432635E-7</v>
      </c>
      <c r="L104">
        <v>4.0409361190540949E-8</v>
      </c>
      <c r="M104">
        <v>4.0408963286608923E-8</v>
      </c>
      <c r="N104">
        <v>1.9558285657694799E-8</v>
      </c>
      <c r="O104">
        <v>-59.553439650945528</v>
      </c>
      <c r="P104">
        <v>-59.553439823801369</v>
      </c>
      <c r="Q104">
        <v>-5.8147833215116407E-7</v>
      </c>
      <c r="R104">
        <v>-5.8292897620049189E-7</v>
      </c>
    </row>
    <row r="105" spans="1:18" x14ac:dyDescent="0.3">
      <c r="A105" s="1" t="s">
        <v>124</v>
      </c>
      <c r="B105">
        <v>32250.013050824411</v>
      </c>
      <c r="C105">
        <v>-201.70009222190779</v>
      </c>
      <c r="D105">
        <v>-198.49766655615829</v>
      </c>
      <c r="E105">
        <v>-133.40900933751291</v>
      </c>
      <c r="F105">
        <v>-119.9650539066006</v>
      </c>
      <c r="G105">
        <v>-58.227722826342358</v>
      </c>
      <c r="H105">
        <v>-93.244193139526431</v>
      </c>
      <c r="I105">
        <v>-161.68872450308669</v>
      </c>
      <c r="J105">
        <v>-161.68872450308689</v>
      </c>
      <c r="K105">
        <v>-5.34943296770507E-7</v>
      </c>
      <c r="L105">
        <v>-1.647993599362962E-6</v>
      </c>
      <c r="M105">
        <v>-1.6479946225445019E-6</v>
      </c>
      <c r="N105">
        <v>-1.5970010736054969E-6</v>
      </c>
      <c r="O105">
        <v>-161.6887245030868</v>
      </c>
      <c r="P105">
        <v>-161.68872437801329</v>
      </c>
      <c r="Q105">
        <v>-5.34943296770507E-7</v>
      </c>
      <c r="R105">
        <v>-5.3252847465046216E-7</v>
      </c>
    </row>
    <row r="106" spans="1:18" x14ac:dyDescent="0.3">
      <c r="A106" s="1" t="s">
        <v>125</v>
      </c>
      <c r="B106">
        <v>42433.187627242281</v>
      </c>
      <c r="C106">
        <v>-134.2228215637889</v>
      </c>
      <c r="D106">
        <v>-132.2355027055784</v>
      </c>
      <c r="E106">
        <v>-139.70895843759379</v>
      </c>
      <c r="F106">
        <v>-138.4424593409901</v>
      </c>
      <c r="G106">
        <v>-129.87109591265539</v>
      </c>
      <c r="H106">
        <v>-111.4424768977925</v>
      </c>
      <c r="I106">
        <v>-165.9637486066957</v>
      </c>
      <c r="J106">
        <v>-165.9637486066957</v>
      </c>
      <c r="K106">
        <v>4.3654353021338474E-6</v>
      </c>
      <c r="L106">
        <v>1.065022945567762E-5</v>
      </c>
      <c r="M106">
        <v>1.065022661350667E-5</v>
      </c>
      <c r="N106">
        <v>1.0442686175338171E-5</v>
      </c>
      <c r="O106">
        <v>-165.96374860669559</v>
      </c>
      <c r="P106">
        <v>-165.9637488951843</v>
      </c>
      <c r="Q106">
        <v>4.3654353021338474E-6</v>
      </c>
      <c r="R106">
        <v>4.3559555251704296E-6</v>
      </c>
    </row>
    <row r="107" spans="1:18" x14ac:dyDescent="0.3">
      <c r="A107" s="1" t="s">
        <v>126</v>
      </c>
      <c r="B107">
        <v>242944.22244179339</v>
      </c>
      <c r="C107">
        <v>-3238.0373637278558</v>
      </c>
      <c r="D107">
        <v>-2927.4954481768309</v>
      </c>
      <c r="E107">
        <v>-3859.5850468962531</v>
      </c>
      <c r="F107">
        <v>-3797.6066517434078</v>
      </c>
      <c r="G107">
        <v>-3346.4696202820269</v>
      </c>
      <c r="H107">
        <v>-1987.0018709521939</v>
      </c>
      <c r="I107">
        <v>-70.683299207534219</v>
      </c>
      <c r="J107">
        <v>-70.68329920753331</v>
      </c>
      <c r="K107">
        <v>-2.9997834644746039E-5</v>
      </c>
      <c r="L107">
        <v>-1.5167110905167649E-4</v>
      </c>
      <c r="M107">
        <v>-1.5167109268077181E-4</v>
      </c>
      <c r="N107">
        <v>-1.5271091160684591E-4</v>
      </c>
      <c r="O107">
        <v>-70.68329920753331</v>
      </c>
      <c r="P107">
        <v>-84.82104026176421</v>
      </c>
      <c r="Q107">
        <v>-2.999783373525133E-5</v>
      </c>
      <c r="R107">
        <v>-3.1179042707663029E-5</v>
      </c>
    </row>
    <row r="108" spans="1:18" x14ac:dyDescent="0.3">
      <c r="A108" s="1" t="s">
        <v>127</v>
      </c>
      <c r="B108">
        <v>234746.19004453809</v>
      </c>
      <c r="C108">
        <v>-4059.9503884423539</v>
      </c>
      <c r="D108">
        <v>-3950.044594521863</v>
      </c>
      <c r="E108">
        <v>-4252.8665108881378</v>
      </c>
      <c r="F108">
        <v>-4220.824260947511</v>
      </c>
      <c r="G108">
        <v>-3911.2997453634971</v>
      </c>
      <c r="H108">
        <v>-2853.8947269348059</v>
      </c>
      <c r="I108">
        <v>-86.464941426697806</v>
      </c>
      <c r="J108">
        <v>-86.464941426697806</v>
      </c>
      <c r="K108">
        <v>2.3463360776077021E-5</v>
      </c>
      <c r="L108">
        <v>5.0970978008990642E-4</v>
      </c>
      <c r="M108">
        <v>5.0970976917597E-4</v>
      </c>
      <c r="N108">
        <v>5.3377665790321771E-4</v>
      </c>
      <c r="O108">
        <v>-86.464941426702353</v>
      </c>
      <c r="P108">
        <v>-107.5751902620332</v>
      </c>
      <c r="Q108">
        <v>2.3463362595066432E-5</v>
      </c>
      <c r="R108">
        <v>2.643861716933316E-5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השוואת פקטורים</vt:lpstr>
      <vt:lpstr>PPRs all</vt:lpstr>
      <vt:lpstr>PPRs inner</vt:lpstr>
      <vt:lpstr>SPPR did not explode</vt:lpstr>
      <vt:lpstr>SPPR is balanced</vt:lpstr>
      <vt:lpstr>outflow minus inflow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2026-04-18T10:52:12Z</dcterms:created>
  <dcterms:modified xsi:type="dcterms:W3CDTF">2026-05-04T20:30:27Z</dcterms:modified>
</cp:coreProperties>
</file>