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doca\Desktop\אישי\אקדמיה\תואר שני\מחקר\BTN\FishEstimation\ratios\"/>
    </mc:Choice>
  </mc:AlternateContent>
  <xr:revisionPtr revIDLastSave="0" documentId="13_ncr:1_{B60F75D2-CBB2-4172-A7BA-20CC8E9FA27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1995 ratio" sheetId="2" r:id="rId2"/>
    <sheet name="EwE rati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C3" i="2"/>
  <c r="D3" i="2"/>
  <c r="E3" i="2"/>
  <c r="C4" i="2"/>
  <c r="D4" i="2"/>
  <c r="E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B3" i="2"/>
  <c r="B2" i="2"/>
  <c r="B4" i="2"/>
  <c r="B5" i="2"/>
  <c r="B6" i="2"/>
  <c r="B7" i="2"/>
  <c r="B8" i="2"/>
  <c r="B9" i="2"/>
  <c r="B10" i="2"/>
  <c r="B11" i="2"/>
  <c r="B12" i="2"/>
  <c r="B13" i="2"/>
  <c r="B14" i="2"/>
  <c r="E28" i="1"/>
  <c r="D28" i="1"/>
  <c r="B28" i="1"/>
  <c r="C28" i="1"/>
  <c r="B23" i="1"/>
  <c r="F23" i="1" s="1"/>
  <c r="C23" i="1"/>
  <c r="D23" i="1"/>
  <c r="E23" i="1"/>
  <c r="B22" i="1"/>
  <c r="F22" i="1" s="1"/>
  <c r="C22" i="1"/>
  <c r="D22" i="1"/>
  <c r="E22" i="1"/>
  <c r="F21" i="1"/>
  <c r="B21" i="1"/>
  <c r="C21" i="1"/>
  <c r="D21" i="1"/>
  <c r="E21" i="1"/>
  <c r="F19" i="1"/>
  <c r="F20" i="1"/>
  <c r="F18" i="1"/>
  <c r="B20" i="1"/>
  <c r="C20" i="1"/>
  <c r="D20" i="1"/>
  <c r="E20" i="1"/>
  <c r="B19" i="1"/>
  <c r="C19" i="1"/>
  <c r="D19" i="1"/>
  <c r="E19" i="1"/>
  <c r="C18" i="1"/>
  <c r="D18" i="1"/>
  <c r="E18" i="1"/>
  <c r="B18" i="1"/>
  <c r="C2" i="3"/>
  <c r="D2" i="3"/>
  <c r="E2" i="3"/>
  <c r="C3" i="3"/>
  <c r="D3" i="3"/>
  <c r="E3" i="3"/>
  <c r="C4" i="3"/>
  <c r="D4" i="3"/>
  <c r="E4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F28" i="1" l="1"/>
</calcChain>
</file>

<file path=xl/sharedStrings.xml><?xml version="1.0" encoding="utf-8"?>
<sst xmlns="http://schemas.openxmlformats.org/spreadsheetml/2006/main" count="82" uniqueCount="32">
  <si>
    <t>Danajon Bank 2010 [711]</t>
  </si>
  <si>
    <t>Guinea 2004 [725]</t>
  </si>
  <si>
    <t>Northern Gulf St Lawrence 1985 [116]</t>
  </si>
  <si>
    <t>Iceland 1950 [227]</t>
  </si>
  <si>
    <t>SPPR_1986</t>
  </si>
  <si>
    <t>SPPR_1995_mTL_global_TE_01</t>
  </si>
  <si>
    <t>SPPR_1995_TL2_global_TE_01</t>
  </si>
  <si>
    <t>SPPR_1995_mTL_global_mTE</t>
  </si>
  <si>
    <t>SPPR_1995_TL2_global_mTE</t>
  </si>
  <si>
    <t>SPPR_EwE_global_mTE</t>
  </si>
  <si>
    <t>SPPR_EwE_differential_TE</t>
  </si>
  <si>
    <t>SPPR_2015_only_PP_DET</t>
  </si>
  <si>
    <t>SPPR_2015_DET_as_PP</t>
  </si>
  <si>
    <t>SPPR_new_basic</t>
  </si>
  <si>
    <t>SPPR_new_correct_DET_TE</t>
  </si>
  <si>
    <t>SPPR_mc_TE_10_20</t>
  </si>
  <si>
    <t>SPPR_mc_TE_10_20_correct_DET_TE</t>
  </si>
  <si>
    <t>עמודה1</t>
  </si>
  <si>
    <t>כלי להשוואת פקטורים</t>
  </si>
  <si>
    <t>ינסן על TL</t>
  </si>
  <si>
    <t>ממוצע</t>
  </si>
  <si>
    <t>פקטור</t>
  </si>
  <si>
    <t>?</t>
  </si>
  <si>
    <t>מצטבר</t>
  </si>
  <si>
    <t>ינסן על TE גלובאלי</t>
  </si>
  <si>
    <t>ינסן על TE של מין</t>
  </si>
  <si>
    <t>מעגלים בלי דטריטוס</t>
  </si>
  <si>
    <t>מעגלים עם דטריטוס</t>
  </si>
  <si>
    <t>ינסן על DC</t>
  </si>
  <si>
    <t>התייחסות למינים במקום Commercial Groups</t>
  </si>
  <si>
    <t>שיטות חישוב (שורה i+1 היא שיטה i+1 חלקי שיטה i)</t>
  </si>
  <si>
    <t>תיקון זרימה ל-DET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</si>
</sst>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  <font>
      <b/>
      <sz val="8"/>
      <name val="Arial"/>
      <family val="2"/>
    </font>
    <font>
      <b/>
      <sz val="9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1" fontId="0" fillId="0" borderId="0" xfId="0" applyNumberForma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numFmt numFmtId="1" formatCode="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409E3-6FBB-4EF6-A576-8F9B805A8986}" name="טבלה1" displayName="טבלה1" ref="A1:E14" totalsRowShown="0" headerRowDxfId="17">
  <autoFilter ref="A1:E14" xr:uid="{6A3409E3-6FBB-4EF6-A576-8F9B805A8986}"/>
  <tableColumns count="5">
    <tableColumn id="1" xr3:uid="{77506FDF-C43D-454C-90B3-0D2C6A25B9D5}" name="עמודה1" dataDxfId="16"/>
    <tableColumn id="2" xr3:uid="{AEB3A1E6-06F3-408A-A907-34EF3F505B83}" name="Danajon Bank 2010 [711]" dataDxfId="15"/>
    <tableColumn id="3" xr3:uid="{99BB4661-F59A-4C65-B98B-F50CF3B65461}" name="Guinea 2004 [725]" dataDxfId="14"/>
    <tableColumn id="4" xr3:uid="{65954C2B-B786-4B5A-8236-A06465AF8E9C}" name="Northern Gulf St Lawrence 1985 [116]" dataDxfId="13"/>
    <tableColumn id="5" xr3:uid="{2826F4B7-8F31-4AF5-AB5D-9E29BB75FF7E}" name="Iceland 1950 [227]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76C53-A22A-48BA-8356-F27A54007F15}" name="טבלה13" displayName="טבלה13" ref="A1:E14" totalsRowShown="0" headerRowDxfId="11">
  <autoFilter ref="A1:E14" xr:uid="{6BA76C53-A22A-48BA-8356-F27A54007F15}"/>
  <tableColumns count="5">
    <tableColumn id="1" xr3:uid="{5B3B6159-014B-4305-9649-E8ABBC0855A0}" name="עמודה1" dataDxfId="10"/>
    <tableColumn id="2" xr3:uid="{625D7750-90C5-402E-9854-DEEE31E4334D}" name="Danajon Bank 2010 [711]" dataDxfId="0">
      <calculatedColumnFormula>data!B2 / data!B$5</calculatedColumnFormula>
    </tableColumn>
    <tableColumn id="3" xr3:uid="{4B0A8FE3-36ED-46F1-81C4-95098A1A6388}" name="Guinea 2004 [725]" dataDxfId="9">
      <calculatedColumnFormula>data!C2 / data!C$5</calculatedColumnFormula>
    </tableColumn>
    <tableColumn id="4" xr3:uid="{293E88F5-5A47-4D74-8A79-6C7E2918B9D0}" name="Northern Gulf St Lawrence 1985 [116]" dataDxfId="8">
      <calculatedColumnFormula>data!D2 / data!D$5</calculatedColumnFormula>
    </tableColumn>
    <tableColumn id="5" xr3:uid="{CAE61B7A-DA9A-4190-AC4A-BDBF1115D887}" name="Iceland 1950 [227]" dataDxfId="7">
      <calculatedColumnFormula>data!E2 / data!E$5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377B23-3B27-4A36-877D-7A124E8AFB65}" name="טבלה14" displayName="טבלה14" ref="A1:E14" totalsRowShown="0" headerRowDxfId="6">
  <autoFilter ref="A1:E14" xr:uid="{25377B23-3B27-4A36-877D-7A124E8AFB65}"/>
  <tableColumns count="5">
    <tableColumn id="1" xr3:uid="{52C22582-AB3B-4C44-806A-1C5EDCC05057}" name="עמודה1" dataDxfId="5"/>
    <tableColumn id="2" xr3:uid="{63A00E3C-B234-4EAC-B8F0-1660DE5A14C1}" name="Danajon Bank 2010 [711]" dataDxfId="4">
      <calculatedColumnFormula>data!B2/data!B$8</calculatedColumnFormula>
    </tableColumn>
    <tableColumn id="3" xr3:uid="{CF889219-06EA-48E4-9930-6491752D10D5}" name="Guinea 2004 [725]" dataDxfId="3">
      <calculatedColumnFormula>data!C2/data!C$8</calculatedColumnFormula>
    </tableColumn>
    <tableColumn id="4" xr3:uid="{C1FF8B59-80FC-404A-8842-5C4B96D20E6C}" name="Northern Gulf St Lawrence 1985 [116]" dataDxfId="2">
      <calculatedColumnFormula>data!D2/data!D$8</calculatedColumnFormula>
    </tableColumn>
    <tableColumn id="5" xr3:uid="{05E3ABEF-FFA5-43D1-A77B-4C13FADE2296}" name="Iceland 1950 [227]" dataDxfId="1">
      <calculatedColumnFormula>data!E2/data!E$8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rightToLeft="1" topLeftCell="A13" workbookViewId="0">
      <selection activeCell="E25" sqref="E25"/>
    </sheetView>
  </sheetViews>
  <sheetFormatPr defaultRowHeight="14" x14ac:dyDescent="0.3"/>
  <cols>
    <col min="1" max="1" width="35.75" customWidth="1"/>
    <col min="2" max="2" width="16.33203125" customWidth="1"/>
    <col min="3" max="3" width="15.83203125" customWidth="1"/>
    <col min="4" max="4" width="14.9140625" customWidth="1"/>
    <col min="5" max="5" width="16.5" customWidth="1"/>
    <col min="7" max="7" width="37.6640625" customWidth="1"/>
  </cols>
  <sheetData>
    <row r="1" spans="1:8" x14ac:dyDescent="0.3">
      <c r="A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A2" s="1" t="s">
        <v>4</v>
      </c>
      <c r="B2" s="5">
        <v>728.48398861400597</v>
      </c>
      <c r="C2" s="5">
        <v>374.09310944956002</v>
      </c>
      <c r="D2" s="5">
        <v>512.88870101590624</v>
      </c>
      <c r="E2" s="5">
        <v>449.73135565338202</v>
      </c>
    </row>
    <row r="3" spans="1:8" x14ac:dyDescent="0.3">
      <c r="A3" s="4" t="s">
        <v>5</v>
      </c>
      <c r="B3" s="6">
        <v>1293.8365230959021</v>
      </c>
      <c r="C3" s="6">
        <v>725.6819698204954</v>
      </c>
      <c r="D3" s="6">
        <v>979.75599243614954</v>
      </c>
      <c r="E3" s="6">
        <v>526.45496611168267</v>
      </c>
    </row>
    <row r="4" spans="1:8" x14ac:dyDescent="0.3">
      <c r="A4" s="1" t="s">
        <v>6</v>
      </c>
      <c r="B4" s="5">
        <v>2007.641558195653</v>
      </c>
      <c r="C4" s="5">
        <v>1047.716902865476</v>
      </c>
      <c r="D4" s="5">
        <v>1412.2418914920529</v>
      </c>
      <c r="E4" s="5">
        <v>848.4148856221758</v>
      </c>
    </row>
    <row r="5" spans="1:8" x14ac:dyDescent="0.3">
      <c r="A5" s="1" t="s">
        <v>7</v>
      </c>
      <c r="B5" s="5">
        <v>317.52445032624792</v>
      </c>
      <c r="C5" s="5">
        <v>225.41386014821759</v>
      </c>
      <c r="D5" s="5">
        <v>233.17890117115039</v>
      </c>
      <c r="E5" s="5">
        <v>116.9248330804309</v>
      </c>
    </row>
    <row r="6" spans="1:8" x14ac:dyDescent="0.3">
      <c r="A6" s="1" t="s">
        <v>8</v>
      </c>
      <c r="B6" s="5">
        <v>398.48527042306591</v>
      </c>
      <c r="C6" s="5">
        <v>291.80907897987618</v>
      </c>
      <c r="D6" s="5">
        <v>288.48871181949193</v>
      </c>
      <c r="E6" s="5">
        <v>153.34402862173499</v>
      </c>
    </row>
    <row r="7" spans="1:8" x14ac:dyDescent="0.3">
      <c r="A7" s="1" t="s">
        <v>9</v>
      </c>
      <c r="B7" s="5">
        <v>624.91472839121832</v>
      </c>
      <c r="C7" s="5">
        <v>749.82826699108341</v>
      </c>
      <c r="D7" s="5">
        <v>440.65763023510971</v>
      </c>
      <c r="E7" s="5">
        <v>186.4880541881073</v>
      </c>
    </row>
    <row r="8" spans="1:8" x14ac:dyDescent="0.3">
      <c r="A8" s="4" t="s">
        <v>10</v>
      </c>
      <c r="B8" s="6">
        <v>625.23375974213593</v>
      </c>
      <c r="C8" s="6">
        <v>2104.3000849469558</v>
      </c>
      <c r="D8" s="6">
        <v>1135.7618659230909</v>
      </c>
      <c r="E8" s="6">
        <v>520.51412038323042</v>
      </c>
    </row>
    <row r="9" spans="1:8" x14ac:dyDescent="0.3">
      <c r="A9" s="4" t="s">
        <v>11</v>
      </c>
      <c r="B9" s="6">
        <v>1062.0061445939989</v>
      </c>
      <c r="C9" s="6">
        <v>5293.4505402116283</v>
      </c>
      <c r="D9" s="6">
        <v>1280.427900193057</v>
      </c>
      <c r="E9" s="6">
        <v>797.28980317295566</v>
      </c>
    </row>
    <row r="10" spans="1:8" x14ac:dyDescent="0.3">
      <c r="A10" s="1" t="s">
        <v>12</v>
      </c>
      <c r="B10" s="5">
        <v>1317.6993163791039</v>
      </c>
      <c r="C10" s="5">
        <v>7126.3154426061847</v>
      </c>
      <c r="D10" s="5">
        <v>1933.3727066429381</v>
      </c>
      <c r="E10" s="5">
        <v>802.45241643079896</v>
      </c>
    </row>
    <row r="11" spans="1:8" x14ac:dyDescent="0.3">
      <c r="A11" s="1" t="s">
        <v>13</v>
      </c>
      <c r="B11" s="5">
        <v>1317.427385669416</v>
      </c>
      <c r="C11" s="5">
        <v>7808.1992859935308</v>
      </c>
      <c r="D11" s="5">
        <v>1933.2616727773941</v>
      </c>
      <c r="E11" s="5">
        <v>802.45232755543327</v>
      </c>
    </row>
    <row r="12" spans="1:8" x14ac:dyDescent="0.3">
      <c r="A12" s="1" t="s">
        <v>14</v>
      </c>
      <c r="B12" s="5">
        <v>973.99660812217849</v>
      </c>
      <c r="C12" s="5">
        <v>5513.4253381551571</v>
      </c>
      <c r="D12" s="5">
        <v>1267.3341462901069</v>
      </c>
      <c r="E12" s="5">
        <v>529.69574037057907</v>
      </c>
    </row>
    <row r="13" spans="1:8" x14ac:dyDescent="0.3">
      <c r="A13" s="4" t="s">
        <v>15</v>
      </c>
      <c r="B13" s="6">
        <v>1437.25832614521</v>
      </c>
      <c r="C13" s="6">
        <v>9021.6367228491108</v>
      </c>
      <c r="D13" s="6">
        <v>2186.9497111410601</v>
      </c>
      <c r="E13" s="6">
        <v>854.22947497144094</v>
      </c>
    </row>
    <row r="14" spans="1:8" x14ac:dyDescent="0.3">
      <c r="A14" s="4" t="s">
        <v>16</v>
      </c>
      <c r="B14" s="6">
        <v>1044.923419251895</v>
      </c>
      <c r="C14" s="6">
        <v>6386.0515615069544</v>
      </c>
      <c r="D14" s="6">
        <v>1458.896052012135</v>
      </c>
      <c r="E14" s="6">
        <v>561.77298563197394</v>
      </c>
    </row>
    <row r="15" spans="1:8" ht="14.5" thickBot="1" x14ac:dyDescent="0.35"/>
    <row r="16" spans="1:8" ht="14.5" thickBot="1" x14ac:dyDescent="0.35">
      <c r="A16" s="28" t="s">
        <v>30</v>
      </c>
      <c r="B16" s="29" t="s">
        <v>18</v>
      </c>
      <c r="C16" s="30"/>
      <c r="D16" s="30"/>
      <c r="E16" s="30"/>
      <c r="F16" s="30"/>
      <c r="G16" s="31"/>
      <c r="H16" s="2"/>
    </row>
    <row r="17" spans="1:8" ht="21.5" thickBot="1" x14ac:dyDescent="0.35">
      <c r="A17" s="25" t="s">
        <v>7</v>
      </c>
      <c r="B17" s="20" t="s">
        <v>0</v>
      </c>
      <c r="C17" s="19" t="s">
        <v>1</v>
      </c>
      <c r="D17" s="19" t="s">
        <v>2</v>
      </c>
      <c r="E17" s="19" t="s">
        <v>3</v>
      </c>
      <c r="F17" s="13" t="s">
        <v>20</v>
      </c>
      <c r="G17" s="14" t="s">
        <v>21</v>
      </c>
      <c r="H17" s="2"/>
    </row>
    <row r="18" spans="1:8" x14ac:dyDescent="0.3">
      <c r="A18" s="26" t="s">
        <v>9</v>
      </c>
      <c r="B18" s="21">
        <f>INDEX(טבלה1[Danajon Bank 2010 '[711']], MATCH($A18, $A$2:$A$14, 0)) / INDEX(טבלה1[Danajon Bank 2010 '[711']], MATCH($A17, $A$2:$A$14, 0))</f>
        <v>1.9680838050396909</v>
      </c>
      <c r="C18" s="15">
        <f>INDEX(טבלה1[Guinea 2004 '[725']], MATCH($A18, $A$2:$A$14, 0)) / INDEX(טבלה1[Guinea 2004 '[725']], MATCH($A17, $A$2:$A$14, 0))</f>
        <v>3.3264514724074412</v>
      </c>
      <c r="D18" s="15">
        <f>INDEX(טבלה1[Northern Gulf St Lawrence 1985 '[116']], MATCH($A18, $A$2:$A$14, 0)) / INDEX(טבלה1[Northern Gulf St Lawrence 1985 '[116']], MATCH($A17, $A$2:$A$14, 0))</f>
        <v>1.8897834582026465</v>
      </c>
      <c r="E18" s="15">
        <f>INDEX(טבלה1[Iceland 1950 '[227']], MATCH($A18, $A$2:$A$14, 0)) / INDEX(טבלה1[Iceland 1950 '[227']], MATCH($A17, $A$2:$A$14, 0))</f>
        <v>1.5949396657237462</v>
      </c>
      <c r="F18" s="15">
        <f>AVERAGE(B18:E18)</f>
        <v>2.1948146003433813</v>
      </c>
      <c r="G18" s="16" t="s">
        <v>19</v>
      </c>
      <c r="H18" s="2"/>
    </row>
    <row r="19" spans="1:8" x14ac:dyDescent="0.3">
      <c r="A19" s="26" t="s">
        <v>10</v>
      </c>
      <c r="B19" s="22">
        <f>INDEX(טבלה1[Danajon Bank 2010 '[711']], MATCH($A19, $A$2:$A$14, 0)) / INDEX(טבלה1[Danajon Bank 2010 '[711']], MATCH($A18, $A$2:$A$14, 0))</f>
        <v>1.0005105198140216</v>
      </c>
      <c r="C19" s="8">
        <f>INDEX(טבלה1[Guinea 2004 '[725']], MATCH($A19, $A$2:$A$14, 0)) / INDEX(טבלה1[Guinea 2004 '[725']], MATCH($A18, $A$2:$A$14, 0))</f>
        <v>2.8063760431319924</v>
      </c>
      <c r="D19" s="8">
        <f>INDEX(טבלה1[Northern Gulf St Lawrence 1985 '[116']], MATCH($A19, $A$2:$A$14, 0)) / INDEX(טבלה1[Northern Gulf St Lawrence 1985 '[116']], MATCH($A18, $A$2:$A$14, 0))</f>
        <v>2.5774247125077885</v>
      </c>
      <c r="E19" s="8">
        <f>INDEX(טבלה1[Iceland 1950 '[227']], MATCH($A19, $A$2:$A$14, 0)) / INDEX(טבלה1[Iceland 1950 '[227']], MATCH($A18, $A$2:$A$14, 0))</f>
        <v>2.7911392107625121</v>
      </c>
      <c r="F19" s="8">
        <f t="shared" ref="F19:F21" si="0">AVERAGE(B19:E19)</f>
        <v>2.2938626215540787</v>
      </c>
      <c r="G19" s="10" t="s">
        <v>24</v>
      </c>
      <c r="H19" s="2"/>
    </row>
    <row r="20" spans="1:8" x14ac:dyDescent="0.3">
      <c r="A20" s="26" t="s">
        <v>12</v>
      </c>
      <c r="B20" s="22">
        <f>INDEX(טבלה1[Danajon Bank 2010 '[711']], MATCH($A20, $A$2:$A$14, 0)) / INDEX(טבלה1[Danajon Bank 2010 '[711']], MATCH($A19, $A$2:$A$14, 0))</f>
        <v>2.1075306568899292</v>
      </c>
      <c r="C20" s="8">
        <f>INDEX(טבלה1[Guinea 2004 '[725']], MATCH($A20, $A$2:$A$14, 0)) / INDEX(טבלה1[Guinea 2004 '[725']], MATCH($A19, $A$2:$A$14, 0))</f>
        <v>3.3865490447793341</v>
      </c>
      <c r="D20" s="8">
        <f>INDEX(טבלה1[Northern Gulf St Lawrence 1985 '[116']], MATCH($A20, $A$2:$A$14, 0)) / INDEX(טבלה1[Northern Gulf St Lawrence 1985 '[116']], MATCH($A19, $A$2:$A$14, 0))</f>
        <v>1.7022694322208014</v>
      </c>
      <c r="E20" s="8">
        <f>INDEX(טבלה1[Iceland 1950 '[227']], MATCH($A20, $A$2:$A$14, 0)) / INDEX(טבלה1[Iceland 1950 '[227']], MATCH($A19, $A$2:$A$14, 0))</f>
        <v>1.541653501810845</v>
      </c>
      <c r="F20" s="8">
        <f t="shared" si="0"/>
        <v>2.1845006589252276</v>
      </c>
      <c r="G20" s="10" t="s">
        <v>26</v>
      </c>
      <c r="H20" s="2"/>
    </row>
    <row r="21" spans="1:8" x14ac:dyDescent="0.3">
      <c r="A21" s="26" t="s">
        <v>13</v>
      </c>
      <c r="B21" s="22">
        <f>INDEX(טבלה1[Danajon Bank 2010 '[711']], MATCH($A21, $A$2:$A$14, 0)) / INDEX(טבלה1[Danajon Bank 2010 '[711']], MATCH($A20, $A$2:$A$14, 0))</f>
        <v>0.99979363219946482</v>
      </c>
      <c r="C21" s="8">
        <f>INDEX(טבלה1[Guinea 2004 '[725']], MATCH($A21, $A$2:$A$14, 0)) / INDEX(טבלה1[Guinea 2004 '[725']], MATCH($A20, $A$2:$A$14, 0))</f>
        <v>1.0956853298003846</v>
      </c>
      <c r="D21" s="8">
        <f>INDEX(טבלה1[Northern Gulf St Lawrence 1985 '[116']], MATCH($A21, $A$2:$A$14, 0)) / INDEX(טבלה1[Northern Gulf St Lawrence 1985 '[116']], MATCH($A20, $A$2:$A$14, 0))</f>
        <v>0.99994256985982966</v>
      </c>
      <c r="E21" s="8">
        <f>INDEX(טבלה1[Iceland 1950 '[227']], MATCH($A21, $A$2:$A$14, 0)) / INDEX(טבלה1[Iceland 1950 '[227']], MATCH($A20, $A$2:$A$14, 0))</f>
        <v>0.99999988924531369</v>
      </c>
      <c r="F21" s="8">
        <f t="shared" si="0"/>
        <v>1.0238553552762482</v>
      </c>
      <c r="G21" s="10" t="s">
        <v>22</v>
      </c>
      <c r="H21" s="2"/>
    </row>
    <row r="22" spans="1:8" x14ac:dyDescent="0.3">
      <c r="A22" s="26" t="s">
        <v>15</v>
      </c>
      <c r="B22" s="22">
        <f>INDEX(טבלה1[Danajon Bank 2010 '[711']], MATCH($A22, $A$2:$A$14, 0)) / INDEX(טבלה1[Danajon Bank 2010 '[711']], MATCH($A21, $A$2:$A$14, 0))</f>
        <v>1.0909582886914904</v>
      </c>
      <c r="C22" s="8">
        <f>INDEX(טבלה1[Guinea 2004 '[725']], MATCH($A22, $A$2:$A$14, 0)) / INDEX(טבלה1[Guinea 2004 '[725']], MATCH($A21, $A$2:$A$14, 0))</f>
        <v>1.1554055413304145</v>
      </c>
      <c r="D22" s="8">
        <f>INDEX(טבלה1[Northern Gulf St Lawrence 1985 '[116']], MATCH($A22, $A$2:$A$14, 0)) / INDEX(טבלה1[Northern Gulf St Lawrence 1985 '[116']], MATCH($A21, $A$2:$A$14, 0))</f>
        <v>1.1312228147569949</v>
      </c>
      <c r="E22" s="8">
        <f>INDEX(טבלה1[Iceland 1950 '[227']], MATCH($A22, $A$2:$A$14, 0)) / INDEX(טבלה1[Iceland 1950 '[227']], MATCH($A21, $A$2:$A$14, 0))</f>
        <v>1.0645236428857277</v>
      </c>
      <c r="F22" s="8">
        <f t="shared" ref="F22:F23" si="1">AVERAGE(B22:E22)</f>
        <v>1.1105275719161569</v>
      </c>
      <c r="G22" s="10" t="s">
        <v>25</v>
      </c>
      <c r="H22" s="2"/>
    </row>
    <row r="23" spans="1:8" x14ac:dyDescent="0.3">
      <c r="A23" s="26" t="s">
        <v>16</v>
      </c>
      <c r="B23" s="22">
        <f>INDEX(טבלה1[Danajon Bank 2010 '[711']], MATCH($A23, $A$2:$A$14, 0)) / INDEX(טבלה1[Danajon Bank 2010 '[711']], MATCH($A22, $A$2:$A$14, 0))</f>
        <v>0.72702547638351522</v>
      </c>
      <c r="C23" s="8">
        <f>INDEX(טבלה1[Guinea 2004 '[725']], MATCH($A23, $A$2:$A$14, 0)) / INDEX(טבלה1[Guinea 2004 '[725']], MATCH($A22, $A$2:$A$14, 0))</f>
        <v>0.70785953344064423</v>
      </c>
      <c r="D23" s="8">
        <f>INDEX(טבלה1[Northern Gulf St Lawrence 1985 '[116']], MATCH($A23, $A$2:$A$14, 0)) / INDEX(טבלה1[Northern Gulf St Lawrence 1985 '[116']], MATCH($A22, $A$2:$A$14, 0))</f>
        <v>0.66709172349964241</v>
      </c>
      <c r="E23" s="8">
        <f>INDEX(טבלה1[Iceland 1950 '[227']], MATCH($A23, $A$2:$A$14, 0)) / INDEX(טבלה1[Iceland 1950 '[227']], MATCH($A22, $A$2:$A$14, 0))</f>
        <v>0.65763708943753718</v>
      </c>
      <c r="F23" s="8">
        <f t="shared" si="1"/>
        <v>0.68990345569033473</v>
      </c>
      <c r="G23" s="10" t="s">
        <v>31</v>
      </c>
      <c r="H23" s="2"/>
    </row>
    <row r="24" spans="1:8" x14ac:dyDescent="0.3">
      <c r="A24" s="26"/>
      <c r="B24" s="23"/>
      <c r="C24" s="9"/>
      <c r="D24" s="9"/>
      <c r="E24" s="9"/>
      <c r="F24" s="9" t="s">
        <v>22</v>
      </c>
      <c r="G24" s="10" t="s">
        <v>27</v>
      </c>
      <c r="H24" s="2"/>
    </row>
    <row r="25" spans="1:8" x14ac:dyDescent="0.3">
      <c r="A25" s="26"/>
      <c r="B25" s="23"/>
      <c r="C25" s="9"/>
      <c r="D25" s="9"/>
      <c r="E25" s="9"/>
      <c r="F25" s="9" t="s">
        <v>22</v>
      </c>
      <c r="G25" s="10" t="s">
        <v>28</v>
      </c>
      <c r="H25" s="2"/>
    </row>
    <row r="26" spans="1:8" x14ac:dyDescent="0.3">
      <c r="A26" s="26"/>
      <c r="B26" s="23"/>
      <c r="C26" s="9"/>
      <c r="D26" s="9"/>
      <c r="E26" s="9"/>
      <c r="F26" s="9" t="s">
        <v>22</v>
      </c>
      <c r="G26" s="10" t="s">
        <v>29</v>
      </c>
      <c r="H26" s="2"/>
    </row>
    <row r="27" spans="1:8" ht="14.5" thickBot="1" x14ac:dyDescent="0.35">
      <c r="A27" s="27"/>
      <c r="B27" s="23"/>
      <c r="C27" s="9"/>
      <c r="D27" s="9"/>
      <c r="E27" s="9"/>
      <c r="F27" s="9"/>
      <c r="G27" s="11"/>
      <c r="H27" s="2"/>
    </row>
    <row r="28" spans="1:8" ht="14.5" thickBot="1" x14ac:dyDescent="0.35">
      <c r="A28" s="24" t="s">
        <v>23</v>
      </c>
      <c r="B28" s="17">
        <f>PRODUCT(B18:B27)</f>
        <v>3.2908439591920069</v>
      </c>
      <c r="C28" s="18">
        <f>PRODUCT(C18:C27)</f>
        <v>28.330341165835591</v>
      </c>
      <c r="D28" s="18">
        <f>PRODUCT(D18:D27)</f>
        <v>6.2565525640817894</v>
      </c>
      <c r="E28" s="18">
        <f>PRODUCT(E18:E27)</f>
        <v>4.8045652136662742</v>
      </c>
      <c r="F28" s="18">
        <f t="shared" ref="F28" si="2">AVERAGE(B28:E28)</f>
        <v>10.670575725693915</v>
      </c>
      <c r="G28" s="12"/>
      <c r="H28" s="2"/>
    </row>
  </sheetData>
  <mergeCells count="1">
    <mergeCell ref="B16:G16"/>
  </mergeCells>
  <dataValidations count="1">
    <dataValidation type="list" allowBlank="1" showInputMessage="1" showErrorMessage="1" sqref="A17:A24" xr:uid="{81095FB8-1F6B-4AB5-B080-9AAA26620547}">
      <formula1>$A$2:$A$14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5045-4941-4851-9C99-A2DB958A5CF3}">
  <dimension ref="A1:E14"/>
  <sheetViews>
    <sheetView rightToLeft="1" tabSelected="1" workbookViewId="0">
      <selection activeCell="C16" sqref="C16"/>
    </sheetView>
  </sheetViews>
  <sheetFormatPr defaultRowHeight="14" x14ac:dyDescent="0.3"/>
  <cols>
    <col min="1" max="1" width="39.25" customWidth="1"/>
    <col min="2" max="2" width="15.6640625" customWidth="1"/>
    <col min="3" max="3" width="21.25" customWidth="1"/>
    <col min="4" max="4" width="15.6640625" customWidth="1"/>
    <col min="5" max="5" width="17.08203125" customWidth="1"/>
  </cols>
  <sheetData>
    <row r="1" spans="1:5" ht="42" x14ac:dyDescent="0.3">
      <c r="A1" t="s">
        <v>17</v>
      </c>
      <c r="B1" s="7" t="s">
        <v>0</v>
      </c>
      <c r="C1" s="7" t="s">
        <v>1</v>
      </c>
      <c r="D1" s="7" t="s">
        <v>2</v>
      </c>
      <c r="E1" s="7" t="s">
        <v>3</v>
      </c>
    </row>
    <row r="2" spans="1:5" x14ac:dyDescent="0.3">
      <c r="A2" s="1" t="s">
        <v>4</v>
      </c>
      <c r="B2" s="3">
        <f>data!B2 / data!B$5</f>
        <v>2.2942610808884418</v>
      </c>
      <c r="C2" s="3">
        <f>data!C2 / data!C$5</f>
        <v>1.6595834400048894</v>
      </c>
      <c r="D2" s="3">
        <f>data!D2 / data!D$5</f>
        <v>2.1995502099027919</v>
      </c>
      <c r="E2" s="3">
        <f>data!E2 / data!E$5</f>
        <v>3.8463288234417949</v>
      </c>
    </row>
    <row r="3" spans="1:5" x14ac:dyDescent="0.3">
      <c r="A3" s="1" t="s">
        <v>5</v>
      </c>
      <c r="B3" s="5">
        <f>data!B3 / data!B$5</f>
        <v>4.0747618703583912</v>
      </c>
      <c r="C3" s="5">
        <f>data!C3 / data!C$5</f>
        <v>3.2193316300219244</v>
      </c>
      <c r="D3" s="5">
        <f>data!D3 / data!D$5</f>
        <v>4.2017351806500747</v>
      </c>
      <c r="E3" s="5">
        <f>data!E3 / data!E$5</f>
        <v>4.5025077414439574</v>
      </c>
    </row>
    <row r="4" spans="1:5" x14ac:dyDescent="0.3">
      <c r="A4" s="1" t="s">
        <v>6</v>
      </c>
      <c r="B4" s="3">
        <f>data!B4 / data!B$5</f>
        <v>6.3227935868650578</v>
      </c>
      <c r="C4" s="3">
        <f>data!C4 / data!C$5</f>
        <v>4.6479701921459711</v>
      </c>
      <c r="D4" s="3">
        <f>data!D4 / data!D$5</f>
        <v>6.0564737392577603</v>
      </c>
      <c r="E4" s="3">
        <f>data!E4 / data!E$5</f>
        <v>7.256070958327248</v>
      </c>
    </row>
    <row r="5" spans="1:5" x14ac:dyDescent="0.3">
      <c r="A5" s="1" t="s">
        <v>7</v>
      </c>
      <c r="B5" s="3">
        <f>data!B5 / data!B$5</f>
        <v>1</v>
      </c>
      <c r="C5" s="3">
        <f>data!C5 / data!C$5</f>
        <v>1</v>
      </c>
      <c r="D5" s="3">
        <f>data!D5 / data!D$5</f>
        <v>1</v>
      </c>
      <c r="E5" s="3">
        <f>data!E5 / data!E$5</f>
        <v>1</v>
      </c>
    </row>
    <row r="6" spans="1:5" x14ac:dyDescent="0.3">
      <c r="A6" s="1" t="s">
        <v>8</v>
      </c>
      <c r="B6" s="3">
        <f>data!B6 / data!B$5</f>
        <v>1.2549750736160095</v>
      </c>
      <c r="C6" s="3">
        <f>data!C6 / data!C$5</f>
        <v>1.2945480760943509</v>
      </c>
      <c r="D6" s="3">
        <f>data!D6 / data!D$5</f>
        <v>1.2371990363216645</v>
      </c>
      <c r="E6" s="3">
        <f>data!E6 / data!E$5</f>
        <v>1.3114752835802799</v>
      </c>
    </row>
    <row r="7" spans="1:5" x14ac:dyDescent="0.3">
      <c r="A7" s="1" t="s">
        <v>9</v>
      </c>
      <c r="B7" s="3">
        <f>data!B7 / data!B$5</f>
        <v>1.9680838050396909</v>
      </c>
      <c r="C7" s="3">
        <f>data!C7 / data!C$5</f>
        <v>3.3264514724074412</v>
      </c>
      <c r="D7" s="3">
        <f>data!D7 / data!D$5</f>
        <v>1.8897834582026465</v>
      </c>
      <c r="E7" s="3">
        <f>data!E7 / data!E$5</f>
        <v>1.5949396657237462</v>
      </c>
    </row>
    <row r="8" spans="1:5" x14ac:dyDescent="0.3">
      <c r="A8" s="1" t="s">
        <v>10</v>
      </c>
      <c r="B8" s="3">
        <f>data!B8 / data!B$5</f>
        <v>1.9690885508178186</v>
      </c>
      <c r="C8" s="3">
        <f>data!C8 / data!C$5</f>
        <v>9.3352737208053842</v>
      </c>
      <c r="D8" s="3">
        <f>data!D8 / data!D$5</f>
        <v>4.8707745864599303</v>
      </c>
      <c r="E8" s="3">
        <f>data!E8 / data!E$5</f>
        <v>4.4516986398020029</v>
      </c>
    </row>
    <row r="9" spans="1:5" x14ac:dyDescent="0.3">
      <c r="A9" s="1" t="s">
        <v>11</v>
      </c>
      <c r="B9" s="3">
        <f>data!B9 / data!B$5</f>
        <v>3.3446436754801585</v>
      </c>
      <c r="C9" s="3">
        <f>data!C9 / data!C$5</f>
        <v>23.483252257563031</v>
      </c>
      <c r="D9" s="3">
        <f>data!D9 / data!D$5</f>
        <v>5.4911824944798031</v>
      </c>
      <c r="E9" s="3">
        <f>data!E9 / data!E$5</f>
        <v>6.818823531050171</v>
      </c>
    </row>
    <row r="10" spans="1:5" x14ac:dyDescent="0.3">
      <c r="A10" s="1" t="s">
        <v>12</v>
      </c>
      <c r="B10" s="3">
        <f>data!B10 / data!B$5</f>
        <v>4.1499144869795161</v>
      </c>
      <c r="C10" s="3">
        <f>data!C10 / data!C$5</f>
        <v>31.614362301947093</v>
      </c>
      <c r="D10" s="3">
        <f>data!D10 / data!D$5</f>
        <v>8.2913706897686552</v>
      </c>
      <c r="E10" s="3">
        <f>data!E10 / data!E$5</f>
        <v>6.8629767970573328</v>
      </c>
    </row>
    <row r="11" spans="1:5" x14ac:dyDescent="0.3">
      <c r="A11" s="1" t="s">
        <v>13</v>
      </c>
      <c r="B11" s="3">
        <f>data!B11 / data!B$5</f>
        <v>4.1490580782544288</v>
      </c>
      <c r="C11" s="3">
        <f>data!C11 / data!C$5</f>
        <v>34.639392985237748</v>
      </c>
      <c r="D11" s="3">
        <f>data!D11 / data!D$5</f>
        <v>8.2908945151877376</v>
      </c>
      <c r="E11" s="3">
        <f>data!E11 / data!E$5</f>
        <v>6.8629760369504904</v>
      </c>
    </row>
    <row r="12" spans="1:5" x14ac:dyDescent="0.3">
      <c r="A12" s="1" t="s">
        <v>14</v>
      </c>
      <c r="B12" s="3">
        <f>data!B12 / data!B$5</f>
        <v>3.0674696298865265</v>
      </c>
      <c r="C12" s="3">
        <f>data!C12 / data!C$5</f>
        <v>24.459123030544283</v>
      </c>
      <c r="D12" s="3">
        <f>data!D12 / data!D$5</f>
        <v>5.4350292411743526</v>
      </c>
      <c r="E12" s="3">
        <f>data!E12 / data!E$5</f>
        <v>4.530224473411983</v>
      </c>
    </row>
    <row r="13" spans="1:5" x14ac:dyDescent="0.3">
      <c r="A13" s="1" t="s">
        <v>15</v>
      </c>
      <c r="B13" s="3">
        <f>data!B13 / data!B$5</f>
        <v>4.5264493007340549</v>
      </c>
      <c r="C13" s="3">
        <f>data!C13 / data!C$5</f>
        <v>40.022546603465578</v>
      </c>
      <c r="D13" s="3">
        <f>data!D13 / data!D$5</f>
        <v>9.3788490303240017</v>
      </c>
      <c r="E13" s="3">
        <f>data!E13 / data!E$5</f>
        <v>7.3058002518919896</v>
      </c>
    </row>
    <row r="14" spans="1:5" x14ac:dyDescent="0.3">
      <c r="A14" s="1" t="s">
        <v>16</v>
      </c>
      <c r="B14" s="3">
        <f>data!B14 / data!B$5</f>
        <v>3.2908439591920056</v>
      </c>
      <c r="C14" s="3">
        <f>data!C14 / data!C$5</f>
        <v>28.330341165835584</v>
      </c>
      <c r="D14" s="3">
        <f>data!D14 / data!D$5</f>
        <v>6.2565525640817885</v>
      </c>
      <c r="E14" s="3">
        <f>data!E14 / data!E$5</f>
        <v>4.8045652136662742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BEDB-B2CA-46BA-A95D-7C4B31C86BB4}">
  <dimension ref="A1:E14"/>
  <sheetViews>
    <sheetView rightToLeft="1" workbookViewId="0">
      <selection activeCell="I11" sqref="I11"/>
    </sheetView>
  </sheetViews>
  <sheetFormatPr defaultRowHeight="14" x14ac:dyDescent="0.3"/>
  <cols>
    <col min="1" max="1" width="34.1640625" customWidth="1"/>
    <col min="2" max="2" width="20.08203125" customWidth="1"/>
    <col min="3" max="3" width="17.1640625" customWidth="1"/>
    <col min="4" max="4" width="24.08203125" customWidth="1"/>
    <col min="5" max="5" width="20.6640625" customWidth="1"/>
  </cols>
  <sheetData>
    <row r="1" spans="1:5" ht="28" x14ac:dyDescent="0.3">
      <c r="A1" t="s">
        <v>17</v>
      </c>
      <c r="B1" s="7" t="s">
        <v>0</v>
      </c>
      <c r="C1" s="7" t="s">
        <v>1</v>
      </c>
      <c r="D1" s="7" t="s">
        <v>2</v>
      </c>
      <c r="E1" s="7" t="s">
        <v>3</v>
      </c>
    </row>
    <row r="2" spans="1:5" x14ac:dyDescent="0.3">
      <c r="A2" s="1" t="s">
        <v>4</v>
      </c>
      <c r="B2" s="3">
        <f>data!B2/data!B$8</f>
        <v>1.1651386017838405</v>
      </c>
      <c r="C2" s="3">
        <f>data!C2/data!C$8</f>
        <v>0.177775552130432</v>
      </c>
      <c r="D2" s="3">
        <f>data!D2/data!D$8</f>
        <v>0.4515811953230669</v>
      </c>
      <c r="E2" s="3">
        <f>data!E2/data!E$8</f>
        <v>0.86401374725870195</v>
      </c>
    </row>
    <row r="3" spans="1:5" x14ac:dyDescent="0.3">
      <c r="A3" s="1" t="s">
        <v>5</v>
      </c>
      <c r="B3" s="3">
        <f>data!B3/data!B$8</f>
        <v>2.0693644623884624</v>
      </c>
      <c r="C3" s="3">
        <f>data!C3/data!C$8</f>
        <v>0.34485669368719718</v>
      </c>
      <c r="D3" s="3">
        <f>data!D3/data!D$8</f>
        <v>0.86264209235432687</v>
      </c>
      <c r="E3" s="3">
        <f>data!E3/data!E$8</f>
        <v>1.0114134189560089</v>
      </c>
    </row>
    <row r="4" spans="1:5" x14ac:dyDescent="0.3">
      <c r="A4" s="1" t="s">
        <v>6</v>
      </c>
      <c r="B4" s="3">
        <f>data!B4/data!B$8</f>
        <v>3.21102551951715</v>
      </c>
      <c r="C4" s="3">
        <f>data!C4/data!C$8</f>
        <v>0.49789329495364548</v>
      </c>
      <c r="D4" s="3">
        <f>data!D4/data!D$8</f>
        <v>1.2434313335077971</v>
      </c>
      <c r="E4" s="3">
        <f>data!E4/data!E$8</f>
        <v>1.6299555620076689</v>
      </c>
    </row>
    <row r="5" spans="1:5" x14ac:dyDescent="0.3">
      <c r="A5" s="1" t="s">
        <v>7</v>
      </c>
      <c r="B5" s="3">
        <f>data!B5/data!B$8</f>
        <v>0.50784917701373633</v>
      </c>
      <c r="C5" s="3">
        <f>data!C5/data!C$8</f>
        <v>0.10712058691662302</v>
      </c>
      <c r="D5" s="3">
        <f>data!D5/data!D$8</f>
        <v>0.20530615454467133</v>
      </c>
      <c r="E5" s="3">
        <f>data!E5/data!E$8</f>
        <v>0.22463335479610921</v>
      </c>
    </row>
    <row r="6" spans="1:5" x14ac:dyDescent="0.3">
      <c r="A6" s="1" t="s">
        <v>8</v>
      </c>
      <c r="B6" s="3">
        <f>data!B6/data!B$8</f>
        <v>0.63733805830864365</v>
      </c>
      <c r="C6" s="3">
        <f>data!C6/data!C$8</f>
        <v>0.13867274970301205</v>
      </c>
      <c r="D6" s="3">
        <f>data!D6/data!D$8</f>
        <v>0.25400457655357411</v>
      </c>
      <c r="E6" s="3">
        <f>data!E6/data!E$8</f>
        <v>0.29460109268281692</v>
      </c>
    </row>
    <row r="7" spans="1:5" x14ac:dyDescent="0.3">
      <c r="A7" s="1" t="s">
        <v>9</v>
      </c>
      <c r="B7" s="3">
        <f>data!B7/data!B$8</f>
        <v>0.99948974068346985</v>
      </c>
      <c r="C7" s="3">
        <f>data!C7/data!C$8</f>
        <v>0.3563314340739499</v>
      </c>
      <c r="D7" s="3">
        <f>data!D7/data!D$8</f>
        <v>0.387984174725716</v>
      </c>
      <c r="E7" s="3">
        <f>data!E7/data!E$8</f>
        <v>0.35827664780891016</v>
      </c>
    </row>
    <row r="8" spans="1:5" x14ac:dyDescent="0.3">
      <c r="A8" s="1" t="s">
        <v>10</v>
      </c>
      <c r="B8" s="5">
        <f>data!B8/data!B$8</f>
        <v>1</v>
      </c>
      <c r="C8" s="5">
        <f>data!C8/data!C$8</f>
        <v>1</v>
      </c>
      <c r="D8" s="5">
        <f>data!D8/data!D$8</f>
        <v>1</v>
      </c>
      <c r="E8" s="5">
        <f>data!E8/data!E$8</f>
        <v>1</v>
      </c>
    </row>
    <row r="9" spans="1:5" x14ac:dyDescent="0.3">
      <c r="A9" s="1" t="s">
        <v>11</v>
      </c>
      <c r="B9" s="3">
        <f>data!B9/data!B$8</f>
        <v>1.6985745379967969</v>
      </c>
      <c r="C9" s="3">
        <f>data!C9/data!C$8</f>
        <v>2.5155397645412645</v>
      </c>
      <c r="D9" s="3">
        <f>data!D9/data!D$8</f>
        <v>1.1273735618446643</v>
      </c>
      <c r="E9" s="3">
        <f>data!E9/data!E$8</f>
        <v>1.5317352055424514</v>
      </c>
    </row>
    <row r="10" spans="1:5" x14ac:dyDescent="0.3">
      <c r="A10" s="1" t="s">
        <v>12</v>
      </c>
      <c r="B10" s="3">
        <f>data!B10/data!B$8</f>
        <v>2.1075306568899292</v>
      </c>
      <c r="C10" s="3">
        <f>data!C10/data!C$8</f>
        <v>3.3865490447793341</v>
      </c>
      <c r="D10" s="3">
        <f>data!D10/data!D$8</f>
        <v>1.7022694322208014</v>
      </c>
      <c r="E10" s="3">
        <f>data!E10/data!E$8</f>
        <v>1.541653501810845</v>
      </c>
    </row>
    <row r="11" spans="1:5" x14ac:dyDescent="0.3">
      <c r="A11" s="1" t="s">
        <v>13</v>
      </c>
      <c r="B11" s="3">
        <f>data!B11/data!B$8</f>
        <v>2.1070957304237061</v>
      </c>
      <c r="C11" s="3">
        <f>data!C11/data!C$8</f>
        <v>3.7105921070142216</v>
      </c>
      <c r="D11" s="3">
        <f>data!D11/data!D$8</f>
        <v>1.7021716706487013</v>
      </c>
      <c r="E11" s="3">
        <f>data!E11/data!E$8</f>
        <v>1.541653331065495</v>
      </c>
    </row>
    <row r="12" spans="1:5" x14ac:dyDescent="0.3">
      <c r="A12" s="1" t="s">
        <v>14</v>
      </c>
      <c r="B12" s="3">
        <f>data!B12/data!B$8</f>
        <v>1.557811927052503</v>
      </c>
      <c r="C12" s="3">
        <f>data!C12/data!C$8</f>
        <v>2.6200756144977948</v>
      </c>
      <c r="D12" s="3">
        <f>data!D12/data!D$8</f>
        <v>1.1158449533433494</v>
      </c>
      <c r="E12" s="3">
        <f>data!E12/data!E$8</f>
        <v>1.0176395214419709</v>
      </c>
    </row>
    <row r="13" spans="1:5" x14ac:dyDescent="0.3">
      <c r="A13" s="1" t="s">
        <v>15</v>
      </c>
      <c r="B13" s="3">
        <f>data!B13/data!B$8</f>
        <v>2.2987535521721925</v>
      </c>
      <c r="C13" s="3">
        <f>data!C13/data!C$8</f>
        <v>4.2872386820611297</v>
      </c>
      <c r="D13" s="3">
        <f>data!D13/data!D$8</f>
        <v>1.9255354284708404</v>
      </c>
      <c r="E13" s="3">
        <f>data!E13/data!E$8</f>
        <v>1.6411264200527573</v>
      </c>
    </row>
    <row r="14" spans="1:5" x14ac:dyDescent="0.3">
      <c r="A14" s="1" t="s">
        <v>16</v>
      </c>
      <c r="B14" s="3">
        <f>data!B14/data!B$8</f>
        <v>1.671252396356286</v>
      </c>
      <c r="C14" s="3">
        <f>data!C14/data!C$8</f>
        <v>3.0347627732324742</v>
      </c>
      <c r="D14" s="3">
        <f>data!D14/data!D$8</f>
        <v>1.2845087476382355</v>
      </c>
      <c r="E14" s="3">
        <f>data!E14/data!E$8</f>
        <v>1.0792656022825404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data</vt:lpstr>
      <vt:lpstr>1995 ratio</vt:lpstr>
      <vt:lpstr>EwE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Ido Carmel</cp:lastModifiedBy>
  <dcterms:created xsi:type="dcterms:W3CDTF">2026-02-17T16:19:08Z</dcterms:created>
  <dcterms:modified xsi:type="dcterms:W3CDTF">2026-02-17T20:08:45Z</dcterms:modified>
</cp:coreProperties>
</file>