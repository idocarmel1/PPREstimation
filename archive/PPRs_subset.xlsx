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doca\Desktop\אישי\אקדמיה\תואר שני\מחקר\BTN\FishEstimation\ratios\"/>
    </mc:Choice>
  </mc:AlternateContent>
  <xr:revisionPtr revIDLastSave="0" documentId="13_ncr:1_{6C4DC7C2-0513-46E7-BCBC-D427C69384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C20" i="1"/>
  <c r="D20" i="1"/>
  <c r="E20" i="1"/>
  <c r="C21" i="1"/>
  <c r="D21" i="1"/>
  <c r="E21" i="1"/>
  <c r="C22" i="1"/>
  <c r="D22" i="1"/>
  <c r="E22" i="1"/>
  <c r="C23" i="1"/>
  <c r="D23" i="1"/>
  <c r="E23" i="1"/>
  <c r="C24" i="1"/>
  <c r="D24" i="1"/>
  <c r="E24" i="1"/>
  <c r="C25" i="1"/>
  <c r="D25" i="1"/>
  <c r="E25" i="1"/>
  <c r="C26" i="1"/>
  <c r="D26" i="1"/>
  <c r="E26" i="1"/>
  <c r="B22" i="1"/>
  <c r="B21" i="1"/>
  <c r="B23" i="1"/>
  <c r="B24" i="1"/>
  <c r="B25" i="1"/>
  <c r="B26" i="1"/>
  <c r="B20" i="1"/>
  <c r="F25" i="1" l="1"/>
  <c r="C30" i="1"/>
  <c r="F23" i="1"/>
  <c r="E30" i="1"/>
  <c r="F22" i="1"/>
  <c r="F24" i="1"/>
  <c r="F21" i="1"/>
  <c r="B30" i="1"/>
  <c r="F30" i="1" s="1"/>
  <c r="D30" i="1"/>
  <c r="F20" i="1"/>
</calcChain>
</file>

<file path=xl/sharedStrings.xml><?xml version="1.0" encoding="utf-8"?>
<sst xmlns="http://schemas.openxmlformats.org/spreadsheetml/2006/main" count="48" uniqueCount="33">
  <si>
    <t>Danajon Bank 2010 [711]</t>
  </si>
  <si>
    <t>Guinea 2004 [725]</t>
  </si>
  <si>
    <t>Northern Gulf St Lawrence 1985 [116]</t>
  </si>
  <si>
    <t>Iceland 1950 [227]</t>
  </si>
  <si>
    <t>SPPR_1986</t>
  </si>
  <si>
    <t>SPPR_1995_mTL_global_TE_01</t>
  </si>
  <si>
    <t>SPPR_1995_TL2_global_TE_01</t>
  </si>
  <si>
    <t>SPPR_1995_mTL_global_mTE</t>
  </si>
  <si>
    <t>SPPR_1995_TL2_global_mTE</t>
  </si>
  <si>
    <t>SPPR_EwE_global_mTE</t>
  </si>
  <si>
    <t>SPPR_EwE_differential_TE</t>
  </si>
  <si>
    <t>SPPR_2015</t>
  </si>
  <si>
    <t>SPPR_new_2015</t>
  </si>
  <si>
    <t>SPPR_new_basic</t>
  </si>
  <si>
    <t>SPPR_new_improved</t>
  </si>
  <si>
    <t>SPPR_new_improved_balanced</t>
  </si>
  <si>
    <t>SPPR_mc_TE_5_10</t>
  </si>
  <si>
    <t>SPPR_mc_TE_10_20</t>
  </si>
  <si>
    <t>SPPR_mc_TE_20_50</t>
  </si>
  <si>
    <t>עמודה1</t>
  </si>
  <si>
    <t>שיטות חישוב (שורה i+1 היא שיטה i+1 חלקי שיטה i)</t>
  </si>
  <si>
    <t>כלי להשוואת פקטורים</t>
  </si>
  <si>
    <t>ממוצע</t>
  </si>
  <si>
    <t>פקטור</t>
  </si>
  <si>
    <t>ינסן על TL</t>
  </si>
  <si>
    <t>ינסן על TE גלובאלי</t>
  </si>
  <si>
    <t>מעגלים בלי דטריטוס</t>
  </si>
  <si>
    <t>?</t>
  </si>
  <si>
    <t>ינסן על TE של מין</t>
  </si>
  <si>
    <t>ינסן על DC</t>
  </si>
  <si>
    <t>התייחסות למינים במקום Commercial Groups</t>
  </si>
  <si>
    <t>מצטבר</t>
  </si>
  <si>
    <t>תיקון שלי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</si>
</sst>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9"/>
      <color theme="1"/>
      <name val="Arial"/>
      <family val="2"/>
      <scheme val="minor"/>
    </font>
    <font>
      <b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theme="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2" fontId="0" fillId="0" borderId="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2" fontId="2" fillId="0" borderId="14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0" fillId="3" borderId="17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EF568-BCE6-46B8-BC83-8B8F6F161386}" name="טבלה1" displayName="טבלה1" ref="A1:E16" totalsRowShown="0" headerRowDxfId="0">
  <autoFilter ref="A1:E16" xr:uid="{CEAEF568-BCE6-46B8-BC83-8B8F6F161386}"/>
  <tableColumns count="5">
    <tableColumn id="1" xr3:uid="{93C16DBF-771D-4BD6-8AA2-74A16FB75135}" name="עמודה1" dataDxfId="1"/>
    <tableColumn id="2" xr3:uid="{96853817-4237-4F5B-8978-62907A805C7A}" name="Danajon Bank 2010 [711]"/>
    <tableColumn id="3" xr3:uid="{5337D9BC-97F8-4D34-A0B6-8F54D005A46D}" name="Guinea 2004 [725]"/>
    <tableColumn id="4" xr3:uid="{3B0A244F-3AED-4F15-B34B-734BAA71E5FC}" name="Northern Gulf St Lawrence 1985 [116]"/>
    <tableColumn id="5" xr3:uid="{1E9CEB9E-EFBA-4119-BAE5-E01C1C85F244}" name="Iceland 1950 [227]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rightToLeft="1" tabSelected="1" workbookViewId="0">
      <selection activeCell="C9" sqref="C9"/>
    </sheetView>
  </sheetViews>
  <sheetFormatPr defaultRowHeight="14" x14ac:dyDescent="0.3"/>
  <cols>
    <col min="1" max="1" width="30.6640625" customWidth="1"/>
    <col min="2" max="2" width="23.75" customWidth="1"/>
    <col min="3" max="3" width="17.75" customWidth="1"/>
    <col min="4" max="4" width="34.5" customWidth="1"/>
    <col min="5" max="5" width="17.75" customWidth="1"/>
  </cols>
  <sheetData>
    <row r="1" spans="1:5" x14ac:dyDescent="0.3">
      <c r="A1" t="s">
        <v>19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 t="s">
        <v>4</v>
      </c>
      <c r="B2">
        <v>728.48398861400597</v>
      </c>
      <c r="C2">
        <v>374.09310944956002</v>
      </c>
      <c r="D2">
        <v>512.88870101590624</v>
      </c>
      <c r="E2">
        <v>449.73135565338202</v>
      </c>
    </row>
    <row r="3" spans="1:5" x14ac:dyDescent="0.3">
      <c r="A3" s="1" t="s">
        <v>5</v>
      </c>
      <c r="B3">
        <v>1293.8365230959021</v>
      </c>
      <c r="C3">
        <v>725.6819698204954</v>
      </c>
      <c r="D3">
        <v>979.75599243614954</v>
      </c>
      <c r="E3">
        <v>526.45496611168267</v>
      </c>
    </row>
    <row r="4" spans="1:5" x14ac:dyDescent="0.3">
      <c r="A4" s="1" t="s">
        <v>6</v>
      </c>
      <c r="B4">
        <v>2007.641558195653</v>
      </c>
      <c r="C4">
        <v>1047.716902865476</v>
      </c>
      <c r="D4">
        <v>1412.2418914920529</v>
      </c>
      <c r="E4">
        <v>848.4148856221758</v>
      </c>
    </row>
    <row r="5" spans="1:5" x14ac:dyDescent="0.3">
      <c r="A5" s="1" t="s">
        <v>7</v>
      </c>
      <c r="B5">
        <v>317.52445032624792</v>
      </c>
      <c r="C5">
        <v>225.41386014821759</v>
      </c>
      <c r="D5">
        <v>233.17890117115039</v>
      </c>
      <c r="E5">
        <v>116.9248330804309</v>
      </c>
    </row>
    <row r="6" spans="1:5" x14ac:dyDescent="0.3">
      <c r="A6" s="1" t="s">
        <v>8</v>
      </c>
      <c r="B6">
        <v>398.48527042306591</v>
      </c>
      <c r="C6">
        <v>291.80907897987618</v>
      </c>
      <c r="D6">
        <v>288.48871181949193</v>
      </c>
      <c r="E6">
        <v>153.34402862173499</v>
      </c>
    </row>
    <row r="7" spans="1:5" x14ac:dyDescent="0.3">
      <c r="A7" s="1" t="s">
        <v>9</v>
      </c>
      <c r="B7">
        <v>624.91472839121832</v>
      </c>
      <c r="C7">
        <v>749.82826699108341</v>
      </c>
      <c r="D7">
        <v>440.65763023510971</v>
      </c>
      <c r="E7">
        <v>186.4880541881073</v>
      </c>
    </row>
    <row r="8" spans="1:5" x14ac:dyDescent="0.3">
      <c r="A8" s="1" t="s">
        <v>10</v>
      </c>
      <c r="B8">
        <v>625.23375974213593</v>
      </c>
      <c r="C8">
        <v>2104.3000849469558</v>
      </c>
      <c r="D8">
        <v>1135.7618659230909</v>
      </c>
      <c r="E8">
        <v>520.51412038323042</v>
      </c>
    </row>
    <row r="9" spans="1:5" x14ac:dyDescent="0.3">
      <c r="A9" s="21" t="s">
        <v>11</v>
      </c>
      <c r="B9">
        <v>1062.0061445939989</v>
      </c>
      <c r="C9">
        <v>5293.4505402116283</v>
      </c>
      <c r="D9">
        <v>1280.427900193057</v>
      </c>
      <c r="E9">
        <v>797.28980317295566</v>
      </c>
    </row>
    <row r="10" spans="1:5" x14ac:dyDescent="0.3">
      <c r="A10" s="21" t="s">
        <v>12</v>
      </c>
      <c r="B10">
        <v>3670.6449160915909</v>
      </c>
      <c r="C10">
        <v>22541.881937857532</v>
      </c>
      <c r="D10">
        <v>8459.4954331362023</v>
      </c>
      <c r="E10">
        <v>804.75320921567777</v>
      </c>
    </row>
    <row r="11" spans="1:5" x14ac:dyDescent="0.3">
      <c r="A11" s="21" t="s">
        <v>13</v>
      </c>
      <c r="B11">
        <v>28.229400813627791</v>
      </c>
      <c r="C11">
        <v>164.80729301790129</v>
      </c>
      <c r="D11">
        <v>5.7708373511280486</v>
      </c>
      <c r="E11">
        <v>362.56155851132252</v>
      </c>
    </row>
    <row r="12" spans="1:5" x14ac:dyDescent="0.3">
      <c r="A12" s="21" t="s">
        <v>14</v>
      </c>
      <c r="B12">
        <v>535.34620040396908</v>
      </c>
      <c r="C12">
        <v>2438.3417192529678</v>
      </c>
      <c r="D12">
        <v>377.54248766438701</v>
      </c>
      <c r="E12">
        <v>464.08000415656647</v>
      </c>
    </row>
    <row r="13" spans="1:5" x14ac:dyDescent="0.3">
      <c r="A13" s="1" t="s">
        <v>15</v>
      </c>
      <c r="B13">
        <v>425.00330601336628</v>
      </c>
      <c r="C13">
        <v>1391.623061531641</v>
      </c>
      <c r="D13">
        <v>279.52566909083009</v>
      </c>
      <c r="E13">
        <v>376.90915129779052</v>
      </c>
    </row>
    <row r="14" spans="1:5" x14ac:dyDescent="0.3">
      <c r="A14" s="1" t="s">
        <v>16</v>
      </c>
      <c r="B14">
        <v>540.40599007764433</v>
      </c>
      <c r="C14">
        <v>2540.8701521869348</v>
      </c>
      <c r="D14">
        <v>384.01191716862058</v>
      </c>
      <c r="E14">
        <v>474.71502126219832</v>
      </c>
    </row>
    <row r="15" spans="1:5" x14ac:dyDescent="0.3">
      <c r="A15" s="1" t="s">
        <v>17</v>
      </c>
      <c r="B15">
        <v>564.35053966995713</v>
      </c>
      <c r="C15">
        <v>2634.0468975986009</v>
      </c>
      <c r="D15">
        <v>400.10306009683848</v>
      </c>
      <c r="E15">
        <v>494.44531218583228</v>
      </c>
    </row>
    <row r="16" spans="1:5" x14ac:dyDescent="0.3">
      <c r="A16" s="1" t="s">
        <v>18</v>
      </c>
      <c r="B16">
        <v>681.92834263235227</v>
      </c>
      <c r="C16">
        <v>4097.1863698988054</v>
      </c>
      <c r="D16">
        <v>534.63649069096527</v>
      </c>
      <c r="E16">
        <v>615.15323262793993</v>
      </c>
    </row>
    <row r="17" spans="1:7" ht="14.5" thickBot="1" x14ac:dyDescent="0.35"/>
    <row r="18" spans="1:7" ht="24" thickBot="1" x14ac:dyDescent="0.35">
      <c r="A18" s="2" t="s">
        <v>20</v>
      </c>
      <c r="B18" s="3" t="s">
        <v>21</v>
      </c>
      <c r="C18" s="4"/>
      <c r="D18" s="4"/>
      <c r="E18" s="4"/>
      <c r="F18" s="4"/>
      <c r="G18" s="5"/>
    </row>
    <row r="19" spans="1:7" ht="14.5" thickBot="1" x14ac:dyDescent="0.35">
      <c r="A19" s="6" t="s">
        <v>7</v>
      </c>
      <c r="B19" s="7" t="s">
        <v>0</v>
      </c>
      <c r="C19" s="8" t="s">
        <v>1</v>
      </c>
      <c r="D19" s="8" t="s">
        <v>2</v>
      </c>
      <c r="E19" s="8" t="s">
        <v>3</v>
      </c>
      <c r="F19" s="9" t="s">
        <v>22</v>
      </c>
      <c r="G19" s="10" t="s">
        <v>23</v>
      </c>
    </row>
    <row r="20" spans="1:7" x14ac:dyDescent="0.3">
      <c r="A20" s="22" t="s">
        <v>9</v>
      </c>
      <c r="B20" s="13">
        <f>INDEX(טבלה1[Danajon Bank 2010 '[711']], MATCH($A20, $A$2:$A$16, 0)) / INDEX(טבלה1[Danajon Bank 2010 '[711']], MATCH($A19, $A$2:$A$16, 0))</f>
        <v>1.9680838050396909</v>
      </c>
      <c r="C20" s="13">
        <f>INDEX(טבלה1[Guinea 2004 '[725']], MATCH($A20, $A$2:$A$16, 0)) / INDEX(טבלה1[Guinea 2004 '[725']], MATCH($A19, $A$2:$A$16, 0))</f>
        <v>3.3264514724074412</v>
      </c>
      <c r="D20" s="13">
        <f>INDEX(טבלה1[Northern Gulf St Lawrence 1985 '[116']], MATCH($A20, $A$2:$A$16, 0)) / INDEX(טבלה1[Northern Gulf St Lawrence 1985 '[116']], MATCH($A19, $A$2:$A$16, 0))</f>
        <v>1.8897834582026465</v>
      </c>
      <c r="E20" s="13">
        <f>INDEX(טבלה1[Iceland 1950 '[227']], MATCH($A20, $A$2:$A$16, 0)) / INDEX(טבלה1[Iceland 1950 '[227']], MATCH($A19, $A$2:$A$16, 0))</f>
        <v>1.5949396657237462</v>
      </c>
      <c r="F20" s="11">
        <f>AVERAGE(B20:E20)</f>
        <v>2.1948146003433813</v>
      </c>
      <c r="G20" s="12" t="s">
        <v>24</v>
      </c>
    </row>
    <row r="21" spans="1:7" x14ac:dyDescent="0.3">
      <c r="A21" s="22" t="s">
        <v>10</v>
      </c>
      <c r="B21" s="13">
        <f>INDEX(טבלה1[Danajon Bank 2010 '[711']], MATCH($A21, $A$2:$A$16, 0)) / INDEX(טבלה1[Danajon Bank 2010 '[711']], MATCH($A20, $A$2:$A$16, 0))</f>
        <v>1.0005105198140216</v>
      </c>
      <c r="C21" s="13">
        <f>INDEX(טבלה1[Guinea 2004 '[725']], MATCH($A21, $A$2:$A$16, 0)) / INDEX(טבלה1[Guinea 2004 '[725']], MATCH($A20, $A$2:$A$16, 0))</f>
        <v>2.8063760431319924</v>
      </c>
      <c r="D21" s="13">
        <f>INDEX(טבלה1[Northern Gulf St Lawrence 1985 '[116']], MATCH($A21, $A$2:$A$16, 0)) / INDEX(טבלה1[Northern Gulf St Lawrence 1985 '[116']], MATCH($A20, $A$2:$A$16, 0))</f>
        <v>2.5774247125077885</v>
      </c>
      <c r="E21" s="13">
        <f>INDEX(טבלה1[Iceland 1950 '[227']], MATCH($A21, $A$2:$A$16, 0)) / INDEX(טבלה1[Iceland 1950 '[227']], MATCH($A20, $A$2:$A$16, 0))</f>
        <v>2.7911392107625121</v>
      </c>
      <c r="F21" s="13">
        <f t="shared" ref="F21:F26" si="0">AVERAGE(B21:E21)</f>
        <v>2.2938626215540787</v>
      </c>
      <c r="G21" s="14" t="s">
        <v>25</v>
      </c>
    </row>
    <row r="22" spans="1:7" x14ac:dyDescent="0.3">
      <c r="A22" s="22" t="s">
        <v>11</v>
      </c>
      <c r="B22" s="13">
        <f>INDEX(טבלה1[Danajon Bank 2010 '[711']], MATCH($A22, $A$2:$A$16, 0)) / INDEX(טבלה1[Danajon Bank 2010 '[711']], MATCH($A21, $A$2:$A$16, 0))</f>
        <v>1.6985745379967969</v>
      </c>
      <c r="C22" s="13">
        <f>INDEX(טבלה1[Guinea 2004 '[725']], MATCH($A22, $A$2:$A$16, 0)) / INDEX(טבלה1[Guinea 2004 '[725']], MATCH($A21, $A$2:$A$16, 0))</f>
        <v>2.5155397645412645</v>
      </c>
      <c r="D22" s="13">
        <f>INDEX(טבלה1[Northern Gulf St Lawrence 1985 '[116']], MATCH($A22, $A$2:$A$16, 0)) / INDEX(טבלה1[Northern Gulf St Lawrence 1985 '[116']], MATCH($A21, $A$2:$A$16, 0))</f>
        <v>1.1273735618446643</v>
      </c>
      <c r="E22" s="13">
        <f>INDEX(טבלה1[Iceland 1950 '[227']], MATCH($A22, $A$2:$A$16, 0)) / INDEX(טבלה1[Iceland 1950 '[227']], MATCH($A21, $A$2:$A$16, 0))</f>
        <v>1.5317352055424514</v>
      </c>
      <c r="F22" s="13">
        <f t="shared" si="0"/>
        <v>1.7183057674812945</v>
      </c>
      <c r="G22" s="14" t="s">
        <v>26</v>
      </c>
    </row>
    <row r="23" spans="1:7" x14ac:dyDescent="0.3">
      <c r="A23" s="22" t="s">
        <v>14</v>
      </c>
      <c r="B23" s="13">
        <f>INDEX(טבלה1[Danajon Bank 2010 '[711']], MATCH($A23, $A$2:$A$16, 0)) / INDEX(טבלה1[Danajon Bank 2010 '[711']], MATCH($A22, $A$2:$A$16, 0))</f>
        <v>0.5040895508270623</v>
      </c>
      <c r="C23" s="13">
        <f>INDEX(טבלה1[Guinea 2004 '[725']], MATCH($A23, $A$2:$A$16, 0)) / INDEX(טבלה1[Guinea 2004 '[725']], MATCH($A22, $A$2:$A$16, 0))</f>
        <v>0.46063370210605287</v>
      </c>
      <c r="D23" s="13">
        <f>INDEX(טבלה1[Northern Gulf St Lawrence 1985 '[116']], MATCH($A23, $A$2:$A$16, 0)) / INDEX(טבלה1[Northern Gulf St Lawrence 1985 '[116']], MATCH($A22, $A$2:$A$16, 0))</f>
        <v>0.29485649883719567</v>
      </c>
      <c r="E23" s="13">
        <f>INDEX(טבלה1[Iceland 1950 '[227']], MATCH($A23, $A$2:$A$16, 0)) / INDEX(טבלה1[Iceland 1950 '[227']], MATCH($A22, $A$2:$A$16, 0))</f>
        <v>0.58207191702399563</v>
      </c>
      <c r="F23" s="13">
        <f t="shared" si="0"/>
        <v>0.46041291719857663</v>
      </c>
      <c r="G23" s="14" t="s">
        <v>32</v>
      </c>
    </row>
    <row r="24" spans="1:7" x14ac:dyDescent="0.3">
      <c r="A24" s="22" t="s">
        <v>16</v>
      </c>
      <c r="B24" s="13">
        <f>INDEX(טבלה1[Danajon Bank 2010 '[711']], MATCH($A24, $A$2:$A$16, 0)) / INDEX(טבלה1[Danajon Bank 2010 '[711']], MATCH($A23, $A$2:$A$16, 0))</f>
        <v>1.0094514347348635</v>
      </c>
      <c r="C24" s="13">
        <f>INDEX(טבלה1[Guinea 2004 '[725']], MATCH($A24, $A$2:$A$16, 0)) / INDEX(טבלה1[Guinea 2004 '[725']], MATCH($A23, $A$2:$A$16, 0))</f>
        <v>1.0420484266517731</v>
      </c>
      <c r="D24" s="13">
        <f>INDEX(טבלה1[Northern Gulf St Lawrence 1985 '[116']], MATCH($A24, $A$2:$A$16, 0)) / INDEX(טבלה1[Northern Gulf St Lawrence 1985 '[116']], MATCH($A23, $A$2:$A$16, 0))</f>
        <v>1.0171356329833385</v>
      </c>
      <c r="E24" s="13">
        <f>INDEX(טבלה1[Iceland 1950 '[227']], MATCH($A24, $A$2:$A$16, 0)) / INDEX(טבלה1[Iceland 1950 '[227']], MATCH($A23, $A$2:$A$16, 0))</f>
        <v>1.0229163441871629</v>
      </c>
      <c r="F24" s="13">
        <f t="shared" si="0"/>
        <v>1.0228879596392844</v>
      </c>
      <c r="G24" s="14" t="s">
        <v>28</v>
      </c>
    </row>
    <row r="25" spans="1:7" x14ac:dyDescent="0.3">
      <c r="A25" s="22" t="s">
        <v>17</v>
      </c>
      <c r="B25" s="13">
        <f>INDEX(טבלה1[Danajon Bank 2010 '[711']], MATCH($A25, $A$2:$A$16, 0)) / INDEX(טבלה1[Danajon Bank 2010 '[711']], MATCH($A24, $A$2:$A$16, 0))</f>
        <v>1.0443084459313128</v>
      </c>
      <c r="C25" s="13">
        <f>INDEX(טבלה1[Guinea 2004 '[725']], MATCH($A25, $A$2:$A$16, 0)) / INDEX(טבלה1[Guinea 2004 '[725']], MATCH($A24, $A$2:$A$16, 0))</f>
        <v>1.0366711952326524</v>
      </c>
      <c r="D25" s="13">
        <f>INDEX(טבלה1[Northern Gulf St Lawrence 1985 '[116']], MATCH($A25, $A$2:$A$16, 0)) / INDEX(טבלה1[Northern Gulf St Lawrence 1985 '[116']], MATCH($A24, $A$2:$A$16, 0))</f>
        <v>1.0419027176210061</v>
      </c>
      <c r="E25" s="13">
        <f>INDEX(טבלה1[Iceland 1950 '[227']], MATCH($A25, $A$2:$A$16, 0)) / INDEX(טבלה1[Iceland 1950 '[227']], MATCH($A24, $A$2:$A$16, 0))</f>
        <v>1.041562390149724</v>
      </c>
      <c r="F25" s="13">
        <f t="shared" si="0"/>
        <v>1.0411111872336738</v>
      </c>
      <c r="G25" s="14" t="s">
        <v>28</v>
      </c>
    </row>
    <row r="26" spans="1:7" x14ac:dyDescent="0.3">
      <c r="A26" s="22" t="s">
        <v>18</v>
      </c>
      <c r="B26" s="13">
        <f>INDEX(טבלה1[Danajon Bank 2010 '[711']], MATCH($A26, $A$2:$A$16, 0)) / INDEX(טבלה1[Danajon Bank 2010 '[711']], MATCH($A25, $A$2:$A$16, 0))</f>
        <v>1.2083417923745707</v>
      </c>
      <c r="C26" s="13">
        <f>INDEX(טבלה1[Guinea 2004 '[725']], MATCH($A26, $A$2:$A$16, 0)) / INDEX(טבלה1[Guinea 2004 '[725']], MATCH($A25, $A$2:$A$16, 0))</f>
        <v>1.5554720660570298</v>
      </c>
      <c r="D26" s="13">
        <f>INDEX(טבלה1[Northern Gulf St Lawrence 1985 '[116']], MATCH($A26, $A$2:$A$16, 0)) / INDEX(טבלה1[Northern Gulf St Lawrence 1985 '[116']], MATCH($A25, $A$2:$A$16, 0))</f>
        <v>1.3362469423792089</v>
      </c>
      <c r="E26" s="13">
        <f>INDEX(טבלה1[Iceland 1950 '[227']], MATCH($A26, $A$2:$A$16, 0)) / INDEX(טבלה1[Iceland 1950 '[227']], MATCH($A25, $A$2:$A$16, 0))</f>
        <v>1.2441279499819402</v>
      </c>
      <c r="F26" s="13">
        <f t="shared" si="0"/>
        <v>1.3360471876981872</v>
      </c>
      <c r="G26" s="14" t="s">
        <v>28</v>
      </c>
    </row>
    <row r="27" spans="1:7" x14ac:dyDescent="0.3">
      <c r="A27" s="22"/>
      <c r="B27" s="13"/>
      <c r="C27" s="15"/>
      <c r="D27" s="15"/>
      <c r="E27" s="15"/>
      <c r="F27" s="15" t="s">
        <v>27</v>
      </c>
      <c r="G27" s="14" t="s">
        <v>29</v>
      </c>
    </row>
    <row r="28" spans="1:7" x14ac:dyDescent="0.3">
      <c r="A28" s="22"/>
      <c r="B28" s="13"/>
      <c r="C28" s="15"/>
      <c r="D28" s="15"/>
      <c r="E28" s="15"/>
      <c r="F28" s="15" t="s">
        <v>27</v>
      </c>
      <c r="G28" s="14" t="s">
        <v>30</v>
      </c>
    </row>
    <row r="29" spans="1:7" ht="14.5" thickBot="1" x14ac:dyDescent="0.35">
      <c r="A29" s="23"/>
      <c r="B29" s="13"/>
      <c r="C29" s="15"/>
      <c r="D29" s="15"/>
      <c r="E29" s="15"/>
      <c r="F29" s="15"/>
      <c r="G29" s="16"/>
    </row>
    <row r="30" spans="1:7" ht="14.5" thickBot="1" x14ac:dyDescent="0.35">
      <c r="A30" s="17" t="s">
        <v>31</v>
      </c>
      <c r="B30" s="18">
        <f>PRODUCT(B20:B29)</f>
        <v>2.1476404161370541</v>
      </c>
      <c r="C30" s="19">
        <f>PRODUCT(C20:C29)</f>
        <v>18.176284134457216</v>
      </c>
      <c r="D30" s="19">
        <f>PRODUCT(D20:D29)</f>
        <v>2.2928167514544926</v>
      </c>
      <c r="E30" s="19">
        <f>PRODUCT(E20:E29)</f>
        <v>5.2610999427707963</v>
      </c>
      <c r="F30" s="19">
        <f t="shared" ref="F30" si="1">AVERAGE(B30:E30)</f>
        <v>6.9694603112048892</v>
      </c>
      <c r="G30" s="20"/>
    </row>
  </sheetData>
  <mergeCells count="1">
    <mergeCell ref="B18:G18"/>
  </mergeCells>
  <dataValidations count="1">
    <dataValidation type="list" allowBlank="1" showInputMessage="1" showErrorMessage="1" sqref="A19:A26" xr:uid="{64DCC542-7B1C-40FB-A2B4-F9AAC44B1D9D}">
      <formula1>$A$2:$A$14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Ido Carmel</cp:lastModifiedBy>
  <dcterms:created xsi:type="dcterms:W3CDTF">2026-03-31T21:04:31Z</dcterms:created>
  <dcterms:modified xsi:type="dcterms:W3CDTF">2026-03-31T21:15:54Z</dcterms:modified>
</cp:coreProperties>
</file>