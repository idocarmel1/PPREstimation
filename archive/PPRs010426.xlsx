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ratios\archive\"/>
    </mc:Choice>
  </mc:AlternateContent>
  <xr:revisionPtr revIDLastSave="0" documentId="8_{91370120-562B-4FA1-92CB-2521B690AA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30" i="1" s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26" i="1"/>
  <c r="C30" i="1" s="1"/>
  <c r="D26" i="1"/>
  <c r="D30" i="1" s="1"/>
  <c r="E26" i="1"/>
  <c r="E30" i="1" s="1"/>
  <c r="F26" i="1"/>
  <c r="F30" i="1" s="1"/>
  <c r="G26" i="1"/>
  <c r="G30" i="1" s="1"/>
  <c r="H26" i="1"/>
  <c r="H30" i="1" s="1"/>
  <c r="I26" i="1"/>
  <c r="I30" i="1" s="1"/>
  <c r="J26" i="1"/>
  <c r="J30" i="1" s="1"/>
  <c r="K26" i="1"/>
  <c r="K30" i="1" s="1"/>
  <c r="L26" i="1"/>
  <c r="L30" i="1" s="1"/>
  <c r="M26" i="1"/>
  <c r="M30" i="1" s="1"/>
  <c r="N26" i="1"/>
  <c r="N30" i="1" s="1"/>
  <c r="O26" i="1"/>
  <c r="O30" i="1" s="1"/>
  <c r="P26" i="1"/>
  <c r="P30" i="1" s="1"/>
  <c r="Q26" i="1"/>
  <c r="Q30" i="1" s="1"/>
  <c r="R26" i="1"/>
  <c r="R30" i="1" s="1"/>
  <c r="S26" i="1"/>
  <c r="S30" i="1" s="1"/>
  <c r="T26" i="1"/>
  <c r="T30" i="1" s="1"/>
  <c r="U26" i="1"/>
  <c r="U30" i="1" s="1"/>
  <c r="V26" i="1"/>
  <c r="V30" i="1" s="1"/>
  <c r="W26" i="1"/>
  <c r="W30" i="1" s="1"/>
  <c r="X26" i="1"/>
  <c r="X30" i="1" s="1"/>
  <c r="Y26" i="1"/>
  <c r="Y30" i="1" s="1"/>
  <c r="Z26" i="1"/>
  <c r="Z30" i="1" s="1"/>
  <c r="AA26" i="1"/>
  <c r="AA30" i="1" s="1"/>
  <c r="AB26" i="1"/>
  <c r="AB30" i="1" s="1"/>
  <c r="AC26" i="1"/>
  <c r="AC30" i="1" s="1"/>
  <c r="AD26" i="1"/>
  <c r="AD30" i="1" s="1"/>
  <c r="AE26" i="1"/>
  <c r="AE30" i="1" s="1"/>
  <c r="AF26" i="1"/>
  <c r="AF30" i="1" s="1"/>
  <c r="AG26" i="1"/>
  <c r="AG30" i="1" s="1"/>
  <c r="AH26" i="1"/>
  <c r="AH30" i="1" s="1"/>
  <c r="AI26" i="1"/>
  <c r="AI30" i="1" s="1"/>
  <c r="AJ26" i="1"/>
  <c r="AJ30" i="1" s="1"/>
  <c r="AK26" i="1"/>
  <c r="AK30" i="1" s="1"/>
  <c r="AL26" i="1"/>
  <c r="AL30" i="1" s="1"/>
  <c r="AM26" i="1"/>
  <c r="AM30" i="1" s="1"/>
  <c r="AN26" i="1"/>
  <c r="AN30" i="1" s="1"/>
  <c r="AO26" i="1"/>
  <c r="AO30" i="1" s="1"/>
  <c r="AP26" i="1"/>
  <c r="AP30" i="1" s="1"/>
  <c r="AQ26" i="1"/>
  <c r="AQ30" i="1" s="1"/>
  <c r="AR26" i="1"/>
  <c r="AR30" i="1" s="1"/>
  <c r="AS26" i="1"/>
  <c r="AS30" i="1" s="1"/>
  <c r="AT26" i="1"/>
  <c r="AT30" i="1" s="1"/>
  <c r="AU26" i="1"/>
  <c r="AU30" i="1" s="1"/>
  <c r="AV26" i="1"/>
  <c r="AV30" i="1" s="1"/>
  <c r="AW26" i="1"/>
  <c r="AW30" i="1" s="1"/>
  <c r="AX26" i="1"/>
  <c r="AX30" i="1" s="1"/>
  <c r="AY26" i="1"/>
  <c r="AY30" i="1" s="1"/>
  <c r="AZ26" i="1"/>
  <c r="AZ30" i="1" s="1"/>
  <c r="BA26" i="1"/>
  <c r="BA30" i="1" s="1"/>
  <c r="BB26" i="1"/>
  <c r="BB30" i="1" s="1"/>
  <c r="BC26" i="1"/>
  <c r="BC30" i="1" s="1"/>
  <c r="BD26" i="1"/>
  <c r="BD30" i="1" s="1"/>
  <c r="BE26" i="1"/>
  <c r="BE30" i="1" s="1"/>
  <c r="BF26" i="1"/>
  <c r="BF30" i="1" s="1"/>
  <c r="BG26" i="1"/>
  <c r="BG30" i="1" s="1"/>
  <c r="BH26" i="1"/>
  <c r="BH30" i="1" s="1"/>
  <c r="BI26" i="1"/>
  <c r="BI30" i="1" s="1"/>
  <c r="BJ26" i="1"/>
  <c r="BJ30" i="1" s="1"/>
  <c r="BK26" i="1"/>
  <c r="BK30" i="1" s="1"/>
  <c r="BL26" i="1"/>
  <c r="BL30" i="1" s="1"/>
  <c r="BM26" i="1"/>
  <c r="BM30" i="1" s="1"/>
  <c r="BN26" i="1"/>
  <c r="BN30" i="1" s="1"/>
  <c r="BO26" i="1"/>
  <c r="BO30" i="1" s="1"/>
  <c r="BP26" i="1"/>
  <c r="BP30" i="1" s="1"/>
  <c r="BQ26" i="1"/>
  <c r="BQ30" i="1" s="1"/>
  <c r="BR26" i="1"/>
  <c r="BR30" i="1" s="1"/>
  <c r="BS26" i="1"/>
  <c r="BS30" i="1" s="1"/>
  <c r="BT26" i="1"/>
  <c r="BT30" i="1" s="1"/>
  <c r="BU26" i="1"/>
  <c r="BU30" i="1" s="1"/>
  <c r="BV26" i="1"/>
  <c r="BV30" i="1" s="1"/>
  <c r="BW26" i="1"/>
  <c r="BW30" i="1" s="1"/>
  <c r="BX26" i="1"/>
  <c r="BX30" i="1" s="1"/>
  <c r="BY26" i="1"/>
  <c r="BY30" i="1" s="1"/>
  <c r="BZ26" i="1"/>
  <c r="BZ30" i="1" s="1"/>
  <c r="CA26" i="1"/>
  <c r="CA30" i="1" s="1"/>
  <c r="CB26" i="1"/>
  <c r="CB30" i="1" s="1"/>
  <c r="CC26" i="1"/>
  <c r="CC30" i="1" s="1"/>
  <c r="CD26" i="1"/>
  <c r="CD30" i="1" s="1"/>
  <c r="CE26" i="1"/>
  <c r="CE30" i="1" s="1"/>
  <c r="CF26" i="1"/>
  <c r="CF30" i="1" s="1"/>
  <c r="CG26" i="1"/>
  <c r="CG30" i="1" s="1"/>
  <c r="CH26" i="1"/>
  <c r="CH30" i="1" s="1"/>
  <c r="CI26" i="1"/>
  <c r="CI30" i="1" s="1"/>
  <c r="CJ26" i="1"/>
  <c r="CJ30" i="1" s="1"/>
  <c r="CK26" i="1"/>
  <c r="CK30" i="1" s="1"/>
  <c r="CL26" i="1"/>
  <c r="CL30" i="1" s="1"/>
  <c r="CM26" i="1"/>
  <c r="CM30" i="1" s="1"/>
  <c r="CN26" i="1"/>
  <c r="CN30" i="1" s="1"/>
  <c r="CO26" i="1"/>
  <c r="CO30" i="1" s="1"/>
  <c r="CP26" i="1"/>
  <c r="CP30" i="1" s="1"/>
  <c r="B23" i="1"/>
  <c r="B21" i="1"/>
  <c r="B22" i="1"/>
  <c r="B24" i="1"/>
  <c r="B25" i="1"/>
  <c r="B20" i="1"/>
  <c r="B32" i="1" l="1"/>
</calcChain>
</file>

<file path=xl/sharedStrings.xml><?xml version="1.0" encoding="utf-8"?>
<sst xmlns="http://schemas.openxmlformats.org/spreadsheetml/2006/main" count="213" uniqueCount="112">
  <si>
    <t>Alto Golfo de California 0 [242]</t>
  </si>
  <si>
    <t>Australia North West Shelf 1986 [405]</t>
  </si>
  <si>
    <t>Baja California 1970 [417]</t>
  </si>
  <si>
    <t>Bay of Biscay 1970 [633]</t>
  </si>
  <si>
    <t>Bay of Biscay 1998 [634]</t>
  </si>
  <si>
    <t>Black Sea 1960 [691]</t>
  </si>
  <si>
    <t>Black Sea 1980 [692]</t>
  </si>
  <si>
    <t>Black Sea 1988 [693]</t>
  </si>
  <si>
    <t>Black Sea 1990 [435]</t>
  </si>
  <si>
    <t>BlackSea 1955 [433]</t>
  </si>
  <si>
    <t>BlackSea 1990 [468]</t>
  </si>
  <si>
    <t>British Columbia coast 1950 [478]</t>
  </si>
  <si>
    <t>Campeche 1985 [323]</t>
  </si>
  <si>
    <t>Canada, Grand Banks of Newfoundland 1985 [655]</t>
  </si>
  <si>
    <t>Cape Verde 1981 [486]</t>
  </si>
  <si>
    <t>Caribbean 1980 [24]</t>
  </si>
  <si>
    <t>Celestun 0 [246]</t>
  </si>
  <si>
    <t>Celestun mangrove 1992 [247]</t>
  </si>
  <si>
    <t>Central Atlantic 1950 [28]</t>
  </si>
  <si>
    <t>Central Atlantic 1990 [29]</t>
  </si>
  <si>
    <t>Central Chile 1998 [637]</t>
  </si>
  <si>
    <t>Chesapeake 1950 [34]</t>
  </si>
  <si>
    <t>Danajon Bank 2010 [711]</t>
  </si>
  <si>
    <t>Denmark, Faroe Islands 1997 [46]</t>
  </si>
  <si>
    <t>Eastern Scotian Shelf 1980 [40]</t>
  </si>
  <si>
    <t>Eastern Scotian Shelf 1995 [41]</t>
  </si>
  <si>
    <t>Eritrea 1998 [496]</t>
  </si>
  <si>
    <t>Galapagos, Floreana rocky reef 2000 [48]</t>
  </si>
  <si>
    <t>Germany, Schlei Fjord 1980 [464]</t>
  </si>
  <si>
    <t>Golfo Dulce 1993 [53]</t>
  </si>
  <si>
    <t>Grand Banks of Newfoundland 1900 [105]</t>
  </si>
  <si>
    <t>Grand Banks of Newfoundland 1980 [107]</t>
  </si>
  <si>
    <t>Grand Banks of Newfoundland 1990 [108]</t>
  </si>
  <si>
    <t>Greenland, West Coast 1997 [168]</t>
  </si>
  <si>
    <t>Guinea 1985 [726]</t>
  </si>
  <si>
    <t>Guinea 1998 [646]</t>
  </si>
  <si>
    <t>Guinea 2004 [725]</t>
  </si>
  <si>
    <t>Gulf of California 1990 [450]</t>
  </si>
  <si>
    <t>Gulf of Maine 1977 [444]</t>
  </si>
  <si>
    <t>Gulf of Mexico 1950 [520]</t>
  </si>
  <si>
    <t>Gulf of Mexico 1980 [58]</t>
  </si>
  <si>
    <t>Gulf of Thailande 1963 [412]</t>
  </si>
  <si>
    <t>Huizache-Caimanero 1984 [241]</t>
  </si>
  <si>
    <t>Iceland 1950 [227]</t>
  </si>
  <si>
    <t>Icelandic shelf 1997 [68]</t>
  </si>
  <si>
    <t>Kaloko Honokohau 2005 [499]</t>
  </si>
  <si>
    <t>Lesser Antilles 2001 [459]</t>
  </si>
  <si>
    <t>Mauritania 1987 [650]</t>
  </si>
  <si>
    <t>Mauritania 1998 [651]</t>
  </si>
  <si>
    <t>Mauritanie 1991 [689]</t>
  </si>
  <si>
    <t>New Foundland 1985 [518]</t>
  </si>
  <si>
    <t>North Atlantic 1950 [111]</t>
  </si>
  <si>
    <t>North Atlantic 1997 [112]</t>
  </si>
  <si>
    <t>North East Pacific 1950 [479]</t>
  </si>
  <si>
    <t>North Sea 1974 [413]</t>
  </si>
  <si>
    <t>North Sea 1981 [680]</t>
  </si>
  <si>
    <t>Northern Benguela 1956 [115]</t>
  </si>
  <si>
    <t>Northern Californian Current 1960 [519]</t>
  </si>
  <si>
    <t>Northern Gulf of St Lawrence 1990 [462]</t>
  </si>
  <si>
    <t>Northern Gulf St Lawrence 1985 [116]</t>
  </si>
  <si>
    <t>Northwest Africa 1987 [118]</t>
  </si>
  <si>
    <t>Orbetello Lagoon 1996 [232]</t>
  </si>
  <si>
    <t>Peru 1953 [311]</t>
  </si>
  <si>
    <t>Peru 1953 [439]</t>
  </si>
  <si>
    <t>Peru 1960 [312]</t>
  </si>
  <si>
    <t>Peru 1973 [658]</t>
  </si>
  <si>
    <t>Port Cros 1998 [497]</t>
  </si>
  <si>
    <t>Sierra Leone 1964 [135]</t>
  </si>
  <si>
    <t>Sierra Leone 1978 1978 [136]</t>
  </si>
  <si>
    <t>Sierra Leone 1990 [137]</t>
  </si>
  <si>
    <t>Sinaloa sur MEXICO 1994 [325]</t>
  </si>
  <si>
    <t>Sonda de Campeche 1988 [240]</t>
  </si>
  <si>
    <t>Sonda_Campeche_Act 1988 [291]</t>
  </si>
  <si>
    <t>South Shetlands 1990 [663]</t>
  </si>
  <si>
    <t>South West Viet nam 1994 [415]</t>
  </si>
  <si>
    <t>South western Gulf of Mexico 1970 [687]</t>
  </si>
  <si>
    <t>Southern Brazil 1980 [664]</t>
  </si>
  <si>
    <t>Southern Gulf of St. Lawrence 1980 [145]</t>
  </si>
  <si>
    <t>Sri Lanka 2000 [441]</t>
  </si>
  <si>
    <t>Strait of Georgia 1950 [477]</t>
  </si>
  <si>
    <t>Sørfjord 1993 [429]</t>
  </si>
  <si>
    <t>Tampa Bay 1950 [153]</t>
  </si>
  <si>
    <t>Tasmanian Seamounts Marine Reserve 1992 [407]</t>
  </si>
  <si>
    <t>Terminos Lagoon 1980 [243]</t>
  </si>
  <si>
    <t>Thau 1980 [217]</t>
  </si>
  <si>
    <t>USA, Mid Atlantic Bight 1995 [99]</t>
  </si>
  <si>
    <t>Venezuela shelf 1980 [282]</t>
  </si>
  <si>
    <t>West Coast of Peninbsular Malaysia 1972 [414]</t>
  </si>
  <si>
    <t>West coast of Sabah 1972 [305]</t>
  </si>
  <si>
    <t>West Coast Vancouver Island 1950 [172]</t>
  </si>
  <si>
    <t>West Scotland 2000 [461]</t>
  </si>
  <si>
    <t>West scotland DeepSea 1974 [443]</t>
  </si>
  <si>
    <t>Yucatan 1987 [320]</t>
  </si>
  <si>
    <t>SPPR_1986</t>
  </si>
  <si>
    <t>SPPR_1995_mTL_global_TE_01</t>
  </si>
  <si>
    <t>SPPR_1995_TL2_global_TE_01</t>
  </si>
  <si>
    <t>SPPR_1995_mTL_global_mTE</t>
  </si>
  <si>
    <t>SPPR_1995_TL2_global_mTE</t>
  </si>
  <si>
    <t>SPPR_EwE_global_mTE</t>
  </si>
  <si>
    <t>SPPR_EwE_differential_TE</t>
  </si>
  <si>
    <t>SPPR_2015</t>
  </si>
  <si>
    <t>SPPR_new_2015</t>
  </si>
  <si>
    <t>SPPR_new_basic</t>
  </si>
  <si>
    <t>SPPR_new_improved</t>
  </si>
  <si>
    <t>SPPR_new_improved_balanced</t>
  </si>
  <si>
    <t>SPPR_mc_TE_5_10</t>
  </si>
  <si>
    <t>SPPR_mc_TE_10_20</t>
  </si>
  <si>
    <t>SPPR_mc_TE_20_50</t>
  </si>
  <si>
    <t>עמודה1</t>
  </si>
  <si>
    <t>שיטות חישוב (שורה i+1 היא שיטה i+1 חלקי שיטה i)</t>
  </si>
  <si>
    <t>כלי להשוואת פקטורים</t>
  </si>
  <si>
    <t>מצטבר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</si>
</sst>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2" fontId="0" fillId="0" borderId="0" xfId="0" applyNumberForma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4E42B-EC47-44C2-8E80-8B53C1257FDE}" name="טבלה1" displayName="טבלה1" ref="A1:CP16" totalsRowShown="0" headerRowDxfId="1">
  <autoFilter ref="A1:CP16" xr:uid="{D264E42B-EC47-44C2-8E80-8B53C1257FDE}"/>
  <tableColumns count="94">
    <tableColumn id="1" xr3:uid="{98E4D73E-C057-4DE5-8CEC-58484B3F1C5B}" name="עמודה1" dataDxfId="0"/>
    <tableColumn id="2" xr3:uid="{973F96DD-31FD-4E5C-82C5-A7AC076BB853}" name="Alto Golfo de California 0 [242]"/>
    <tableColumn id="3" xr3:uid="{E2102A3F-110A-4004-81A1-695EC30F1FF2}" name="Australia North West Shelf 1986 [405]"/>
    <tableColumn id="4" xr3:uid="{DBCC8396-6D29-43BF-9E4A-D18E1C250B30}" name="Baja California 1970 [417]"/>
    <tableColumn id="5" xr3:uid="{3FD10B1C-13DD-445A-8BD4-76FB66F10971}" name="Bay of Biscay 1970 [633]"/>
    <tableColumn id="6" xr3:uid="{968A6810-D519-49B0-8625-AB1B19B862BC}" name="Bay of Biscay 1998 [634]"/>
    <tableColumn id="7" xr3:uid="{9A0544CC-C89F-4B93-9D24-19190E619CC8}" name="Black Sea 1960 [691]"/>
    <tableColumn id="8" xr3:uid="{97F9EE03-ED1D-42C8-BABA-90E19EBF718D}" name="Black Sea 1980 [692]"/>
    <tableColumn id="9" xr3:uid="{F5AA5B38-BD4B-4616-8876-CDA02BAC2F06}" name="Black Sea 1988 [693]"/>
    <tableColumn id="10" xr3:uid="{D92AB89A-A144-4D55-B745-13F2F81B605B}" name="Black Sea 1990 [435]"/>
    <tableColumn id="11" xr3:uid="{D09AE197-F3CF-4D1B-B6EC-057782991707}" name="BlackSea 1955 [433]"/>
    <tableColumn id="12" xr3:uid="{3FEE6945-9198-41EF-826E-280C77EE0B39}" name="BlackSea 1990 [468]"/>
    <tableColumn id="13" xr3:uid="{882B3818-AE1C-447A-B0A4-D815D2B4AAD2}" name="British Columbia coast 1950 [478]"/>
    <tableColumn id="14" xr3:uid="{151BD05D-EB18-451E-9ACF-E74AAA2EADC5}" name="Campeche 1985 [323]"/>
    <tableColumn id="15" xr3:uid="{92956C26-15E9-48C6-A73C-F1DBBDF501DB}" name="Canada, Grand Banks of Newfoundland 1985 [655]"/>
    <tableColumn id="16" xr3:uid="{EB48F85F-E9AE-4679-AE32-3A9DE292E998}" name="Cape Verde 1981 [486]"/>
    <tableColumn id="17" xr3:uid="{4649A7B1-74F9-44EF-9E00-CEC7C4DACDBF}" name="Caribbean 1980 [24]"/>
    <tableColumn id="18" xr3:uid="{6EE990E9-8CA7-4F31-B93E-62042CC9C721}" name="Celestun 0 [246]"/>
    <tableColumn id="19" xr3:uid="{81060B81-FB6A-4F63-A6F7-73FCCE7A0D4D}" name="Celestun mangrove 1992 [247]"/>
    <tableColumn id="20" xr3:uid="{68E765B7-475B-4FA7-B2B8-7C65189A23A1}" name="Central Atlantic 1950 [28]"/>
    <tableColumn id="21" xr3:uid="{F4AD6C62-B08F-4DCE-826F-EB210C2D792B}" name="Central Atlantic 1990 [29]"/>
    <tableColumn id="22" xr3:uid="{F58E7712-758D-40BD-BE08-E8B1C8719814}" name="Central Chile 1998 [637]"/>
    <tableColumn id="23" xr3:uid="{7EA06AD8-1D94-41D9-A63F-02A590C03625}" name="Chesapeake 1950 [34]"/>
    <tableColumn id="24" xr3:uid="{CEAE0A33-B35E-4545-9D97-A56F1D33E06F}" name="Danajon Bank 2010 [711]"/>
    <tableColumn id="25" xr3:uid="{55ADAD36-3134-4AC3-8DBE-FD9FFF03C8F6}" name="Denmark, Faroe Islands 1997 [46]"/>
    <tableColumn id="26" xr3:uid="{D1616036-6C78-439E-9A63-84BCAEB1F9E7}" name="Eastern Scotian Shelf 1980 [40]"/>
    <tableColumn id="27" xr3:uid="{4A4B1DB7-4BD9-43C1-B952-8D996B4706D2}" name="Eastern Scotian Shelf 1995 [41]"/>
    <tableColumn id="28" xr3:uid="{449A4007-8508-4377-B3D0-5B2DB0F0B7AB}" name="Eritrea 1998 [496]"/>
    <tableColumn id="29" xr3:uid="{E5664890-94BF-49B7-9781-4E590AB79189}" name="Galapagos, Floreana rocky reef 2000 [48]"/>
    <tableColumn id="30" xr3:uid="{E71E90E9-43F9-4671-86E9-364AD2FBE866}" name="Germany, Schlei Fjord 1980 [464]"/>
    <tableColumn id="31" xr3:uid="{168E2625-8ECA-4027-B348-0908542CFC78}" name="Golfo Dulce 1993 [53]"/>
    <tableColumn id="32" xr3:uid="{B5736E63-C439-4420-B916-D11D3194734A}" name="Grand Banks of Newfoundland 1900 [105]"/>
    <tableColumn id="33" xr3:uid="{B73F39FA-1333-408F-8111-4513E305FD00}" name="Grand Banks of Newfoundland 1980 [107]"/>
    <tableColumn id="34" xr3:uid="{E970C88D-9A21-4E30-B706-111D6306357B}" name="Grand Banks of Newfoundland 1990 [108]"/>
    <tableColumn id="35" xr3:uid="{3CD3080A-4E22-456F-B9CE-1EF10DB6A1A0}" name="Greenland, West Coast 1997 [168]"/>
    <tableColumn id="36" xr3:uid="{2683EC0D-A6E6-4A79-B722-AAE51A5E0D12}" name="Guinea 1985 [726]"/>
    <tableColumn id="37" xr3:uid="{41DD9C24-C5EC-41BF-BB9C-CC910A6130D7}" name="Guinea 1998 [646]"/>
    <tableColumn id="38" xr3:uid="{E7B25BC4-9983-425D-B1A0-BAAE376A3239}" name="Guinea 2004 [725]"/>
    <tableColumn id="39" xr3:uid="{C1DDB376-9951-4471-9CB0-A2B83C777013}" name="Gulf of California 1990 [450]"/>
    <tableColumn id="40" xr3:uid="{EA7C1E72-B60A-48BD-A512-79A1C6F26277}" name="Gulf of Maine 1977 [444]"/>
    <tableColumn id="41" xr3:uid="{9BB7F92C-BA15-4827-AC79-138793F8E35E}" name="Gulf of Mexico 1950 [520]"/>
    <tableColumn id="42" xr3:uid="{77AA7C08-4A59-4E08-8380-2213827B1F60}" name="Gulf of Mexico 1980 [58]"/>
    <tableColumn id="43" xr3:uid="{4793E78A-D243-4CC3-88C3-493946D096DE}" name="Gulf of Thailande 1963 [412]"/>
    <tableColumn id="44" xr3:uid="{280A2015-C14D-4088-8B84-F6814E94467E}" name="Huizache-Caimanero 1984 [241]"/>
    <tableColumn id="45" xr3:uid="{67753D95-2CFF-441F-83F9-F5E716FA0C7B}" name="Iceland 1950 [227]"/>
    <tableColumn id="46" xr3:uid="{6D46618C-B554-4750-B4C6-1517934CB9EC}" name="Icelandic shelf 1997 [68]"/>
    <tableColumn id="47" xr3:uid="{2C68858B-4816-4D36-9C0E-242A44FCFBB2}" name="Kaloko Honokohau 2005 [499]"/>
    <tableColumn id="48" xr3:uid="{B43FDCA7-ABF3-49A3-8011-47BBEDB759A9}" name="Lesser Antilles 2001 [459]"/>
    <tableColumn id="49" xr3:uid="{DA5CAC3F-2C31-4C0A-A604-0D7AC9AAE78E}" name="Mauritania 1987 [650]"/>
    <tableColumn id="50" xr3:uid="{D8FC8D66-2375-45A3-A404-BB71C866B349}" name="Mauritania 1998 [651]"/>
    <tableColumn id="51" xr3:uid="{64D3BCD3-61DA-4806-BB1F-52C4A740A083}" name="Mauritanie 1991 [689]"/>
    <tableColumn id="52" xr3:uid="{2A53A3C8-7626-49DB-9820-4AD54CF7EB7B}" name="New Foundland 1985 [518]"/>
    <tableColumn id="53" xr3:uid="{E11B090C-231E-4246-A758-5868925669AB}" name="North Atlantic 1950 [111]"/>
    <tableColumn id="54" xr3:uid="{FE06F8AC-98D5-4359-A230-26B0BAB90AF8}" name="North Atlantic 1997 [112]"/>
    <tableColumn id="55" xr3:uid="{4B87BB93-6500-42FC-840A-849705C45814}" name="North East Pacific 1950 [479]"/>
    <tableColumn id="56" xr3:uid="{91EAABC7-9617-4CCC-A47D-26043B53D651}" name="North Sea 1974 [413]"/>
    <tableColumn id="57" xr3:uid="{CFF11730-3F20-4FFA-899F-3176F0E64A0A}" name="North Sea 1981 [680]"/>
    <tableColumn id="58" xr3:uid="{7E3EDED6-2104-4B8F-9A29-FD6069572E4A}" name="Northern Benguela 1956 [115]"/>
    <tableColumn id="59" xr3:uid="{E6FF466D-37FE-4CAD-AD08-740F7C64418E}" name="Northern Californian Current 1960 [519]"/>
    <tableColumn id="60" xr3:uid="{42D0169E-F292-4EAE-8BC9-96EBE37E572C}" name="Northern Gulf of St Lawrence 1990 [462]"/>
    <tableColumn id="61" xr3:uid="{F4367EEA-684A-4501-9686-09B15DE7B80C}" name="Northern Gulf St Lawrence 1985 [116]"/>
    <tableColumn id="62" xr3:uid="{2A6D5C46-3F84-4568-AE5C-5D30E811D52D}" name="Northwest Africa 1987 [118]"/>
    <tableColumn id="63" xr3:uid="{8AFF8BB8-3211-4CD2-A204-AC2B1A70215D}" name="Orbetello Lagoon 1996 [232]"/>
    <tableColumn id="64" xr3:uid="{382682E9-EB1A-48DB-B738-61954D6E7D7B}" name="Peru 1953 [311]"/>
    <tableColumn id="65" xr3:uid="{13EB98A4-9C93-439A-B1D3-223158B7D005}" name="Peru 1953 [439]"/>
    <tableColumn id="66" xr3:uid="{75C3BEF6-6FB9-41D8-823C-20ACBBDAE173}" name="Peru 1960 [312]"/>
    <tableColumn id="67" xr3:uid="{74FBB782-5C18-491E-B973-06F15EF79974}" name="Peru 1973 [658]"/>
    <tableColumn id="68" xr3:uid="{568591A4-96CC-4E24-BE44-7740983D6667}" name="Port Cros 1998 [497]"/>
    <tableColumn id="69" xr3:uid="{A8F4823C-D2F0-4967-B18D-54A99C783D4C}" name="Sierra Leone 1964 [135]"/>
    <tableColumn id="70" xr3:uid="{5DFBC981-6704-4DE6-A830-4FB2EC839A66}" name="Sierra Leone 1978 1978 [136]"/>
    <tableColumn id="71" xr3:uid="{972BFB5E-7926-4F99-88AD-25D3438D800F}" name="Sierra Leone 1990 [137]"/>
    <tableColumn id="72" xr3:uid="{5CEC8E58-8077-4A20-AD9D-2C99646583BF}" name="Sinaloa sur MEXICO 1994 [325]"/>
    <tableColumn id="73" xr3:uid="{5DE0D8F6-A27C-4BD4-BE3D-3AFF3CF25D5A}" name="Sonda de Campeche 1988 [240]"/>
    <tableColumn id="74" xr3:uid="{4A86159E-4A70-455E-A6FA-FD1260B41A9F}" name="Sonda_Campeche_Act 1988 [291]"/>
    <tableColumn id="75" xr3:uid="{E0185582-42AA-4C84-8699-0F17878BBF64}" name="South Shetlands 1990 [663]"/>
    <tableColumn id="76" xr3:uid="{C324D628-CC45-4071-A529-A1AF9BC4EC44}" name="South West Viet nam 1994 [415]"/>
    <tableColumn id="77" xr3:uid="{DC10BFEB-B679-4BC9-84A4-548CB46B7DAC}" name="South western Gulf of Mexico 1970 [687]"/>
    <tableColumn id="78" xr3:uid="{A80F43C5-4FE8-416D-B6BA-10767DA42234}" name="Southern Brazil 1980 [664]"/>
    <tableColumn id="79" xr3:uid="{44012E4A-576B-452E-9DF1-086E36E79CDB}" name="Southern Gulf of St. Lawrence 1980 [145]"/>
    <tableColumn id="80" xr3:uid="{A0EF4CD1-BA79-4CD8-A601-20121A7CBB35}" name="Sri Lanka 2000 [441]"/>
    <tableColumn id="81" xr3:uid="{7BCB2F21-4814-4520-A3E6-948C93F360AB}" name="Strait of Georgia 1950 [477]"/>
    <tableColumn id="82" xr3:uid="{8FF08E3A-D96C-4D67-B939-9F27042CFFDC}" name="Sørfjord 1993 [429]"/>
    <tableColumn id="83" xr3:uid="{3FCD147F-EADA-4CF6-894D-25EEA955FC76}" name="Tampa Bay 1950 [153]"/>
    <tableColumn id="84" xr3:uid="{D9F33DEE-BC5E-44B8-896F-0E24A2E1589A}" name="Tasmanian Seamounts Marine Reserve 1992 [407]"/>
    <tableColumn id="85" xr3:uid="{D8814F85-3B62-4905-A4AD-93C6FD7F6DBB}" name="Terminos Lagoon 1980 [243]"/>
    <tableColumn id="86" xr3:uid="{F4AEFC96-7D69-4E3E-9AEE-57E10E0FAB89}" name="Thau 1980 [217]"/>
    <tableColumn id="87" xr3:uid="{AAD58EE7-301D-4E14-8BD6-74C1AD95C517}" name="USA, Mid Atlantic Bight 1995 [99]"/>
    <tableColumn id="88" xr3:uid="{F92794B3-6F89-416E-848E-081600584B79}" name="Venezuela shelf 1980 [282]"/>
    <tableColumn id="89" xr3:uid="{339F64EF-10BF-4BA2-827E-51AD1EAFF94F}" name="West Coast of Peninbsular Malaysia 1972 [414]"/>
    <tableColumn id="90" xr3:uid="{3F7BE257-56D6-4791-9FF4-ACD7CAC77B2F}" name="West coast of Sabah 1972 [305]"/>
    <tableColumn id="91" xr3:uid="{DC677897-50B1-402C-BB71-E3F66BE47BE6}" name="West Coast Vancouver Island 1950 [172]"/>
    <tableColumn id="92" xr3:uid="{B59E4C24-391E-4888-9315-25142F85C0BC}" name="West Scotland 2000 [461]"/>
    <tableColumn id="93" xr3:uid="{3A658BF5-2166-4F54-9CC6-22C8BEE2A532}" name="West scotland DeepSea 1974 [443]"/>
    <tableColumn id="94" xr3:uid="{0B578C8D-789B-47A2-9A48-7C48059D21FC}" name="Yucatan 1987 [320]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2"/>
  <sheetViews>
    <sheetView rightToLeft="1" tabSelected="1" topLeftCell="A9" workbookViewId="0">
      <selection activeCell="B10" sqref="B10"/>
    </sheetView>
  </sheetViews>
  <sheetFormatPr defaultRowHeight="14" x14ac:dyDescent="0.3"/>
  <cols>
    <col min="2" max="2" width="28.25" customWidth="1"/>
    <col min="3" max="3" width="34.08203125" customWidth="1"/>
    <col min="4" max="4" width="24.08203125" customWidth="1"/>
    <col min="5" max="6" width="23.33203125" customWidth="1"/>
    <col min="7" max="10" width="20.25" customWidth="1"/>
    <col min="11" max="12" width="19.75" customWidth="1"/>
    <col min="13" max="13" width="30.9140625" customWidth="1"/>
    <col min="14" max="14" width="20.83203125" customWidth="1"/>
    <col min="15" max="15" width="42.83203125" customWidth="1"/>
    <col min="16" max="16" width="21.6640625" customWidth="1"/>
    <col min="17" max="17" width="19.4140625" customWidth="1"/>
    <col min="18" max="18" width="16.25" customWidth="1"/>
    <col min="19" max="19" width="28.33203125" customWidth="1"/>
    <col min="20" max="21" width="23.6640625" customWidth="1"/>
    <col min="22" max="22" width="22.58203125" customWidth="1"/>
    <col min="23" max="23" width="21.25" customWidth="1"/>
    <col min="24" max="24" width="23.75" customWidth="1"/>
    <col min="25" max="25" width="30.75" customWidth="1"/>
    <col min="26" max="27" width="29.08203125" customWidth="1"/>
    <col min="28" max="28" width="17.33203125" customWidth="1"/>
    <col min="29" max="29" width="37.08203125" customWidth="1"/>
    <col min="30" max="30" width="30.5" customWidth="1"/>
    <col min="31" max="31" width="20.6640625" customWidth="1"/>
    <col min="32" max="34" width="38" customWidth="1"/>
    <col min="35" max="35" width="31.33203125" customWidth="1"/>
    <col min="36" max="38" width="17.75" customWidth="1"/>
    <col min="39" max="39" width="25.9140625" customWidth="1"/>
    <col min="40" max="40" width="22.83203125" customWidth="1"/>
    <col min="41" max="41" width="23.83203125" customWidth="1"/>
    <col min="42" max="42" width="22.83203125" customWidth="1"/>
    <col min="43" max="43" width="26.25" customWidth="1"/>
    <col min="44" max="44" width="29.33203125" customWidth="1"/>
    <col min="45" max="45" width="17.75" customWidth="1"/>
    <col min="46" max="46" width="22.75" customWidth="1"/>
    <col min="47" max="47" width="28" customWidth="1"/>
    <col min="48" max="48" width="24.1640625" customWidth="1"/>
    <col min="49" max="51" width="20.4140625" customWidth="1"/>
    <col min="52" max="52" width="25.1640625" customWidth="1"/>
    <col min="53" max="54" width="23.33203125" customWidth="1"/>
    <col min="55" max="55" width="27" customWidth="1"/>
    <col min="56" max="57" width="20.25" customWidth="1"/>
    <col min="58" max="58" width="27.75" customWidth="1"/>
    <col min="59" max="59" width="35.75" customWidth="1"/>
    <col min="60" max="60" width="36.6640625" customWidth="1"/>
    <col min="61" max="61" width="34.5" customWidth="1"/>
    <col min="62" max="62" width="26.08203125" customWidth="1"/>
    <col min="63" max="63" width="26.33203125" customWidth="1"/>
    <col min="64" max="67" width="15.75" customWidth="1"/>
    <col min="68" max="68" width="19.9140625" customWidth="1"/>
    <col min="69" max="69" width="22.5" customWidth="1"/>
    <col min="70" max="70" width="27" customWidth="1"/>
    <col min="71" max="71" width="22.5" customWidth="1"/>
    <col min="72" max="72" width="28.83203125" customWidth="1"/>
    <col min="73" max="73" width="29.4140625" customWidth="1"/>
    <col min="74" max="74" width="31.1640625" customWidth="1"/>
    <col min="75" max="75" width="25.83203125" customWidth="1"/>
    <col min="76" max="76" width="29.58203125" customWidth="1"/>
    <col min="77" max="77" width="36.83203125" customWidth="1"/>
    <col min="78" max="78" width="24.83203125" customWidth="1"/>
    <col min="79" max="79" width="37.5" customWidth="1"/>
    <col min="80" max="80" width="19.75" customWidth="1"/>
    <col min="81" max="81" width="25.58203125" customWidth="1"/>
    <col min="82" max="82" width="18.6640625" customWidth="1"/>
    <col min="83" max="83" width="21.4140625" customWidth="1"/>
    <col min="84" max="84" width="42.83203125" customWidth="1"/>
    <col min="85" max="85" width="26.75" customWidth="1"/>
    <col min="86" max="86" width="16.1640625" customWidth="1"/>
    <col min="87" max="87" width="30.33203125" customWidth="1"/>
    <col min="88" max="88" width="25.08203125" customWidth="1"/>
    <col min="89" max="89" width="42" customWidth="1"/>
    <col min="90" max="90" width="29.33203125" customWidth="1"/>
    <col min="91" max="91" width="36.83203125" customWidth="1"/>
    <col min="92" max="92" width="24.08203125" customWidth="1"/>
    <col min="93" max="93" width="32" customWidth="1"/>
    <col min="94" max="94" width="18.75" customWidth="1"/>
  </cols>
  <sheetData>
    <row r="1" spans="1:94" x14ac:dyDescent="0.3">
      <c r="A1" t="s">
        <v>108</v>
      </c>
      <c r="B1" s="1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 x14ac:dyDescent="0.3">
      <c r="A2" s="1" t="s">
        <v>93</v>
      </c>
      <c r="B2">
        <v>410.11594963822228</v>
      </c>
      <c r="C2">
        <v>17.50776156946516</v>
      </c>
      <c r="D2">
        <v>57.492592368664191</v>
      </c>
      <c r="E2">
        <v>268.53343897346463</v>
      </c>
      <c r="F2">
        <v>243.4056587535288</v>
      </c>
      <c r="G2">
        <v>7.0104967225481918</v>
      </c>
      <c r="H2">
        <v>51.475816499582677</v>
      </c>
      <c r="I2">
        <v>24.214402801654671</v>
      </c>
      <c r="J2">
        <v>60.666326080692187</v>
      </c>
      <c r="K2">
        <v>65.172477421647784</v>
      </c>
      <c r="L2">
        <v>153.07761471904479</v>
      </c>
      <c r="M2">
        <v>496.17520164210617</v>
      </c>
      <c r="N2">
        <v>419.48209411667881</v>
      </c>
      <c r="O2">
        <v>825.25075989790798</v>
      </c>
      <c r="P2">
        <v>501.78915762644567</v>
      </c>
      <c r="Q2">
        <v>10.786903173143971</v>
      </c>
      <c r="R2">
        <v>117.13318479722351</v>
      </c>
      <c r="S2">
        <v>33.032845169424519</v>
      </c>
      <c r="T2">
        <v>0.62916749161658414</v>
      </c>
      <c r="U2">
        <v>15.15303566425745</v>
      </c>
      <c r="V2">
        <v>466.78177981711758</v>
      </c>
      <c r="W2">
        <v>740.22055573171622</v>
      </c>
      <c r="X2">
        <v>728.48398861400597</v>
      </c>
      <c r="Y2">
        <v>415.80076432753611</v>
      </c>
      <c r="Z2">
        <v>489.28469194557368</v>
      </c>
      <c r="AA2">
        <v>72.837408652815213</v>
      </c>
      <c r="AB2">
        <v>62.041934726222543</v>
      </c>
      <c r="AC2">
        <v>-347199.83350752998</v>
      </c>
      <c r="AD2">
        <v>346.98408358255881</v>
      </c>
      <c r="AE2">
        <v>171.04582364983801</v>
      </c>
      <c r="AF2">
        <v>645.02785051879198</v>
      </c>
      <c r="AG2">
        <v>727.14143308872917</v>
      </c>
      <c r="AH2">
        <v>37.237338237700783</v>
      </c>
      <c r="AI2">
        <v>53.434665165804319</v>
      </c>
      <c r="AJ2">
        <v>131.57998667240719</v>
      </c>
      <c r="AK2">
        <v>125.02554404809401</v>
      </c>
      <c r="AL2">
        <v>374.09310944956002</v>
      </c>
      <c r="AM2">
        <v>45.109106719619312</v>
      </c>
      <c r="AN2">
        <v>573.14799067351441</v>
      </c>
      <c r="AO2">
        <v>1730.0931353939509</v>
      </c>
      <c r="AP2">
        <v>89.603673243304058</v>
      </c>
      <c r="AQ2">
        <v>968.5428741375581</v>
      </c>
      <c r="AR2">
        <v>196.97784785448951</v>
      </c>
      <c r="AS2">
        <v>449.73135565338202</v>
      </c>
      <c r="AT2">
        <v>253.6026564555965</v>
      </c>
      <c r="AU2">
        <v>11.75433896698387</v>
      </c>
      <c r="AV2">
        <v>61.127458158926423</v>
      </c>
      <c r="AW2">
        <v>635.59767491002731</v>
      </c>
      <c r="AX2">
        <v>428.20026056941299</v>
      </c>
      <c r="AY2">
        <v>1356.4802378236991</v>
      </c>
      <c r="AZ2">
        <v>647.26909767511188</v>
      </c>
      <c r="BA2">
        <v>9.2606245768687252</v>
      </c>
      <c r="BB2">
        <v>36.700974496912387</v>
      </c>
      <c r="BC2">
        <v>302.19083603722402</v>
      </c>
      <c r="BD2">
        <v>3259.0725413443179</v>
      </c>
      <c r="BE2">
        <v>5153.9777191975081</v>
      </c>
      <c r="BF2">
        <v>84.94367268907996</v>
      </c>
      <c r="BG2">
        <v>729.56548476022931</v>
      </c>
      <c r="BH2">
        <v>41.357387541758413</v>
      </c>
      <c r="BI2">
        <v>512.88870101590624</v>
      </c>
      <c r="BJ2">
        <v>32.131765684671727</v>
      </c>
      <c r="BK2">
        <v>688.03388449406452</v>
      </c>
      <c r="BL2">
        <v>133.36589278530721</v>
      </c>
      <c r="BM2">
        <v>149.653540592616</v>
      </c>
      <c r="BN2">
        <v>1453.42071228088</v>
      </c>
      <c r="BO2">
        <v>1258.6591694748561</v>
      </c>
      <c r="BP2">
        <v>81.412742528543021</v>
      </c>
      <c r="BQ2">
        <v>12.36827398358869</v>
      </c>
      <c r="BR2">
        <v>79.24557318422697</v>
      </c>
      <c r="BS2">
        <v>73.372682806341459</v>
      </c>
      <c r="BT2">
        <v>283.1851176845874</v>
      </c>
      <c r="BU2">
        <v>89.968096526128093</v>
      </c>
      <c r="BV2">
        <v>435.03704556764359</v>
      </c>
      <c r="BW2">
        <v>9.8608843825788348</v>
      </c>
      <c r="BX2">
        <v>48.489579282338617</v>
      </c>
      <c r="BY2">
        <v>184.7389122520546</v>
      </c>
      <c r="BZ2">
        <v>296.89115690654421</v>
      </c>
      <c r="CA2">
        <v>327.45638481649382</v>
      </c>
      <c r="CB2">
        <v>270.69449742212589</v>
      </c>
      <c r="CC2">
        <v>1116.0769628818521</v>
      </c>
      <c r="CD2">
        <v>91.760955943658871</v>
      </c>
      <c r="CE2">
        <v>37.33007542133727</v>
      </c>
      <c r="CF2">
        <v>-8072.514408366058</v>
      </c>
      <c r="CG2">
        <v>40.98348391874778</v>
      </c>
      <c r="CH2">
        <v>3537.3001763415268</v>
      </c>
      <c r="CI2">
        <v>699.96473734694405</v>
      </c>
      <c r="CJ2">
        <v>232.23563146655599</v>
      </c>
      <c r="CK2">
        <v>174.21472112165651</v>
      </c>
      <c r="CL2">
        <v>249.58510796930301</v>
      </c>
      <c r="CM2">
        <v>1347.242788372125</v>
      </c>
      <c r="CN2">
        <v>299.93616271191928</v>
      </c>
      <c r="CO2">
        <v>541.90549281796029</v>
      </c>
      <c r="CP2">
        <v>75.297644109395378</v>
      </c>
    </row>
    <row r="3" spans="1:94" x14ac:dyDescent="0.3">
      <c r="A3" s="1" t="s">
        <v>94</v>
      </c>
      <c r="B3">
        <v>492.55971905559431</v>
      </c>
      <c r="C3">
        <v>26.853534199236631</v>
      </c>
      <c r="D3">
        <v>158.4587520125973</v>
      </c>
      <c r="E3">
        <v>349.7035479513691</v>
      </c>
      <c r="F3">
        <v>302.79096869895329</v>
      </c>
      <c r="G3">
        <v>12.968277856261251</v>
      </c>
      <c r="H3">
        <v>69.605907426559256</v>
      </c>
      <c r="I3">
        <v>35.788885056458497</v>
      </c>
      <c r="J3">
        <v>111.7769914348883</v>
      </c>
      <c r="K3">
        <v>115.1900663225195</v>
      </c>
      <c r="L3">
        <v>255.18179423164619</v>
      </c>
      <c r="M3">
        <v>699.5732158591386</v>
      </c>
      <c r="N3">
        <v>462.73665653224151</v>
      </c>
      <c r="O3">
        <v>1143.4923458640301</v>
      </c>
      <c r="P3">
        <v>679.04180620712805</v>
      </c>
      <c r="Q3">
        <v>20.761729215443399</v>
      </c>
      <c r="R3">
        <v>142.68491708362529</v>
      </c>
      <c r="S3">
        <v>33.032845169424519</v>
      </c>
      <c r="T3">
        <v>0.91105650159856844</v>
      </c>
      <c r="U3">
        <v>19.666389885148089</v>
      </c>
      <c r="V3">
        <v>1737.81435917051</v>
      </c>
      <c r="W3">
        <v>1902.3160558946911</v>
      </c>
      <c r="X3">
        <v>1293.8365230959021</v>
      </c>
      <c r="Y3">
        <v>500.39242253777951</v>
      </c>
      <c r="Z3">
        <v>547.54240656509637</v>
      </c>
      <c r="AA3">
        <v>167.05325437311231</v>
      </c>
      <c r="AB3">
        <v>62.972976267757687</v>
      </c>
      <c r="AC3">
        <v>-498693.34201814933</v>
      </c>
      <c r="AD3">
        <v>414.64236868863873</v>
      </c>
      <c r="AE3">
        <v>225.59802274101301</v>
      </c>
      <c r="AF3">
        <v>699.79105115121899</v>
      </c>
      <c r="AG3">
        <v>1007.9207204368309</v>
      </c>
      <c r="AH3">
        <v>129.4926537517851</v>
      </c>
      <c r="AI3">
        <v>137.60011469730301</v>
      </c>
      <c r="AJ3">
        <v>244.341626085608</v>
      </c>
      <c r="AK3">
        <v>252.01553887508939</v>
      </c>
      <c r="AL3">
        <v>725.6819698204954</v>
      </c>
      <c r="AM3">
        <v>66.592108256590862</v>
      </c>
      <c r="AN3">
        <v>1097.8517467691679</v>
      </c>
      <c r="AO3">
        <v>2197.5899062568951</v>
      </c>
      <c r="AP3">
        <v>206.38613762515669</v>
      </c>
      <c r="AQ3">
        <v>1601.012872963767</v>
      </c>
      <c r="AR3">
        <v>218.8596199697856</v>
      </c>
      <c r="AS3">
        <v>526.45496611168267</v>
      </c>
      <c r="AT3">
        <v>308.99368515213962</v>
      </c>
      <c r="AU3">
        <v>25.28088082192598</v>
      </c>
      <c r="AV3">
        <v>130.81764079627109</v>
      </c>
      <c r="AW3">
        <v>1023.833782875119</v>
      </c>
      <c r="AX3">
        <v>612.38094369857367</v>
      </c>
      <c r="AY3">
        <v>2873.834578730763</v>
      </c>
      <c r="AZ3">
        <v>923.4264049247148</v>
      </c>
      <c r="BA3">
        <v>13.648251479440169</v>
      </c>
      <c r="BB3">
        <v>51.823026846345229</v>
      </c>
      <c r="BC3">
        <v>443.78177332915538</v>
      </c>
      <c r="BD3">
        <v>4859.1638457835743</v>
      </c>
      <c r="BE3">
        <v>8543.3568832345973</v>
      </c>
      <c r="BF3">
        <v>119.3027953047587</v>
      </c>
      <c r="BG3">
        <v>1025.85215208095</v>
      </c>
      <c r="BH3">
        <v>63.842055284771277</v>
      </c>
      <c r="BI3">
        <v>979.75599243614954</v>
      </c>
      <c r="BJ3">
        <v>37.415387351571781</v>
      </c>
      <c r="BK3">
        <v>1034.358599663233</v>
      </c>
      <c r="BL3">
        <v>219.7925558610896</v>
      </c>
      <c r="BM3">
        <v>165.69320528032151</v>
      </c>
      <c r="BN3">
        <v>1527.1957874837501</v>
      </c>
      <c r="BO3">
        <v>1781.6994863197081</v>
      </c>
      <c r="BP3">
        <v>192.81448793656861</v>
      </c>
      <c r="BQ3">
        <v>26.991818422917309</v>
      </c>
      <c r="BR3">
        <v>199.40350476472381</v>
      </c>
      <c r="BS3">
        <v>170.84611998101241</v>
      </c>
      <c r="BT3">
        <v>450.79543263918453</v>
      </c>
      <c r="BU3">
        <v>154.99160174314849</v>
      </c>
      <c r="BV3">
        <v>901.38288854422933</v>
      </c>
      <c r="BW3">
        <v>51.67450888669827</v>
      </c>
      <c r="BX3">
        <v>69.403637650730758</v>
      </c>
      <c r="BY3">
        <v>793.77378846903548</v>
      </c>
      <c r="BZ3">
        <v>408.872106251346</v>
      </c>
      <c r="CA3">
        <v>431.45465820370788</v>
      </c>
      <c r="CB3">
        <v>384.68510479907269</v>
      </c>
      <c r="CC3">
        <v>1565.671464147902</v>
      </c>
      <c r="CD3">
        <v>95.271645754389468</v>
      </c>
      <c r="CE3">
        <v>102.24643364619079</v>
      </c>
      <c r="CF3">
        <v>-15292.22309732537</v>
      </c>
      <c r="CG3">
        <v>56.491359331464928</v>
      </c>
      <c r="CH3">
        <v>4690.5289729534052</v>
      </c>
      <c r="CI3">
        <v>1343.8357649866241</v>
      </c>
      <c r="CJ3">
        <v>359.51891473026609</v>
      </c>
      <c r="CK3">
        <v>316.97765291735527</v>
      </c>
      <c r="CL3">
        <v>481.1306885349062</v>
      </c>
      <c r="CM3">
        <v>1458.8691862479161</v>
      </c>
      <c r="CN3">
        <v>399.48029116863108</v>
      </c>
      <c r="CO3">
        <v>948.12826758910296</v>
      </c>
      <c r="CP3">
        <v>148.0386651870661</v>
      </c>
    </row>
    <row r="4" spans="1:94" x14ac:dyDescent="0.3">
      <c r="A4" s="1" t="s">
        <v>95</v>
      </c>
      <c r="B4">
        <v>795.74974574181965</v>
      </c>
      <c r="C4">
        <v>40.400796780386408</v>
      </c>
      <c r="D4">
        <v>247.01118789221229</v>
      </c>
      <c r="E4">
        <v>531.42161755010181</v>
      </c>
      <c r="F4">
        <v>478.68892557859522</v>
      </c>
      <c r="G4">
        <v>12.987399999999999</v>
      </c>
      <c r="H4">
        <v>70.02579999999999</v>
      </c>
      <c r="I4">
        <v>36.263599999999997</v>
      </c>
      <c r="J4">
        <v>117.346</v>
      </c>
      <c r="K4">
        <v>119.98399999999999</v>
      </c>
      <c r="L4">
        <v>459.47800000000018</v>
      </c>
      <c r="M4">
        <v>1026.705107715605</v>
      </c>
      <c r="N4">
        <v>624.84881496762478</v>
      </c>
      <c r="O4">
        <v>1731.6841968756171</v>
      </c>
      <c r="P4">
        <v>933.0212548099023</v>
      </c>
      <c r="Q4">
        <v>28.522017232473459</v>
      </c>
      <c r="R4">
        <v>249.19324603976759</v>
      </c>
      <c r="S4">
        <v>50.329596304262651</v>
      </c>
      <c r="T4">
        <v>1.535929603865797</v>
      </c>
      <c r="U4">
        <v>32.177213580837837</v>
      </c>
      <c r="V4">
        <v>2827.5974399090128</v>
      </c>
      <c r="W4">
        <v>2982.434649502698</v>
      </c>
      <c r="X4">
        <v>2007.641558195653</v>
      </c>
      <c r="Y4">
        <v>766.38412994715236</v>
      </c>
      <c r="Z4">
        <v>920.84178272605891</v>
      </c>
      <c r="AA4">
        <v>251.49954608111659</v>
      </c>
      <c r="AB4">
        <v>106.88232608867889</v>
      </c>
      <c r="AC4">
        <v>-638748.80605593568</v>
      </c>
      <c r="AD4">
        <v>535.35849400000006</v>
      </c>
      <c r="AE4">
        <v>352.36985259724167</v>
      </c>
      <c r="AF4">
        <v>813.6678911767799</v>
      </c>
      <c r="AG4">
        <v>1425.394273223372</v>
      </c>
      <c r="AH4">
        <v>210.64230538797241</v>
      </c>
      <c r="AI4">
        <v>193.5170471500638</v>
      </c>
      <c r="AJ4">
        <v>353.54773733384923</v>
      </c>
      <c r="AK4">
        <v>354.92735377842013</v>
      </c>
      <c r="AL4">
        <v>1047.716902865476</v>
      </c>
      <c r="AM4">
        <v>102.5777558944263</v>
      </c>
      <c r="AN4">
        <v>1614.7160107737629</v>
      </c>
      <c r="AO4">
        <v>3007.3767688520761</v>
      </c>
      <c r="AP4">
        <v>288.48038125109991</v>
      </c>
      <c r="AQ4">
        <v>2549.6878436089892</v>
      </c>
      <c r="AR4">
        <v>378.27174546737331</v>
      </c>
      <c r="AS4">
        <v>848.4148856221758</v>
      </c>
      <c r="AT4">
        <v>426.74015891722229</v>
      </c>
      <c r="AU4">
        <v>33.399899012315842</v>
      </c>
      <c r="AV4">
        <v>200.22973119245751</v>
      </c>
      <c r="AW4">
        <v>1348.4691908669811</v>
      </c>
      <c r="AX4">
        <v>821.91145941080845</v>
      </c>
      <c r="AY4">
        <v>4110.6171052477557</v>
      </c>
      <c r="AZ4">
        <v>1290.7407875079059</v>
      </c>
      <c r="BA4">
        <v>22.090781752045899</v>
      </c>
      <c r="BB4">
        <v>83.527423088779571</v>
      </c>
      <c r="BC4">
        <v>656.21268238510879</v>
      </c>
      <c r="BD4">
        <v>8098.0527078908444</v>
      </c>
      <c r="BE4">
        <v>13555.67636388428</v>
      </c>
      <c r="BF4">
        <v>190.2187490489018</v>
      </c>
      <c r="BG4">
        <v>1719.021620589727</v>
      </c>
      <c r="BH4">
        <v>93.631454171451963</v>
      </c>
      <c r="BI4">
        <v>1412.2418914920529</v>
      </c>
      <c r="BJ4">
        <v>54.544187014663613</v>
      </c>
      <c r="BK4">
        <v>1532.2131964017451</v>
      </c>
      <c r="BL4">
        <v>390.93641937439588</v>
      </c>
      <c r="BM4">
        <v>280.89479005570132</v>
      </c>
      <c r="BN4">
        <v>2655.009594855087</v>
      </c>
      <c r="BO4">
        <v>3080.5402312852862</v>
      </c>
      <c r="BP4">
        <v>297.7687223941204</v>
      </c>
      <c r="BQ4">
        <v>37.596198733603487</v>
      </c>
      <c r="BR4">
        <v>255.52040567214189</v>
      </c>
      <c r="BS4">
        <v>240.23979413608961</v>
      </c>
      <c r="BT4">
        <v>674.93351662664952</v>
      </c>
      <c r="BU4">
        <v>247.73417342020599</v>
      </c>
      <c r="BV4">
        <v>1304.797972822603</v>
      </c>
      <c r="BW4">
        <v>91.191398279351546</v>
      </c>
      <c r="BX4">
        <v>121.30071328779501</v>
      </c>
      <c r="BY4">
        <v>1032.8145417531589</v>
      </c>
      <c r="BZ4">
        <v>562.97649116178218</v>
      </c>
      <c r="CA4">
        <v>642.25517043741331</v>
      </c>
      <c r="CB4">
        <v>572.01606253736304</v>
      </c>
      <c r="CC4">
        <v>2269.4115113157891</v>
      </c>
      <c r="CD4">
        <v>167.35082447457759</v>
      </c>
      <c r="CE4">
        <v>142.29285990462341</v>
      </c>
      <c r="CF4">
        <v>-23688.967113198021</v>
      </c>
      <c r="CG4">
        <v>85.003469812201757</v>
      </c>
      <c r="CH4">
        <v>7135.1559880000041</v>
      </c>
      <c r="CI4">
        <v>2293.951570888586</v>
      </c>
      <c r="CJ4">
        <v>559.50228608490863</v>
      </c>
      <c r="CK4">
        <v>376.69794365137369</v>
      </c>
      <c r="CL4">
        <v>770.75505840299184</v>
      </c>
      <c r="CM4">
        <v>2414.1264462156742</v>
      </c>
      <c r="CN4">
        <v>608.73200805826525</v>
      </c>
      <c r="CO4">
        <v>1527.7008851559481</v>
      </c>
      <c r="CP4">
        <v>244.86785293556201</v>
      </c>
    </row>
    <row r="5" spans="1:94" x14ac:dyDescent="0.3">
      <c r="A5" s="15" t="s">
        <v>96</v>
      </c>
      <c r="B5" s="16">
        <v>114.2672300441731</v>
      </c>
      <c r="C5" s="16">
        <v>98.800741504260571</v>
      </c>
      <c r="D5" s="16">
        <v>27.640022466577911</v>
      </c>
      <c r="E5" s="16">
        <v>365.26650174826779</v>
      </c>
      <c r="F5" s="16">
        <v>322.92841741802039</v>
      </c>
      <c r="G5" s="16">
        <v>8.3514043258567181</v>
      </c>
      <c r="H5" s="16">
        <v>199.46287793320599</v>
      </c>
      <c r="I5" s="16">
        <v>25.871212548867341</v>
      </c>
      <c r="J5" s="16">
        <v>11.66744692495133</v>
      </c>
      <c r="K5" s="16">
        <v>80.579740772114363</v>
      </c>
      <c r="L5" s="16">
        <v>23.88210047006001</v>
      </c>
      <c r="M5" s="16">
        <v>377.50717061186089</v>
      </c>
      <c r="N5" s="16">
        <v>346.40976221175617</v>
      </c>
      <c r="O5" s="16">
        <v>356.78278046353341</v>
      </c>
      <c r="P5" s="16">
        <v>1157.1924927860759</v>
      </c>
      <c r="Q5" s="16">
        <v>20.879994434364342</v>
      </c>
      <c r="R5" s="16">
        <v>120.7352651140227</v>
      </c>
      <c r="S5" s="16">
        <v>7.32660938052907</v>
      </c>
      <c r="T5" s="16">
        <v>0.1126629622934497</v>
      </c>
      <c r="U5" s="16">
        <v>17.8301408958338</v>
      </c>
      <c r="V5" s="16">
        <v>4323.5579993047986</v>
      </c>
      <c r="W5" s="16">
        <v>1467.9013289728459</v>
      </c>
      <c r="X5" s="16">
        <v>317.52445032624792</v>
      </c>
      <c r="Y5" s="16">
        <v>979.75325298936491</v>
      </c>
      <c r="Z5" s="16">
        <v>265.19567144545567</v>
      </c>
      <c r="AA5" s="16">
        <v>485.35448415646192</v>
      </c>
      <c r="AB5" s="16">
        <v>180.57391894421579</v>
      </c>
      <c r="AC5" s="16">
        <v>-208315.66310363519</v>
      </c>
      <c r="AD5" s="16">
        <v>464.50219560300172</v>
      </c>
      <c r="AE5" s="16">
        <v>27.826287883875871</v>
      </c>
      <c r="AF5" s="16">
        <v>964.10852727036388</v>
      </c>
      <c r="AG5" s="16">
        <v>489.00920317695591</v>
      </c>
      <c r="AH5" s="16">
        <v>48.933056198285847</v>
      </c>
      <c r="AI5" s="16">
        <v>30.951747818911059</v>
      </c>
      <c r="AJ5" s="16">
        <v>101.7860504368776</v>
      </c>
      <c r="AK5" s="16">
        <v>148.4457015814717</v>
      </c>
      <c r="AL5" s="16">
        <v>225.41386014821759</v>
      </c>
      <c r="AM5" s="16">
        <v>20.39458433011508</v>
      </c>
      <c r="AN5" s="16">
        <v>395.90857664472412</v>
      </c>
      <c r="AO5" s="16">
        <v>5191.4848456482632</v>
      </c>
      <c r="AP5" s="16">
        <v>174.36544084137441</v>
      </c>
      <c r="AQ5" s="16">
        <v>250.98877582563131</v>
      </c>
      <c r="AR5" s="16">
        <v>65.496301679073881</v>
      </c>
      <c r="AS5" s="16">
        <v>116.9248330804309</v>
      </c>
      <c r="AT5" s="16">
        <v>32.207907636597717</v>
      </c>
      <c r="AU5" s="16">
        <v>303.63535168627118</v>
      </c>
      <c r="AV5" s="16">
        <v>79.834353475908799</v>
      </c>
      <c r="AW5" s="16">
        <v>588.40297299066492</v>
      </c>
      <c r="AX5" s="16">
        <v>1385.2228397937661</v>
      </c>
      <c r="AY5" s="16">
        <v>1288.4590707890759</v>
      </c>
      <c r="AZ5" s="16">
        <v>2869.2605361759788</v>
      </c>
      <c r="BA5" s="16">
        <v>3.5995937093279111</v>
      </c>
      <c r="BB5" s="16">
        <v>2.9836367613403252</v>
      </c>
      <c r="BC5" s="16">
        <v>268.12294410961027</v>
      </c>
      <c r="BD5" s="16">
        <v>489.90844852227411</v>
      </c>
      <c r="BE5" s="16">
        <v>2198.3499349532422</v>
      </c>
      <c r="BF5" s="16">
        <v>362.80457946079321</v>
      </c>
      <c r="BG5" s="16">
        <v>704.65531766754748</v>
      </c>
      <c r="BH5" s="16">
        <v>17.37779330244992</v>
      </c>
      <c r="BI5" s="16">
        <v>233.17890117115039</v>
      </c>
      <c r="BJ5" s="16">
        <v>37.007573364036134</v>
      </c>
      <c r="BK5" s="16">
        <v>931.85852129274178</v>
      </c>
      <c r="BL5" s="16">
        <v>141.2161806113368</v>
      </c>
      <c r="BM5" s="16">
        <v>371.05968668260272</v>
      </c>
      <c r="BN5" s="16">
        <v>975.50006708286469</v>
      </c>
      <c r="BO5" s="16">
        <v>1173.8118747589731</v>
      </c>
      <c r="BP5" s="16">
        <v>354.39657580393663</v>
      </c>
      <c r="BQ5" s="16">
        <v>21.455938158726219</v>
      </c>
      <c r="BR5" s="16">
        <v>245.25549891879129</v>
      </c>
      <c r="BS5" s="16">
        <v>90.87867673516692</v>
      </c>
      <c r="BT5" s="16">
        <v>111.2086969109851</v>
      </c>
      <c r="BU5" s="16">
        <v>261.34868846922279</v>
      </c>
      <c r="BV5" s="16">
        <v>99.781697762022631</v>
      </c>
      <c r="BW5" s="16">
        <v>5.2629756631745703</v>
      </c>
      <c r="BX5" s="16">
        <v>77.906877468302511</v>
      </c>
      <c r="BY5" s="16">
        <v>454.80842903959382</v>
      </c>
      <c r="BZ5" s="16">
        <v>180.91930138466691</v>
      </c>
      <c r="CA5" s="16">
        <v>254.51238884465371</v>
      </c>
      <c r="CB5" s="16">
        <v>107.0089902213749</v>
      </c>
      <c r="CC5" s="16">
        <v>624.04877038405994</v>
      </c>
      <c r="CD5" s="16">
        <v>118.1163799974243</v>
      </c>
      <c r="CE5" s="16">
        <v>362.68688622880171</v>
      </c>
      <c r="CF5" s="16">
        <v>-4845.2576298418253</v>
      </c>
      <c r="CG5" s="16">
        <v>51.618795811472793</v>
      </c>
      <c r="CH5" s="16">
        <v>3860.2759457640332</v>
      </c>
      <c r="CI5" s="16">
        <v>987.793411836936</v>
      </c>
      <c r="CJ5" s="16">
        <v>201.10437826370591</v>
      </c>
      <c r="CK5" s="16">
        <v>52.567135239757349</v>
      </c>
      <c r="CL5" s="16">
        <v>114.8507038111219</v>
      </c>
      <c r="CM5" s="16">
        <v>437.74742938101508</v>
      </c>
      <c r="CN5" s="16">
        <v>58.843760616519837</v>
      </c>
      <c r="CO5" s="16">
        <v>518.64877063182257</v>
      </c>
      <c r="CP5" s="16">
        <v>71.204650830395593</v>
      </c>
    </row>
    <row r="6" spans="1:94" x14ac:dyDescent="0.3">
      <c r="A6" s="1" t="s">
        <v>97</v>
      </c>
      <c r="B6">
        <v>137.7005725073285</v>
      </c>
      <c r="C6">
        <v>173.1358319726713</v>
      </c>
      <c r="D6">
        <v>34.571387793763648</v>
      </c>
      <c r="E6">
        <v>558.5229704988501</v>
      </c>
      <c r="F6">
        <v>515.20284836307644</v>
      </c>
      <c r="G6">
        <v>8.3622310012658971</v>
      </c>
      <c r="H6">
        <v>200.72828703460871</v>
      </c>
      <c r="I6">
        <v>26.20678808459796</v>
      </c>
      <c r="J6">
        <v>11.959396045180601</v>
      </c>
      <c r="K6">
        <v>83.605660819020144</v>
      </c>
      <c r="L6">
        <v>29.640542555291429</v>
      </c>
      <c r="M6">
        <v>519.31021285814813</v>
      </c>
      <c r="N6">
        <v>449.24390195256211</v>
      </c>
      <c r="O6">
        <v>470.23790392385291</v>
      </c>
      <c r="P6">
        <v>1661.9056187518131</v>
      </c>
      <c r="Q6">
        <v>28.701087455482629</v>
      </c>
      <c r="R6">
        <v>203.2099861826712</v>
      </c>
      <c r="S6">
        <v>8.723632221578244</v>
      </c>
      <c r="T6">
        <v>0.14731584695431921</v>
      </c>
      <c r="U6">
        <v>28.857577829687031</v>
      </c>
      <c r="V6">
        <v>8222.1765416798135</v>
      </c>
      <c r="W6">
        <v>2194.6967491308401</v>
      </c>
      <c r="X6">
        <v>398.48527042306591</v>
      </c>
      <c r="Y6">
        <v>1623.179446379459</v>
      </c>
      <c r="Z6">
        <v>399.87928010975162</v>
      </c>
      <c r="AA6">
        <v>837.05682100527201</v>
      </c>
      <c r="AB6">
        <v>362.15271770997532</v>
      </c>
      <c r="AC6">
        <v>-242366.20135860931</v>
      </c>
      <c r="AD6">
        <v>609.44834339210797</v>
      </c>
      <c r="AE6">
        <v>34.036239688310289</v>
      </c>
      <c r="AF6">
        <v>1135.8917364450031</v>
      </c>
      <c r="AG6">
        <v>640.96375447212984</v>
      </c>
      <c r="AH6">
        <v>69.408018581569209</v>
      </c>
      <c r="AI6">
        <v>38.034116423715624</v>
      </c>
      <c r="AJ6">
        <v>135.2857228349576</v>
      </c>
      <c r="AK6">
        <v>199.39619780866909</v>
      </c>
      <c r="AL6">
        <v>291.80907897987618</v>
      </c>
      <c r="AM6">
        <v>25.844461419829521</v>
      </c>
      <c r="AN6">
        <v>526.03994545470425</v>
      </c>
      <c r="AO6">
        <v>8112.6751970060759</v>
      </c>
      <c r="AP6">
        <v>238.48068014776931</v>
      </c>
      <c r="AQ6">
        <v>307.38420752660801</v>
      </c>
      <c r="AR6">
        <v>84.111971096365934</v>
      </c>
      <c r="AS6">
        <v>153.34402862173499</v>
      </c>
      <c r="AT6">
        <v>35.162274655980859</v>
      </c>
      <c r="AU6">
        <v>634.35105354213715</v>
      </c>
      <c r="AV6">
        <v>117.2018782011039</v>
      </c>
      <c r="AW6">
        <v>743.03655852718748</v>
      </c>
      <c r="AX6">
        <v>2041.979819297731</v>
      </c>
      <c r="AY6">
        <v>1688.1506049745949</v>
      </c>
      <c r="AZ6">
        <v>4614.9558073918852</v>
      </c>
      <c r="BA6">
        <v>5.040105859073253</v>
      </c>
      <c r="BB6">
        <v>3.5478487465964421</v>
      </c>
      <c r="BC6">
        <v>376.01689644884891</v>
      </c>
      <c r="BD6">
        <v>614.32429531436492</v>
      </c>
      <c r="BE6">
        <v>3034.5737327025631</v>
      </c>
      <c r="BF6">
        <v>711.78805573987324</v>
      </c>
      <c r="BG6">
        <v>1103.6522511670969</v>
      </c>
      <c r="BH6">
        <v>21.759842297845729</v>
      </c>
      <c r="BI6">
        <v>288.48871181949193</v>
      </c>
      <c r="BJ6">
        <v>53.850027223960751</v>
      </c>
      <c r="BK6">
        <v>1354.8660158065711</v>
      </c>
      <c r="BL6">
        <v>222.92477804864009</v>
      </c>
      <c r="BM6">
        <v>723.28706074759521</v>
      </c>
      <c r="BN6">
        <v>1436.411616287771</v>
      </c>
      <c r="BO6">
        <v>1852.869506276335</v>
      </c>
      <c r="BP6">
        <v>598.43068996068644</v>
      </c>
      <c r="BQ6">
        <v>29.210073475377602</v>
      </c>
      <c r="BR6">
        <v>318.5108604615088</v>
      </c>
      <c r="BS6">
        <v>119.3563816166033</v>
      </c>
      <c r="BT6">
        <v>134.03919661808311</v>
      </c>
      <c r="BU6">
        <v>451.19912585608239</v>
      </c>
      <c r="BV6">
        <v>113.5870701876389</v>
      </c>
      <c r="BW6">
        <v>6.7836661529982791</v>
      </c>
      <c r="BX6">
        <v>139.23608969894059</v>
      </c>
      <c r="BY6">
        <v>573.28109225292792</v>
      </c>
      <c r="BZ6">
        <v>233.52028991391629</v>
      </c>
      <c r="CA6">
        <v>351.02128196654343</v>
      </c>
      <c r="CB6">
        <v>133.5074005379235</v>
      </c>
      <c r="CC6">
        <v>816.62110535330805</v>
      </c>
      <c r="CD6">
        <v>217.53358080658251</v>
      </c>
      <c r="CE6">
        <v>584.33962397117978</v>
      </c>
      <c r="CF6">
        <v>-5774.4146941303534</v>
      </c>
      <c r="CG6">
        <v>76.344005328172983</v>
      </c>
      <c r="CH6">
        <v>5516.6359455889806</v>
      </c>
      <c r="CI6">
        <v>1603.8971370366421</v>
      </c>
      <c r="CJ6">
        <v>282.97238938207511</v>
      </c>
      <c r="CK6">
        <v>57.684164998391218</v>
      </c>
      <c r="CL6">
        <v>151.52303189320079</v>
      </c>
      <c r="CM6">
        <v>616.60285869978316</v>
      </c>
      <c r="CN6">
        <v>71.079384067135322</v>
      </c>
      <c r="CO6">
        <v>789.28541944107781</v>
      </c>
      <c r="CP6">
        <v>108.4920770833118</v>
      </c>
    </row>
    <row r="7" spans="1:94" x14ac:dyDescent="0.3">
      <c r="A7" s="1" t="s">
        <v>98</v>
      </c>
      <c r="B7">
        <v>189.1418969365231</v>
      </c>
      <c r="C7">
        <v>1646.976634871118</v>
      </c>
      <c r="D7">
        <v>62.227830391519213</v>
      </c>
      <c r="E7">
        <v>3600.015127313683</v>
      </c>
      <c r="F7">
        <v>4090.2898081615658</v>
      </c>
      <c r="G7">
        <v>8.5271327236506451</v>
      </c>
      <c r="H7">
        <v>226.72951313712639</v>
      </c>
      <c r="I7">
        <v>30.985226573996709</v>
      </c>
      <c r="J7">
        <v>14.366733218161899</v>
      </c>
      <c r="K7">
        <v>117.14920571137399</v>
      </c>
      <c r="L7">
        <v>46.919940411605751</v>
      </c>
      <c r="M7">
        <v>1295.7173597346309</v>
      </c>
      <c r="N7">
        <v>1441.9373966721071</v>
      </c>
      <c r="O7">
        <v>757.91171461960778</v>
      </c>
      <c r="P7">
        <v>9231.0569343567331</v>
      </c>
      <c r="Q7">
        <v>97.749526966825215</v>
      </c>
      <c r="R7">
        <v>347.90842800609238</v>
      </c>
      <c r="S7">
        <v>18.330112321761671</v>
      </c>
      <c r="T7">
        <v>0.2536728468834934</v>
      </c>
      <c r="U7">
        <v>86.710028333315037</v>
      </c>
      <c r="V7">
        <v>13151.75339115369</v>
      </c>
      <c r="W7">
        <v>4466.1904544530926</v>
      </c>
      <c r="X7">
        <v>624.91472839121832</v>
      </c>
      <c r="Y7">
        <v>11384.40956497114</v>
      </c>
      <c r="Z7">
        <v>778.26259402735491</v>
      </c>
      <c r="AA7">
        <v>4018.2471808676769</v>
      </c>
      <c r="AB7">
        <v>4123.305868777833</v>
      </c>
      <c r="AC7">
        <v>-242213.0633323502</v>
      </c>
      <c r="AD7">
        <v>609.44834339210809</v>
      </c>
      <c r="AE7">
        <v>99.297384265505656</v>
      </c>
      <c r="AF7">
        <v>4125.7592069655711</v>
      </c>
      <c r="AG7">
        <v>1299.535941522282</v>
      </c>
      <c r="AH7">
        <v>143.6079675571786</v>
      </c>
      <c r="AI7">
        <v>73.462057613248788</v>
      </c>
      <c r="AJ7">
        <v>442.0725940641945</v>
      </c>
      <c r="AK7">
        <v>801.05927408557829</v>
      </c>
      <c r="AL7">
        <v>749.82826699108341</v>
      </c>
      <c r="AM7">
        <v>44.818501150907153</v>
      </c>
      <c r="AN7">
        <v>1027.616464272845</v>
      </c>
      <c r="AO7">
        <v>12849.59686499686</v>
      </c>
      <c r="AP7">
        <v>391.21565561335149</v>
      </c>
      <c r="AQ7">
        <v>405.06001398018878</v>
      </c>
      <c r="AR7">
        <v>95.988670453173299</v>
      </c>
      <c r="AS7">
        <v>186.4880541881073</v>
      </c>
      <c r="AT7">
        <v>37.69723091931202</v>
      </c>
      <c r="AU7">
        <v>12305.058800335681</v>
      </c>
      <c r="AV7">
        <v>422.0170891728614</v>
      </c>
      <c r="AW7">
        <v>1825.7982222262531</v>
      </c>
      <c r="AX7">
        <v>11862.45003830178</v>
      </c>
      <c r="AY7">
        <v>2148.200073761509</v>
      </c>
      <c r="AZ7">
        <v>12162.732662359551</v>
      </c>
      <c r="BA7">
        <v>10.68212744134525</v>
      </c>
      <c r="BB7">
        <v>5.3425042926510811</v>
      </c>
      <c r="BC7">
        <v>1236.690716532268</v>
      </c>
      <c r="BD7">
        <v>1104.895878328409</v>
      </c>
      <c r="BE7">
        <v>50091.30958467663</v>
      </c>
      <c r="BF7">
        <v>2787.513805373278</v>
      </c>
      <c r="BG7">
        <v>1354.1267072733331</v>
      </c>
      <c r="BH7">
        <v>30.462159376906119</v>
      </c>
      <c r="BI7">
        <v>440.65763023510971</v>
      </c>
      <c r="BJ7">
        <v>56.224196338474492</v>
      </c>
      <c r="BK7">
        <v>2522.6464276678712</v>
      </c>
      <c r="BL7">
        <v>245.51016533366391</v>
      </c>
      <c r="BM7">
        <v>2249.6794207290718</v>
      </c>
      <c r="BN7">
        <v>1440.827044127901</v>
      </c>
      <c r="BO7">
        <v>2108.5895513991859</v>
      </c>
      <c r="BP7">
        <v>4411.9648100266277</v>
      </c>
      <c r="BQ7">
        <v>158.78376376148319</v>
      </c>
      <c r="BR7">
        <v>2496.7954190804312</v>
      </c>
      <c r="BS7">
        <v>480.29401678815339</v>
      </c>
      <c r="BT7">
        <v>151.93299791773461</v>
      </c>
      <c r="BU7">
        <v>1730.602701022254</v>
      </c>
      <c r="BV7">
        <v>121.4712135190758</v>
      </c>
      <c r="BW7">
        <v>10.29295208295331</v>
      </c>
      <c r="BX7">
        <v>208.9614903530549</v>
      </c>
      <c r="BY7">
        <v>1669.5517806038381</v>
      </c>
      <c r="BZ7">
        <v>327.15091992893201</v>
      </c>
      <c r="CA7">
        <v>619.34767136624464</v>
      </c>
      <c r="CB7">
        <v>158.83020646811531</v>
      </c>
      <c r="CC7">
        <v>1525.180427130404</v>
      </c>
      <c r="CD7">
        <v>332.97376312957891</v>
      </c>
      <c r="CE7">
        <v>2249.4491588202468</v>
      </c>
      <c r="CF7">
        <v>-6283.6604739453787</v>
      </c>
      <c r="CG7">
        <v>148.35865274127411</v>
      </c>
      <c r="CH7">
        <v>7599.0237216476826</v>
      </c>
      <c r="CI7">
        <v>6058.230061439147</v>
      </c>
      <c r="CJ7">
        <v>392.10308549798413</v>
      </c>
      <c r="CK7">
        <v>98.033182239597622</v>
      </c>
      <c r="CL7">
        <v>319.42181239102609</v>
      </c>
      <c r="CM7">
        <v>1275.318327316802</v>
      </c>
      <c r="CN7">
        <v>128.94094896786211</v>
      </c>
      <c r="CO7">
        <v>2914.8364227098618</v>
      </c>
      <c r="CP7">
        <v>576.52816859952554</v>
      </c>
    </row>
    <row r="8" spans="1:94" x14ac:dyDescent="0.3">
      <c r="A8" s="1" t="s">
        <v>99</v>
      </c>
      <c r="B8">
        <v>182.71313486498681</v>
      </c>
      <c r="C8">
        <v>649.08719038786694</v>
      </c>
      <c r="D8">
        <v>382.71272202024647</v>
      </c>
      <c r="E8">
        <v>1371.819103373336</v>
      </c>
      <c r="F8">
        <v>1211.925922854386</v>
      </c>
      <c r="G8">
        <v>178.80810987736231</v>
      </c>
      <c r="H8">
        <v>174.02066864301409</v>
      </c>
      <c r="I8">
        <v>51.133004986745448</v>
      </c>
      <c r="J8">
        <v>19.345170632312271</v>
      </c>
      <c r="K8">
        <v>1236.3480587099671</v>
      </c>
      <c r="L8">
        <v>3209.1110552400801</v>
      </c>
      <c r="M8">
        <v>559.74796999522744</v>
      </c>
      <c r="N8">
        <v>380.00417853747803</v>
      </c>
      <c r="O8">
        <v>1465.1499099435171</v>
      </c>
      <c r="P8">
        <v>1723.846240431631</v>
      </c>
      <c r="Q8">
        <v>204.07709559201419</v>
      </c>
      <c r="R8">
        <v>449.20531292764372</v>
      </c>
      <c r="S8">
        <v>54.386141124542917</v>
      </c>
      <c r="T8">
        <v>86.537937260948766</v>
      </c>
      <c r="U8">
        <v>582.63844207693614</v>
      </c>
      <c r="V8">
        <v>5820.9167082532176</v>
      </c>
      <c r="W8">
        <v>1240.20304249427</v>
      </c>
      <c r="X8">
        <v>625.23375974213593</v>
      </c>
      <c r="Y8">
        <v>1024.521200519398</v>
      </c>
      <c r="Z8">
        <v>1705.961407088897</v>
      </c>
      <c r="AA8">
        <v>918.61272249845649</v>
      </c>
      <c r="AB8">
        <v>269.0173650618367</v>
      </c>
      <c r="AC8">
        <v>409333.74191608292</v>
      </c>
      <c r="AD8">
        <v>1254.7359864987</v>
      </c>
      <c r="AE8">
        <v>79.650236555985884</v>
      </c>
      <c r="AF8">
        <v>2783.2257844917071</v>
      </c>
      <c r="AG8">
        <v>1653.309980347284</v>
      </c>
      <c r="AH8">
        <v>1886.7326845616999</v>
      </c>
      <c r="AI8">
        <v>458.19502483946661</v>
      </c>
      <c r="AJ8">
        <v>1502.230395158585</v>
      </c>
      <c r="AK8">
        <v>1651.8650488687649</v>
      </c>
      <c r="AL8">
        <v>2104.3000849469558</v>
      </c>
      <c r="AM8">
        <v>52.884687217388191</v>
      </c>
      <c r="AN8">
        <v>1940.029564358427</v>
      </c>
      <c r="AO8">
        <v>4812.3277279360154</v>
      </c>
      <c r="AP8">
        <v>599.77193979825881</v>
      </c>
      <c r="AQ8">
        <v>1027.1955196605941</v>
      </c>
      <c r="AR8">
        <v>167.09441527828889</v>
      </c>
      <c r="AS8">
        <v>520.51412038323042</v>
      </c>
      <c r="AT8">
        <v>212.0663904243379</v>
      </c>
      <c r="AU8">
        <v>6950.8421934976604</v>
      </c>
      <c r="AV8">
        <v>1517.1763278151921</v>
      </c>
      <c r="AW8">
        <v>1761.995562563661</v>
      </c>
      <c r="AX8">
        <v>1734.6579774760919</v>
      </c>
      <c r="AY8">
        <v>13034.257330974509</v>
      </c>
      <c r="AZ8">
        <v>6930.4725510413373</v>
      </c>
      <c r="BA8">
        <v>1015.097559909298</v>
      </c>
      <c r="BB8">
        <v>1587.379309430876</v>
      </c>
      <c r="BC8">
        <v>456.07101974806301</v>
      </c>
      <c r="BD8">
        <v>5614.8913614095154</v>
      </c>
      <c r="BE8">
        <v>5753.296223609238</v>
      </c>
      <c r="BF8">
        <v>1457.697024929085</v>
      </c>
      <c r="BG8">
        <v>1787.9819636623331</v>
      </c>
      <c r="BH8">
        <v>604.34129442285985</v>
      </c>
      <c r="BI8">
        <v>1135.7618659230909</v>
      </c>
      <c r="BJ8">
        <v>740.24650637679247</v>
      </c>
      <c r="BK8">
        <v>1137.5873227503851</v>
      </c>
      <c r="BL8">
        <v>2495.823915048908</v>
      </c>
      <c r="BM8">
        <v>3682.546364360046</v>
      </c>
      <c r="BN8">
        <v>3672.1083239543041</v>
      </c>
      <c r="BO8">
        <v>13090.043008428331</v>
      </c>
      <c r="BP8">
        <v>1033.9043503440571</v>
      </c>
      <c r="BQ8">
        <v>85.503047023035691</v>
      </c>
      <c r="BR8">
        <v>546.57480433783587</v>
      </c>
      <c r="BS8">
        <v>303.72720657159277</v>
      </c>
      <c r="BT8">
        <v>223.2309181321842</v>
      </c>
      <c r="BU8">
        <v>905.27336393795258</v>
      </c>
      <c r="BV8">
        <v>1152.8434509954179</v>
      </c>
      <c r="BW8">
        <v>199.91847107075711</v>
      </c>
      <c r="BX8">
        <v>906.27267412373055</v>
      </c>
      <c r="BY8">
        <v>1204.402303391123</v>
      </c>
      <c r="BZ8">
        <v>691.67188667213691</v>
      </c>
      <c r="CA8">
        <v>751.38416547463532</v>
      </c>
      <c r="CB8">
        <v>296.59175314057597</v>
      </c>
      <c r="CC8">
        <v>1119.5699647661661</v>
      </c>
      <c r="CD8">
        <v>529.52265150911091</v>
      </c>
      <c r="CE8">
        <v>316.62398903964441</v>
      </c>
      <c r="CF8">
        <v>-10156.97917255362</v>
      </c>
      <c r="CG8">
        <v>212.1016629040416</v>
      </c>
      <c r="CH8">
        <v>3384.955415528842</v>
      </c>
      <c r="CI8">
        <v>2022.9626778373181</v>
      </c>
      <c r="CJ8">
        <v>783.6149998820888</v>
      </c>
      <c r="CK8">
        <v>262.12703284719879</v>
      </c>
      <c r="CL8">
        <v>675.10204950280604</v>
      </c>
      <c r="CM8">
        <v>3206.8476633717019</v>
      </c>
      <c r="CN8">
        <v>227.19675646219969</v>
      </c>
      <c r="CO8">
        <v>1030.040575968862</v>
      </c>
      <c r="CP8">
        <v>555.55575055725581</v>
      </c>
    </row>
    <row r="9" spans="1:94" x14ac:dyDescent="0.3">
      <c r="A9" s="15" t="s">
        <v>100</v>
      </c>
      <c r="B9" s="16">
        <v>1974.323741381837</v>
      </c>
      <c r="C9" s="16">
        <v>5472.8579898527032</v>
      </c>
      <c r="D9" s="16">
        <v>2073.3344369673459</v>
      </c>
      <c r="E9" s="16">
        <v>2658.381106372914</v>
      </c>
      <c r="F9" s="16">
        <v>2658.098762402276</v>
      </c>
      <c r="G9" s="16">
        <v>135.76934794418929</v>
      </c>
      <c r="H9" s="16">
        <v>158.60732663367639</v>
      </c>
      <c r="I9" s="16">
        <v>44.660549567146766</v>
      </c>
      <c r="J9" s="16">
        <v>35.194245455827428</v>
      </c>
      <c r="K9" s="16">
        <v>836.14666533400577</v>
      </c>
      <c r="L9" s="16">
        <v>3054.2609298238708</v>
      </c>
      <c r="M9" s="16">
        <v>1578.695186498602</v>
      </c>
      <c r="N9" s="16">
        <v>486.80863887946521</v>
      </c>
      <c r="O9" s="16">
        <v>1644.1775710962741</v>
      </c>
      <c r="P9" s="16">
        <v>1016.36556376767</v>
      </c>
      <c r="Q9" s="16">
        <v>3928.2554027315909</v>
      </c>
      <c r="R9" s="16">
        <v>1279.974039343811</v>
      </c>
      <c r="S9" s="16">
        <v>1025.856543971943</v>
      </c>
      <c r="T9" s="16">
        <v>2950.0781947033688</v>
      </c>
      <c r="U9" s="16">
        <v>2947.368640164394</v>
      </c>
      <c r="V9" s="16">
        <v>9697.610201135627</v>
      </c>
      <c r="W9" s="16">
        <v>1022.085954551136</v>
      </c>
      <c r="X9" s="16">
        <v>1062.0061445939989</v>
      </c>
      <c r="Y9" s="16">
        <v>2748.272344046974</v>
      </c>
      <c r="Z9" s="16">
        <v>1778.9509908979051</v>
      </c>
      <c r="AA9" s="16">
        <v>1158.1342669601561</v>
      </c>
      <c r="AB9" s="16">
        <v>15765.416113872039</v>
      </c>
      <c r="AC9" s="16">
        <v>9624.8534850232882</v>
      </c>
      <c r="AD9" s="16">
        <v>766.63552612918795</v>
      </c>
      <c r="AE9" s="16">
        <v>224.80039187028481</v>
      </c>
      <c r="AF9" s="16">
        <v>5293.6314726310966</v>
      </c>
      <c r="AG9" s="16">
        <v>1732.895726398222</v>
      </c>
      <c r="AH9" s="16">
        <v>1674.1640615437409</v>
      </c>
      <c r="AI9" s="16">
        <v>1097.138287300163</v>
      </c>
      <c r="AJ9" s="16">
        <v>5485.5007608994401</v>
      </c>
      <c r="AK9" s="16">
        <v>3404.502128948644</v>
      </c>
      <c r="AL9" s="16">
        <v>5293.4505402116283</v>
      </c>
      <c r="AM9" s="16">
        <v>1816.7281780659439</v>
      </c>
      <c r="AN9" s="16">
        <v>1973.2953801967931</v>
      </c>
      <c r="AO9" s="16">
        <v>4564.7233777565298</v>
      </c>
      <c r="AP9" s="16">
        <v>946.5105109560684</v>
      </c>
      <c r="AQ9" s="16">
        <v>2740.9346303761322</v>
      </c>
      <c r="AR9" s="16">
        <v>1520.1236581738931</v>
      </c>
      <c r="AS9" s="16">
        <v>797.28980317295566</v>
      </c>
      <c r="AT9" s="16">
        <v>252.58044451406579</v>
      </c>
      <c r="AU9" s="16">
        <v>3814.7555473774351</v>
      </c>
      <c r="AV9" s="16">
        <v>1209.764223147703</v>
      </c>
      <c r="AW9" s="16">
        <v>2755.0298204533128</v>
      </c>
      <c r="AX9" s="16">
        <v>2714.6266933241718</v>
      </c>
      <c r="AY9" s="16">
        <v>30163.906586634479</v>
      </c>
      <c r="AZ9" s="16">
        <v>369135.81060722662</v>
      </c>
      <c r="BA9" s="16">
        <v>3491.8433807712458</v>
      </c>
      <c r="BB9" s="16">
        <v>3490.8553444425279</v>
      </c>
      <c r="BC9" s="16">
        <v>1088.033115687798</v>
      </c>
      <c r="BD9" s="16">
        <v>4869.5917825069173</v>
      </c>
      <c r="BE9" s="16">
        <v>3254.3792085242849</v>
      </c>
      <c r="BF9" s="16">
        <v>3341.9760294352468</v>
      </c>
      <c r="BG9" s="16">
        <v>1708.140672422061</v>
      </c>
      <c r="BH9" s="16">
        <v>1093.2376217517331</v>
      </c>
      <c r="BI9" s="16">
        <v>1280.427900193057</v>
      </c>
      <c r="BJ9" s="16">
        <v>2143.5135183071279</v>
      </c>
      <c r="BK9" s="16">
        <v>4270.8482765119779</v>
      </c>
      <c r="BL9" s="16">
        <v>13568.365911944729</v>
      </c>
      <c r="BM9" s="16">
        <v>5899.5909549087937</v>
      </c>
      <c r="BN9" s="16">
        <v>10397.84257596194</v>
      </c>
      <c r="BO9" s="16">
        <v>15704.567549784309</v>
      </c>
      <c r="BP9" s="16">
        <v>1226.692695557846</v>
      </c>
      <c r="BQ9" s="16">
        <v>1307.0869612686131</v>
      </c>
      <c r="BR9" s="16">
        <v>1236.3175284198501</v>
      </c>
      <c r="BS9" s="16">
        <v>1034.9607528016691</v>
      </c>
      <c r="BT9" s="16">
        <v>2335.9133510145948</v>
      </c>
      <c r="BU9" s="16">
        <v>1711.19174275925</v>
      </c>
      <c r="BV9" s="16">
        <v>1618.19966318456</v>
      </c>
      <c r="BW9" s="16">
        <v>313.45388136578418</v>
      </c>
      <c r="BX9" s="16">
        <v>826.21484318752107</v>
      </c>
      <c r="BY9" s="16">
        <v>358.08467114425838</v>
      </c>
      <c r="BZ9" s="16">
        <v>1684.1004124997639</v>
      </c>
      <c r="CA9" s="16">
        <v>1054.6418938836609</v>
      </c>
      <c r="CB9" s="16">
        <v>598.66292274558498</v>
      </c>
      <c r="CC9" s="16">
        <v>2156.4706355551971</v>
      </c>
      <c r="CD9" s="16">
        <v>546.67797005235786</v>
      </c>
      <c r="CE9" s="16">
        <v>316.96177954404072</v>
      </c>
      <c r="CF9" s="16">
        <v>-31043.96579461209</v>
      </c>
      <c r="CG9" s="16">
        <v>530.73107835886867</v>
      </c>
      <c r="CH9" s="16">
        <v>7953.0333298657824</v>
      </c>
      <c r="CI9" s="16">
        <v>2983.3380797585469</v>
      </c>
      <c r="CJ9" s="16">
        <v>2451.2333392504929</v>
      </c>
      <c r="CK9" s="16">
        <v>549.52185653843344</v>
      </c>
      <c r="CL9" s="16">
        <v>724.26047151210969</v>
      </c>
      <c r="CM9" s="16">
        <v>3629.609724004431</v>
      </c>
      <c r="CN9" s="16">
        <v>2056.4602934239251</v>
      </c>
      <c r="CO9" s="16">
        <v>1777.8403331707809</v>
      </c>
      <c r="CP9" s="16">
        <v>467.98196628040381</v>
      </c>
    </row>
    <row r="10" spans="1:94" x14ac:dyDescent="0.3">
      <c r="A10" s="1" t="s">
        <v>101</v>
      </c>
      <c r="B10">
        <v>9773.5972709498037</v>
      </c>
      <c r="C10">
        <v>6788.940789415481</v>
      </c>
      <c r="D10">
        <v>2695.8107306721831</v>
      </c>
      <c r="E10">
        <v>71234.744017153629</v>
      </c>
      <c r="F10">
        <v>71443.385062338421</v>
      </c>
      <c r="G10">
        <v>252.77885614466209</v>
      </c>
      <c r="H10">
        <v>226.10821298761269</v>
      </c>
      <c r="I10">
        <v>57.7937711962484</v>
      </c>
      <c r="J10">
        <v>48.173367772533993</v>
      </c>
      <c r="K10">
        <v>6119.6343726348759</v>
      </c>
      <c r="L10">
        <v>5444.26362888515</v>
      </c>
      <c r="M10">
        <v>16218.928133250571</v>
      </c>
      <c r="N10">
        <v>4960.9806828299734</v>
      </c>
      <c r="O10">
        <v>2189.8502014079522</v>
      </c>
      <c r="P10">
        <v>17920.010589048699</v>
      </c>
      <c r="Q10">
        <v>7455.9819274822739</v>
      </c>
      <c r="R10">
        <v>10216.664371206291</v>
      </c>
      <c r="S10">
        <v>11247.119330918729</v>
      </c>
      <c r="T10">
        <v>12419.75744127036</v>
      </c>
      <c r="U10">
        <v>12455.267023348841</v>
      </c>
      <c r="V10">
        <v>16171.98019760565</v>
      </c>
      <c r="W10">
        <v>13028.986886500081</v>
      </c>
      <c r="X10">
        <v>3670.6449160915909</v>
      </c>
      <c r="Y10">
        <v>4531.4508113837664</v>
      </c>
      <c r="Z10">
        <v>2940.0588328196791</v>
      </c>
      <c r="AA10">
        <v>4010.679332275603</v>
      </c>
      <c r="AB10">
        <v>27369.026349133201</v>
      </c>
      <c r="AC10">
        <v>84403981.331008956</v>
      </c>
      <c r="AD10">
        <v>14335.48738865387</v>
      </c>
      <c r="AE10">
        <v>683.54586832364862</v>
      </c>
      <c r="AF10">
        <v>7703.5844066946383</v>
      </c>
      <c r="AG10">
        <v>2938.9457124998939</v>
      </c>
      <c r="AH10">
        <v>3458.560846693681</v>
      </c>
      <c r="AI10">
        <v>6390.4730404828579</v>
      </c>
      <c r="AJ10">
        <v>40266.183742777837</v>
      </c>
      <c r="AK10">
        <v>7999.5786063565574</v>
      </c>
      <c r="AL10">
        <v>22541.881937857532</v>
      </c>
      <c r="AM10">
        <v>2072.2940655235529</v>
      </c>
      <c r="AN10">
        <v>2489.636160875677</v>
      </c>
      <c r="AO10">
        <v>5829.672497191501</v>
      </c>
      <c r="AP10">
        <v>1840.5395179686709</v>
      </c>
      <c r="AQ10">
        <v>8244.9252120168276</v>
      </c>
      <c r="AR10">
        <v>6656.2906852410852</v>
      </c>
      <c r="AS10">
        <v>804.75320921567777</v>
      </c>
      <c r="AT10">
        <v>260.82813657573189</v>
      </c>
      <c r="AU10">
        <v>69464.413349405426</v>
      </c>
      <c r="AV10">
        <v>34879.425867935708</v>
      </c>
      <c r="AW10">
        <v>3280.2633428839508</v>
      </c>
      <c r="AX10">
        <v>3225.1373885109342</v>
      </c>
      <c r="AY10">
        <v>56920.384594693191</v>
      </c>
      <c r="AZ10">
        <v>536002.95912408608</v>
      </c>
      <c r="BA10">
        <v>33493.669195308743</v>
      </c>
      <c r="BB10">
        <v>33549.096259300473</v>
      </c>
      <c r="BC10">
        <v>11140.77001754399</v>
      </c>
      <c r="BD10">
        <v>80684.676313683958</v>
      </c>
      <c r="BE10">
        <v>6637.697115678001</v>
      </c>
      <c r="BF10">
        <v>5587.6516022764199</v>
      </c>
      <c r="BG10">
        <v>1806.5662582485791</v>
      </c>
      <c r="BH10">
        <v>3538.0844974753072</v>
      </c>
      <c r="BI10">
        <v>8459.4954331362023</v>
      </c>
      <c r="BJ10">
        <v>2793.1785122778979</v>
      </c>
      <c r="BK10">
        <v>12080.66712586924</v>
      </c>
      <c r="BL10">
        <v>84030.672564708802</v>
      </c>
      <c r="BM10">
        <v>19453.560058510491</v>
      </c>
      <c r="BN10">
        <v>65772.034439981784</v>
      </c>
      <c r="BO10">
        <v>43922.380395958833</v>
      </c>
      <c r="BP10">
        <v>2153.8465627885571</v>
      </c>
      <c r="BQ10">
        <v>1465.680153973057</v>
      </c>
      <c r="BR10">
        <v>1362.5474662484539</v>
      </c>
      <c r="BS10">
        <v>1121.4182590769281</v>
      </c>
      <c r="BT10">
        <v>4047.203074150334</v>
      </c>
      <c r="BU10">
        <v>1922.47192556748</v>
      </c>
      <c r="BV10">
        <v>1831.431671894494</v>
      </c>
      <c r="BW10">
        <v>441.11853376325593</v>
      </c>
      <c r="BX10">
        <v>4637.8836745716371</v>
      </c>
      <c r="BY10">
        <v>7390.5969055371579</v>
      </c>
      <c r="BZ10">
        <v>44150.220922725057</v>
      </c>
      <c r="CA10">
        <v>1676.7306435522089</v>
      </c>
      <c r="CB10">
        <v>716.29520805194784</v>
      </c>
      <c r="CC10">
        <v>3404.6456876737211</v>
      </c>
      <c r="CD10">
        <v>849.22951941247868</v>
      </c>
      <c r="CE10">
        <v>347.66853691660549</v>
      </c>
      <c r="CF10">
        <v>-62312.196866318343</v>
      </c>
      <c r="CG10">
        <v>567.30332824049992</v>
      </c>
      <c r="CH10">
        <v>64392.190589515973</v>
      </c>
      <c r="CI10">
        <v>3912.8847659373569</v>
      </c>
      <c r="CJ10">
        <v>5522.7036201466744</v>
      </c>
      <c r="CK10">
        <v>834.51213711172625</v>
      </c>
      <c r="CL10">
        <v>817.21738460064057</v>
      </c>
      <c r="CM10">
        <v>15961.835958539899</v>
      </c>
      <c r="CN10">
        <v>2400.743508476573</v>
      </c>
      <c r="CO10">
        <v>5233.6371140953052</v>
      </c>
      <c r="CP10">
        <v>5040.8904902717377</v>
      </c>
    </row>
    <row r="11" spans="1:94" x14ac:dyDescent="0.3">
      <c r="A11" s="1" t="s">
        <v>102</v>
      </c>
      <c r="B11">
        <v>107.4970576575532</v>
      </c>
      <c r="C11">
        <v>33.450788268555492</v>
      </c>
      <c r="D11">
        <v>53.79401564226535</v>
      </c>
      <c r="E11">
        <v>107.8053402855882</v>
      </c>
      <c r="F11">
        <v>128.97084474375481</v>
      </c>
      <c r="G11">
        <v>2.7607464237872379</v>
      </c>
      <c r="H11">
        <v>15.886063071325021</v>
      </c>
      <c r="I11">
        <v>11.85581965779358</v>
      </c>
      <c r="J11">
        <v>16.51817805593268</v>
      </c>
      <c r="K11">
        <v>6.6666657970895127</v>
      </c>
      <c r="L11">
        <v>11.77336527632754</v>
      </c>
      <c r="M11">
        <v>8.644385089038412</v>
      </c>
      <c r="N11">
        <v>77.20267223176387</v>
      </c>
      <c r="O11">
        <v>22.25494583417008</v>
      </c>
      <c r="P11">
        <v>-47.819002189908247</v>
      </c>
      <c r="Q11">
        <v>2.6295703264163879</v>
      </c>
      <c r="R11">
        <v>89.642347732697715</v>
      </c>
      <c r="S11">
        <v>0.92990418278641862</v>
      </c>
      <c r="T11">
        <v>9.3568706532579288E-2</v>
      </c>
      <c r="U11">
        <v>1.6720190413131679</v>
      </c>
      <c r="V11">
        <v>463.01308613402432</v>
      </c>
      <c r="W11">
        <v>-2024.011364794434</v>
      </c>
      <c r="X11">
        <v>28.229400813627791</v>
      </c>
      <c r="Y11">
        <v>24.63343362012294</v>
      </c>
      <c r="Z11">
        <v>11.95726503089347</v>
      </c>
      <c r="AA11">
        <v>5.0592709381945626</v>
      </c>
      <c r="AB11">
        <v>128.3137593198287</v>
      </c>
      <c r="AC11">
        <v>30784.835450250201</v>
      </c>
      <c r="AD11">
        <v>19.106174539024082</v>
      </c>
      <c r="AE11">
        <v>19.733205443370689</v>
      </c>
      <c r="AF11">
        <v>65.062666838395131</v>
      </c>
      <c r="AG11">
        <v>-11.79036411194123</v>
      </c>
      <c r="AH11">
        <v>-7.2278567337393209</v>
      </c>
      <c r="AI11">
        <v>-7.1476334439617863</v>
      </c>
      <c r="AJ11">
        <v>75.454559053305843</v>
      </c>
      <c r="AK11">
        <v>142.5289123162205</v>
      </c>
      <c r="AL11">
        <v>164.80729301790129</v>
      </c>
      <c r="AM11">
        <v>34.126130240355963</v>
      </c>
      <c r="AN11">
        <v>82.651590964966246</v>
      </c>
      <c r="AO11">
        <v>271.40347513682673</v>
      </c>
      <c r="AP11">
        <v>21.05547548240996</v>
      </c>
      <c r="AQ11">
        <v>62.382480826570912</v>
      </c>
      <c r="AR11">
        <v>76.283678126736177</v>
      </c>
      <c r="AS11">
        <v>362.56155851132252</v>
      </c>
      <c r="AT11">
        <v>29.367131316875909</v>
      </c>
      <c r="AU11">
        <v>18.441690026938549</v>
      </c>
      <c r="AV11">
        <v>23.057606642935252</v>
      </c>
      <c r="AW11">
        <v>247.8243053743509</v>
      </c>
      <c r="AX11">
        <v>156.16332152290431</v>
      </c>
      <c r="AY11">
        <v>-1090.715337425627</v>
      </c>
      <c r="AZ11">
        <v>5.2014679878553611</v>
      </c>
      <c r="BA11">
        <v>1.222490443204765</v>
      </c>
      <c r="BB11">
        <v>7.7046273292755547</v>
      </c>
      <c r="BC11">
        <v>7.6782852906490087</v>
      </c>
      <c r="BD11">
        <v>204.058415360824</v>
      </c>
      <c r="BE11">
        <v>549.09342116626453</v>
      </c>
      <c r="BF11">
        <v>-59.582825030547319</v>
      </c>
      <c r="BG11">
        <v>473.84641255649552</v>
      </c>
      <c r="BH11">
        <v>7.5255994278440346</v>
      </c>
      <c r="BI11">
        <v>5.7708373511280486</v>
      </c>
      <c r="BJ11">
        <v>3.639477906193934</v>
      </c>
      <c r="BK11">
        <v>146.51047779378379</v>
      </c>
      <c r="BL11">
        <v>41.382359199581067</v>
      </c>
      <c r="BM11">
        <v>-11.1744028404818</v>
      </c>
      <c r="BN11">
        <v>67.670102945711051</v>
      </c>
      <c r="BO11">
        <v>177.4373398412547</v>
      </c>
      <c r="BP11">
        <v>-4.79503902262267</v>
      </c>
      <c r="BQ11">
        <v>7.7584524241497546</v>
      </c>
      <c r="BR11">
        <v>34.321189428095067</v>
      </c>
      <c r="BS11">
        <v>13.72703588983701</v>
      </c>
      <c r="BT11">
        <v>45.125927685665722</v>
      </c>
      <c r="BU11">
        <v>208.6918503886285</v>
      </c>
      <c r="BV11">
        <v>192.6313849579355</v>
      </c>
      <c r="BW11">
        <v>13.182390332621379</v>
      </c>
      <c r="BX11">
        <v>2.847439880127077</v>
      </c>
      <c r="BY11">
        <v>40.488084738277202</v>
      </c>
      <c r="BZ11">
        <v>34.543796929337972</v>
      </c>
      <c r="CA11">
        <v>47.643335875591021</v>
      </c>
      <c r="CB11">
        <v>84.365678774380029</v>
      </c>
      <c r="CC11">
        <v>29.098954144545051</v>
      </c>
      <c r="CD11">
        <v>35.9579074542402</v>
      </c>
      <c r="CE11">
        <v>20.548463966525581</v>
      </c>
      <c r="CF11">
        <v>239.5812414502476</v>
      </c>
      <c r="CG11">
        <v>66.065542229927928</v>
      </c>
      <c r="CH11">
        <v>-1989.9288120053179</v>
      </c>
      <c r="CI11">
        <v>128.12324699626271</v>
      </c>
      <c r="CJ11">
        <v>136.5577941677266</v>
      </c>
      <c r="CK11">
        <v>9.4927867541879536</v>
      </c>
      <c r="CL11">
        <v>348.55214405969201</v>
      </c>
      <c r="CM11">
        <v>117.1538179969306</v>
      </c>
      <c r="CN11">
        <v>97.210609702182083</v>
      </c>
      <c r="CO11">
        <v>102.32195853715631</v>
      </c>
      <c r="CP11">
        <v>15.921098887412519</v>
      </c>
    </row>
    <row r="12" spans="1:94" x14ac:dyDescent="0.3">
      <c r="A12" s="15" t="s">
        <v>103</v>
      </c>
      <c r="B12" s="16">
        <v>824.51232310929879</v>
      </c>
      <c r="C12" s="16">
        <v>68.736220921006833</v>
      </c>
      <c r="D12" s="16">
        <v>472.95081662009142</v>
      </c>
      <c r="E12" s="16">
        <v>1820.824892928897</v>
      </c>
      <c r="F12" s="16">
        <v>2148.7735569595502</v>
      </c>
      <c r="G12" s="16">
        <v>11.57831150286145</v>
      </c>
      <c r="H12" s="16">
        <v>48.06584675985173</v>
      </c>
      <c r="I12" s="16">
        <v>25.202872179387001</v>
      </c>
      <c r="J12" s="16">
        <v>21.02463182155455</v>
      </c>
      <c r="K12" s="16">
        <v>24.851903693248119</v>
      </c>
      <c r="L12" s="16">
        <v>34.268967733277023</v>
      </c>
      <c r="M12" s="16">
        <v>302.36948896148982</v>
      </c>
      <c r="N12" s="16">
        <v>1010.255260086976</v>
      </c>
      <c r="O12" s="16">
        <v>275.58753027617149</v>
      </c>
      <c r="P12" s="16">
        <v>1736.7391538059439</v>
      </c>
      <c r="Q12" s="16">
        <v>66.477879730298739</v>
      </c>
      <c r="R12" s="16">
        <v>497.16679386592091</v>
      </c>
      <c r="S12" s="16">
        <v>6.9243380545694633</v>
      </c>
      <c r="T12" s="16">
        <v>2.332646564261827</v>
      </c>
      <c r="U12" s="16">
        <v>26.296395255971209</v>
      </c>
      <c r="V12" s="16">
        <v>3936.277805779112</v>
      </c>
      <c r="W12" s="16">
        <v>773.94521034353465</v>
      </c>
      <c r="X12" s="16">
        <v>535.34620040396908</v>
      </c>
      <c r="Y12" s="16">
        <v>1572.805470333803</v>
      </c>
      <c r="Z12" s="16">
        <v>459.04937080612262</v>
      </c>
      <c r="AA12" s="16">
        <v>180.93609904083891</v>
      </c>
      <c r="AB12" s="16">
        <v>224.78320572206511</v>
      </c>
      <c r="AC12" s="16">
        <v>-337048.99635810778</v>
      </c>
      <c r="AD12" s="16">
        <v>296.95729734514629</v>
      </c>
      <c r="AE12" s="16">
        <v>147.67373633896139</v>
      </c>
      <c r="AF12" s="16">
        <v>3821.6691040883529</v>
      </c>
      <c r="AG12" s="16">
        <v>407.12009335068092</v>
      </c>
      <c r="AH12" s="16">
        <v>301.15761953225882</v>
      </c>
      <c r="AI12" s="16">
        <v>433.57252433515731</v>
      </c>
      <c r="AJ12" s="16">
        <v>1372.1905009520519</v>
      </c>
      <c r="AK12" s="16">
        <v>1168.893341061932</v>
      </c>
      <c r="AL12" s="16">
        <v>2438.3417192529678</v>
      </c>
      <c r="AM12" s="16">
        <v>63.832857913894557</v>
      </c>
      <c r="AN12" s="16">
        <v>197.75836602803861</v>
      </c>
      <c r="AO12" s="16">
        <v>763.43007829778583</v>
      </c>
      <c r="AP12" s="16">
        <v>618.34840948936699</v>
      </c>
      <c r="AQ12" s="16">
        <v>730.40084297091641</v>
      </c>
      <c r="AR12" s="16">
        <v>144.97273808476919</v>
      </c>
      <c r="AS12" s="16">
        <v>464.08000415656647</v>
      </c>
      <c r="AT12" s="16">
        <v>137.24627669848471</v>
      </c>
      <c r="AU12" s="16">
        <v>96.648276915173739</v>
      </c>
      <c r="AV12" s="16">
        <v>315.18861510018769</v>
      </c>
      <c r="AW12" s="16">
        <v>1315.9666087948981</v>
      </c>
      <c r="AX12" s="16">
        <v>712.39274990906381</v>
      </c>
      <c r="AY12" s="16">
        <v>1969.135958045923</v>
      </c>
      <c r="AZ12" s="16">
        <v>393.952341801356</v>
      </c>
      <c r="BA12" s="16">
        <v>21.950133204748649</v>
      </c>
      <c r="BB12" s="16">
        <v>109.3534516521087</v>
      </c>
      <c r="BC12" s="16">
        <v>261.29794779202302</v>
      </c>
      <c r="BD12" s="16">
        <v>5363.2019837181424</v>
      </c>
      <c r="BE12" s="16">
        <v>2139.6524406822791</v>
      </c>
      <c r="BF12" s="16">
        <v>158.35849656580311</v>
      </c>
      <c r="BG12" s="16">
        <v>620.18547910448149</v>
      </c>
      <c r="BH12" s="16">
        <v>120.6622687550044</v>
      </c>
      <c r="BI12" s="16">
        <v>377.54248766438701</v>
      </c>
      <c r="BJ12" s="16">
        <v>11.65087085754813</v>
      </c>
      <c r="BK12" s="16">
        <v>2388.2991440045189</v>
      </c>
      <c r="BL12" s="16">
        <v>616.49413546078813</v>
      </c>
      <c r="BM12" s="16">
        <v>102.2341748788496</v>
      </c>
      <c r="BN12" s="16">
        <v>1745.5341128230129</v>
      </c>
      <c r="BO12" s="16">
        <v>6352.1049961120243</v>
      </c>
      <c r="BP12" s="16">
        <v>312.70725538924341</v>
      </c>
      <c r="BQ12" s="16">
        <v>188.56255760247089</v>
      </c>
      <c r="BR12" s="16">
        <v>385.98264060167651</v>
      </c>
      <c r="BS12" s="16">
        <v>184.4614527826113</v>
      </c>
      <c r="BT12" s="16">
        <v>470.50677491106751</v>
      </c>
      <c r="BU12" s="16">
        <v>466.72084901879037</v>
      </c>
      <c r="BV12" s="16">
        <v>619.82101433718469</v>
      </c>
      <c r="BW12" s="16">
        <v>46.99450537435056</v>
      </c>
      <c r="BX12" s="16">
        <v>29.793243271168159</v>
      </c>
      <c r="BY12" s="16">
        <v>952.77923725974563</v>
      </c>
      <c r="BZ12" s="16">
        <v>481.08721707448251</v>
      </c>
      <c r="CA12" s="16">
        <v>219.12882379487999</v>
      </c>
      <c r="CB12" s="16">
        <v>379.58777748461807</v>
      </c>
      <c r="CC12" s="16">
        <v>600.56667262330461</v>
      </c>
      <c r="CD12" s="16">
        <v>136.9700363721818</v>
      </c>
      <c r="CE12" s="16">
        <v>30.350865969521621</v>
      </c>
      <c r="CF12" s="16">
        <v>-172664.63802688109</v>
      </c>
      <c r="CG12" s="16">
        <v>68.864992400302413</v>
      </c>
      <c r="CH12" s="16">
        <v>6030.0093492402357</v>
      </c>
      <c r="CI12" s="16">
        <v>1499.609055926365</v>
      </c>
      <c r="CJ12" s="16">
        <v>1738.55168870835</v>
      </c>
      <c r="CK12" s="16">
        <v>96.090498434248019</v>
      </c>
      <c r="CL12" s="16">
        <v>496.89650335459078</v>
      </c>
      <c r="CM12" s="16">
        <v>1370.5346267097809</v>
      </c>
      <c r="CN12" s="16">
        <v>533.34012591254611</v>
      </c>
      <c r="CO12" s="16">
        <v>1193.347749578204</v>
      </c>
      <c r="CP12" s="16">
        <v>743.34515532179466</v>
      </c>
    </row>
    <row r="13" spans="1:94" x14ac:dyDescent="0.3">
      <c r="A13" s="15" t="s">
        <v>104</v>
      </c>
      <c r="B13" s="16">
        <v>692.19561191393257</v>
      </c>
      <c r="C13" s="16">
        <v>56.814525174949978</v>
      </c>
      <c r="D13" s="16">
        <v>472.95081662009142</v>
      </c>
      <c r="E13" s="16">
        <v>1275.8963184988841</v>
      </c>
      <c r="F13" s="16">
        <v>1505.2385028942999</v>
      </c>
      <c r="G13" s="16">
        <v>8.0565514050314118</v>
      </c>
      <c r="H13" s="16">
        <v>34.136993925647907</v>
      </c>
      <c r="I13" s="16">
        <v>18.335457394906921</v>
      </c>
      <c r="J13" s="16">
        <v>15.79488630962129</v>
      </c>
      <c r="K13" s="16">
        <v>18.104442929338649</v>
      </c>
      <c r="L13" s="16">
        <v>32.466526230814203</v>
      </c>
      <c r="M13" s="16">
        <v>272.00899896893827</v>
      </c>
      <c r="N13" s="16">
        <v>695.83926717391955</v>
      </c>
      <c r="O13" s="16">
        <v>228.04136960585109</v>
      </c>
      <c r="P13" s="16">
        <v>1327.281654615781</v>
      </c>
      <c r="Q13" s="16">
        <v>46.807125823826958</v>
      </c>
      <c r="R13" s="16">
        <v>322.20016414997781</v>
      </c>
      <c r="S13" s="16">
        <v>4.8686058966012524</v>
      </c>
      <c r="T13" s="16">
        <v>1.883865396348374</v>
      </c>
      <c r="U13" s="16">
        <v>21.250338345923321</v>
      </c>
      <c r="V13" s="16">
        <v>3897.085451838559</v>
      </c>
      <c r="W13" s="16">
        <v>725.37373891059076</v>
      </c>
      <c r="X13" s="16">
        <v>425.00330601336628</v>
      </c>
      <c r="Y13" s="16">
        <v>1546.033290890203</v>
      </c>
      <c r="Z13" s="16">
        <v>373.19267754598621</v>
      </c>
      <c r="AA13" s="16">
        <v>127.21918103847349</v>
      </c>
      <c r="AB13" s="16">
        <v>154.4379712223587</v>
      </c>
      <c r="AC13" s="16">
        <v>-133388.2997806787</v>
      </c>
      <c r="AD13" s="16">
        <v>201.91335033752739</v>
      </c>
      <c r="AE13" s="16">
        <v>120.8606090753772</v>
      </c>
      <c r="AF13" s="16">
        <v>2050.871769126119</v>
      </c>
      <c r="AG13" s="16">
        <v>346.36499689625208</v>
      </c>
      <c r="AH13" s="16">
        <v>249.8673152056169</v>
      </c>
      <c r="AI13" s="16">
        <v>336.09802837954749</v>
      </c>
      <c r="AJ13" s="16">
        <v>741.49717719959426</v>
      </c>
      <c r="AK13" s="16">
        <v>657.91511264658766</v>
      </c>
      <c r="AL13" s="16">
        <v>1391.623061531641</v>
      </c>
      <c r="AM13" s="16">
        <v>54.435018608746937</v>
      </c>
      <c r="AN13" s="16">
        <v>183.06182137569351</v>
      </c>
      <c r="AO13" s="16">
        <v>517.44315299928746</v>
      </c>
      <c r="AP13" s="16">
        <v>485.74821271792172</v>
      </c>
      <c r="AQ13" s="16">
        <v>603.48567692493054</v>
      </c>
      <c r="AR13" s="16">
        <v>101.16253814375909</v>
      </c>
      <c r="AS13" s="16">
        <v>376.90915129779052</v>
      </c>
      <c r="AT13" s="16">
        <v>125.9129631894244</v>
      </c>
      <c r="AU13" s="16">
        <v>58.647256859971968</v>
      </c>
      <c r="AV13" s="16">
        <v>203.0613623101126</v>
      </c>
      <c r="AW13" s="16">
        <v>1034.2170696587159</v>
      </c>
      <c r="AX13" s="16">
        <v>565.5415762459055</v>
      </c>
      <c r="AY13" s="16">
        <v>1147.5750966572359</v>
      </c>
      <c r="AZ13" s="16">
        <v>279.61958339006833</v>
      </c>
      <c r="BA13" s="16">
        <v>17.786541823528552</v>
      </c>
      <c r="BB13" s="16">
        <v>89.015279466796926</v>
      </c>
      <c r="BC13" s="16">
        <v>228.0703595398181</v>
      </c>
      <c r="BD13" s="16">
        <v>3405.956872165998</v>
      </c>
      <c r="BE13" s="16">
        <v>1425.681795198826</v>
      </c>
      <c r="BF13" s="16">
        <v>130.25768719153049</v>
      </c>
      <c r="BG13" s="16">
        <v>545.80271646431652</v>
      </c>
      <c r="BH13" s="16">
        <v>90.660313724386867</v>
      </c>
      <c r="BI13" s="16">
        <v>279.52566909083009</v>
      </c>
      <c r="BJ13" s="16">
        <v>10.58322023397003</v>
      </c>
      <c r="BK13" s="16">
        <v>1896.600023589275</v>
      </c>
      <c r="BL13" s="16">
        <v>550.1866568914985</v>
      </c>
      <c r="BM13" s="16">
        <v>91.629430907891248</v>
      </c>
      <c r="BN13" s="16">
        <v>1522.2768725694641</v>
      </c>
      <c r="BO13" s="16">
        <v>5009.907101397187</v>
      </c>
      <c r="BP13" s="16">
        <v>214.72826322865271</v>
      </c>
      <c r="BQ13" s="16">
        <v>156.5672357231482</v>
      </c>
      <c r="BR13" s="16">
        <v>309.06232928516602</v>
      </c>
      <c r="BS13" s="16">
        <v>150.80118777397379</v>
      </c>
      <c r="BT13" s="16">
        <v>376.85868325386917</v>
      </c>
      <c r="BU13" s="16">
        <v>326.44995183335442</v>
      </c>
      <c r="BV13" s="16">
        <v>460.53714774079151</v>
      </c>
      <c r="BW13" s="16">
        <v>35.564152956977352</v>
      </c>
      <c r="BX13" s="16">
        <v>22.966717267175191</v>
      </c>
      <c r="BY13" s="16">
        <v>564.78835467398471</v>
      </c>
      <c r="BZ13" s="16">
        <v>328.32987332727572</v>
      </c>
      <c r="CA13" s="16">
        <v>162.9192387890694</v>
      </c>
      <c r="CB13" s="16">
        <v>309.14585290358337</v>
      </c>
      <c r="CC13" s="16">
        <v>571.17534045275659</v>
      </c>
      <c r="CD13" s="16">
        <v>72.694681819220719</v>
      </c>
      <c r="CE13" s="16">
        <v>21.7374984250566</v>
      </c>
      <c r="CF13" s="16">
        <v>-44222.134886968168</v>
      </c>
      <c r="CG13" s="16">
        <v>46.577056825039492</v>
      </c>
      <c r="CH13" s="16">
        <v>2917.8388317391541</v>
      </c>
      <c r="CI13" s="16">
        <v>1235.483489422111</v>
      </c>
      <c r="CJ13" s="16">
        <v>1705.082914110425</v>
      </c>
      <c r="CK13" s="16">
        <v>72.30366759646418</v>
      </c>
      <c r="CL13" s="16">
        <v>356.47548968842642</v>
      </c>
      <c r="CM13" s="16">
        <v>1202.3210647676269</v>
      </c>
      <c r="CN13" s="16">
        <v>414.51957845892258</v>
      </c>
      <c r="CO13" s="16">
        <v>1112.659107994863</v>
      </c>
      <c r="CP13" s="16">
        <v>522.35124274592215</v>
      </c>
    </row>
    <row r="14" spans="1:94" x14ac:dyDescent="0.3">
      <c r="A14" s="1" t="s">
        <v>105</v>
      </c>
      <c r="B14">
        <v>829.04624763086019</v>
      </c>
      <c r="C14">
        <v>70.328620475868831</v>
      </c>
      <c r="D14">
        <v>487.58751207365958</v>
      </c>
      <c r="E14">
        <v>1861.9179882343519</v>
      </c>
      <c r="F14">
        <v>2201.3098769461758</v>
      </c>
      <c r="G14">
        <v>11.738182252557751</v>
      </c>
      <c r="H14">
        <v>48.571645780275169</v>
      </c>
      <c r="I14">
        <v>25.373173254614091</v>
      </c>
      <c r="J14">
        <v>21.58504672604484</v>
      </c>
      <c r="K14">
        <v>25.264299448173372</v>
      </c>
      <c r="L14">
        <v>34.851343786813182</v>
      </c>
      <c r="M14">
        <v>307.35879402825532</v>
      </c>
      <c r="N14">
        <v>1058.509147696652</v>
      </c>
      <c r="O14">
        <v>279.45686206836717</v>
      </c>
      <c r="P14">
        <v>1762.752420135575</v>
      </c>
      <c r="Q14">
        <v>68.521125646966098</v>
      </c>
      <c r="R14">
        <v>506.35297814280699</v>
      </c>
      <c r="S14">
        <v>6.9888488022975412</v>
      </c>
      <c r="T14">
        <v>2.373567811902606</v>
      </c>
      <c r="U14">
        <v>26.739464124663328</v>
      </c>
      <c r="V14">
        <v>3900.8631099515442</v>
      </c>
      <c r="W14">
        <v>779.38289245674775</v>
      </c>
      <c r="X14">
        <v>540.40599007764433</v>
      </c>
      <c r="Y14">
        <v>1611.9920192919931</v>
      </c>
      <c r="Z14">
        <v>474.04493733206272</v>
      </c>
      <c r="AA14">
        <v>185.54479543542021</v>
      </c>
      <c r="AB14">
        <v>229.79538765702549</v>
      </c>
      <c r="AC14">
        <v>-337348.79460827663</v>
      </c>
      <c r="AD14">
        <v>298.69196602182978</v>
      </c>
      <c r="AE14">
        <v>149.35533314163729</v>
      </c>
      <c r="AF14">
        <v>4092.2886943831309</v>
      </c>
      <c r="AG14">
        <v>410.45118944226112</v>
      </c>
      <c r="AH14">
        <v>304.28754994510069</v>
      </c>
      <c r="AI14">
        <v>437.70351123757899</v>
      </c>
      <c r="AJ14">
        <v>1410.156423890877</v>
      </c>
      <c r="AK14">
        <v>1185.4051855583839</v>
      </c>
      <c r="AL14">
        <v>2540.8701521869348</v>
      </c>
      <c r="AM14">
        <v>65.167266518262622</v>
      </c>
      <c r="AN14">
        <v>201.0415830088584</v>
      </c>
      <c r="AO14">
        <v>767.7410287963296</v>
      </c>
      <c r="AP14">
        <v>623.17055311559568</v>
      </c>
      <c r="AQ14">
        <v>745.55303710439262</v>
      </c>
      <c r="AR14">
        <v>150.65889176777461</v>
      </c>
      <c r="AS14">
        <v>474.71502126219832</v>
      </c>
      <c r="AT14">
        <v>139.10675312946401</v>
      </c>
      <c r="AU14">
        <v>96.99455323459658</v>
      </c>
      <c r="AV14">
        <v>1513.8343727009981</v>
      </c>
      <c r="AW14">
        <v>1328.2717552275119</v>
      </c>
      <c r="AX14">
        <v>719.02151795056375</v>
      </c>
      <c r="AY14">
        <v>2000.8119484622309</v>
      </c>
      <c r="AZ14">
        <v>403.27161346062792</v>
      </c>
      <c r="BA14">
        <v>22.075793115695049</v>
      </c>
      <c r="BB14">
        <v>113.25437761424701</v>
      </c>
      <c r="BC14">
        <v>263.99723424586102</v>
      </c>
      <c r="BD14">
        <v>5347.433448597405</v>
      </c>
      <c r="BE14">
        <v>2170.4734440245638</v>
      </c>
      <c r="BF14">
        <v>160.9767884932416</v>
      </c>
      <c r="BG14">
        <v>633.18162062574493</v>
      </c>
      <c r="BH14">
        <v>122.51179084911659</v>
      </c>
      <c r="BI14">
        <v>384.01191716862058</v>
      </c>
      <c r="BJ14">
        <v>11.765829207277561</v>
      </c>
      <c r="BK14">
        <v>2519.9283399713881</v>
      </c>
      <c r="BL14">
        <v>626.6998893406153</v>
      </c>
      <c r="BM14">
        <v>103.19934429502101</v>
      </c>
      <c r="BN14">
        <v>1769.9329309858269</v>
      </c>
      <c r="BO14">
        <v>6469.1546839766688</v>
      </c>
      <c r="BP14">
        <v>315.91455172173289</v>
      </c>
      <c r="BQ14">
        <v>196.46635629147019</v>
      </c>
      <c r="BR14">
        <v>395.30715096421721</v>
      </c>
      <c r="BS14">
        <v>189.1853085424045</v>
      </c>
      <c r="BT14">
        <v>479.15477499456563</v>
      </c>
      <c r="BU14">
        <v>470.44590708656881</v>
      </c>
      <c r="BV14">
        <v>628.66047503426489</v>
      </c>
      <c r="BW14">
        <v>47.127884452698098</v>
      </c>
      <c r="BX14">
        <v>30.36589285264316</v>
      </c>
      <c r="BY14">
        <v>968.43075206976494</v>
      </c>
      <c r="BZ14">
        <v>481.46751996783752</v>
      </c>
      <c r="CA14">
        <v>219.83407696546499</v>
      </c>
      <c r="CB14">
        <v>387.91635568478188</v>
      </c>
      <c r="CC14">
        <v>604.36450045212871</v>
      </c>
      <c r="CD14">
        <v>139.0963751319112</v>
      </c>
      <c r="CE14">
        <v>30.77886432776646</v>
      </c>
      <c r="CF14">
        <v>-175265.46934182101</v>
      </c>
      <c r="CG14">
        <v>69.12636063375848</v>
      </c>
      <c r="CH14">
        <v>169985945118674.31</v>
      </c>
      <c r="CI14">
        <v>1519.5092109567879</v>
      </c>
      <c r="CJ14">
        <v>1751.5012012842251</v>
      </c>
      <c r="CK14">
        <v>100.5961276178281</v>
      </c>
      <c r="CL14">
        <v>499.02714430033558</v>
      </c>
      <c r="CM14">
        <v>1384.0441302589561</v>
      </c>
      <c r="CN14">
        <v>556.35130730703725</v>
      </c>
      <c r="CO14">
        <v>1203.866339594384</v>
      </c>
      <c r="CP14">
        <v>762.00263011385255</v>
      </c>
    </row>
    <row r="15" spans="1:94" x14ac:dyDescent="0.3">
      <c r="A15" s="15" t="s">
        <v>106</v>
      </c>
      <c r="B15" s="16">
        <v>954.42404889964337</v>
      </c>
      <c r="C15" s="16">
        <v>73.8581293716868</v>
      </c>
      <c r="D15" s="16">
        <v>515.18046495095575</v>
      </c>
      <c r="E15" s="16">
        <v>1970.5407799505631</v>
      </c>
      <c r="F15" s="16">
        <v>2344.618835813365</v>
      </c>
      <c r="G15" s="16">
        <v>12.02535191262678</v>
      </c>
      <c r="H15" s="16">
        <v>49.644208495092819</v>
      </c>
      <c r="I15" s="16">
        <v>26.11053998012811</v>
      </c>
      <c r="J15" s="16">
        <v>22.45771084152485</v>
      </c>
      <c r="K15" s="16">
        <v>26.428475042173201</v>
      </c>
      <c r="L15" s="16">
        <v>36.832851443187991</v>
      </c>
      <c r="M15" s="16">
        <v>313.565672248559</v>
      </c>
      <c r="N15" s="16">
        <v>1092.4565899436541</v>
      </c>
      <c r="O15" s="16">
        <v>290.22527173478431</v>
      </c>
      <c r="P15" s="16">
        <v>1823.1822156264259</v>
      </c>
      <c r="Q15" s="16">
        <v>77.47059905123632</v>
      </c>
      <c r="R15" s="16">
        <v>550.45815370876221</v>
      </c>
      <c r="S15" s="16">
        <v>7.2547100272956921</v>
      </c>
      <c r="T15" s="16">
        <v>2.6942785196046901</v>
      </c>
      <c r="U15" s="16">
        <v>28.60872907642479</v>
      </c>
      <c r="V15" s="16">
        <v>4370.0256743484297</v>
      </c>
      <c r="W15" s="16">
        <v>792.71773528072572</v>
      </c>
      <c r="X15" s="16">
        <v>564.35053966995713</v>
      </c>
      <c r="Y15" s="16">
        <v>1698.7463902139889</v>
      </c>
      <c r="Z15" s="16">
        <v>472.61179221112161</v>
      </c>
      <c r="AA15" s="16">
        <v>190.76130380003909</v>
      </c>
      <c r="AB15" s="16">
        <v>249.38705630467999</v>
      </c>
      <c r="AC15" s="16">
        <v>-350845.38359446742</v>
      </c>
      <c r="AD15" s="16">
        <v>298.18961205303981</v>
      </c>
      <c r="AE15" s="16">
        <v>172.42972883774709</v>
      </c>
      <c r="AF15" s="16">
        <v>9849.5009554120188</v>
      </c>
      <c r="AG15" s="16">
        <v>423.78557346332241</v>
      </c>
      <c r="AH15" s="16">
        <v>319.23104780661208</v>
      </c>
      <c r="AI15" s="16">
        <v>461.1757509635342</v>
      </c>
      <c r="AJ15" s="16">
        <v>1501.7418711321891</v>
      </c>
      <c r="AK15" s="16">
        <v>1279.050136815134</v>
      </c>
      <c r="AL15" s="16">
        <v>2634.0468975986009</v>
      </c>
      <c r="AM15" s="16">
        <v>69.513203537765634</v>
      </c>
      <c r="AN15" s="16">
        <v>209.3840610511493</v>
      </c>
      <c r="AO15" s="16">
        <v>780.70119123291238</v>
      </c>
      <c r="AP15" s="16">
        <v>645.38900447331707</v>
      </c>
      <c r="AQ15" s="16">
        <v>777.70077243566129</v>
      </c>
      <c r="AR15" s="16">
        <v>174.42255895566981</v>
      </c>
      <c r="AS15" s="16">
        <v>494.44531218583228</v>
      </c>
      <c r="AT15" s="16">
        <v>146.87901960303569</v>
      </c>
      <c r="AU15" s="16">
        <v>103.2441316057114</v>
      </c>
      <c r="AV15" s="16">
        <v>311.15557839724119</v>
      </c>
      <c r="AW15" s="16">
        <v>1363.1491570729911</v>
      </c>
      <c r="AX15" s="16">
        <v>751.59994216294137</v>
      </c>
      <c r="AY15" s="16">
        <v>2030.724714416092</v>
      </c>
      <c r="AZ15" s="16">
        <v>423.59946543406431</v>
      </c>
      <c r="BA15" s="16">
        <v>24.002448802911179</v>
      </c>
      <c r="BB15" s="16">
        <v>119.0715465159051</v>
      </c>
      <c r="BC15" s="16">
        <v>276.03515320266268</v>
      </c>
      <c r="BD15" s="16">
        <v>5678.2195126639408</v>
      </c>
      <c r="BE15" s="16">
        <v>2346.8041876407751</v>
      </c>
      <c r="BF15" s="16">
        <v>163.78426716356651</v>
      </c>
      <c r="BG15" s="16">
        <v>636.11337320812129</v>
      </c>
      <c r="BH15" s="16">
        <v>130.40214903653199</v>
      </c>
      <c r="BI15" s="16">
        <v>400.10306009683848</v>
      </c>
      <c r="BJ15" s="16">
        <v>11.891644934349079</v>
      </c>
      <c r="BK15" s="16">
        <v>2700.7188354845348</v>
      </c>
      <c r="BL15" s="16">
        <v>657.08582612736973</v>
      </c>
      <c r="BM15" s="16">
        <v>105.7902991107041</v>
      </c>
      <c r="BN15" s="16">
        <v>1757.5121697059251</v>
      </c>
      <c r="BO15" s="16">
        <v>6566.1057750404916</v>
      </c>
      <c r="BP15" s="16">
        <v>336.48990998289378</v>
      </c>
      <c r="BQ15" s="16">
        <v>207.81397732812579</v>
      </c>
      <c r="BR15" s="16">
        <v>403.672933605124</v>
      </c>
      <c r="BS15" s="16">
        <v>196.9293179223661</v>
      </c>
      <c r="BT15" s="16">
        <v>503.39971371238022</v>
      </c>
      <c r="BU15" s="16">
        <v>508.87205123294211</v>
      </c>
      <c r="BV15" s="16">
        <v>662.00381396900082</v>
      </c>
      <c r="BW15" s="16">
        <v>51.238778231099587</v>
      </c>
      <c r="BX15" s="16">
        <v>32.065375287311177</v>
      </c>
      <c r="BY15" s="16">
        <v>1005.115757775828</v>
      </c>
      <c r="BZ15" s="16">
        <v>542.02275636333536</v>
      </c>
      <c r="CA15" s="16">
        <v>229.47877622567611</v>
      </c>
      <c r="CB15" s="16">
        <v>400.97952415003709</v>
      </c>
      <c r="CC15" s="16">
        <v>614.05505225886566</v>
      </c>
      <c r="CD15" s="16">
        <v>143.33228598451669</v>
      </c>
      <c r="CE15" s="16">
        <v>31.353384518802049</v>
      </c>
      <c r="CF15" s="16">
        <v>-197422.58433663959</v>
      </c>
      <c r="CG15" s="16">
        <v>71.463461702077907</v>
      </c>
      <c r="CH15" s="16">
        <v>17837.04851009648</v>
      </c>
      <c r="CI15" s="16">
        <v>1600.3035941906639</v>
      </c>
      <c r="CJ15" s="16">
        <v>1898.816341762471</v>
      </c>
      <c r="CK15" s="16">
        <v>113.6298969679594</v>
      </c>
      <c r="CL15" s="16">
        <v>533.37074499149901</v>
      </c>
      <c r="CM15" s="16">
        <v>1467.530291529014</v>
      </c>
      <c r="CN15" s="16">
        <v>743.92568938636714</v>
      </c>
      <c r="CO15" s="16">
        <v>1251.745866522383</v>
      </c>
      <c r="CP15" s="16">
        <v>871.89387227807367</v>
      </c>
    </row>
    <row r="16" spans="1:94" x14ac:dyDescent="0.3">
      <c r="A16" s="1" t="s">
        <v>107</v>
      </c>
      <c r="B16">
        <v>2362.5153673090649</v>
      </c>
      <c r="C16">
        <v>100.3160015497464</v>
      </c>
      <c r="D16">
        <v>776.64511419034977</v>
      </c>
      <c r="E16">
        <v>2797.631340291146</v>
      </c>
      <c r="F16">
        <v>3081.0714508350429</v>
      </c>
      <c r="G16">
        <v>13.519865636563701</v>
      </c>
      <c r="H16">
        <v>52.374393053641192</v>
      </c>
      <c r="I16">
        <v>29.46748946628658</v>
      </c>
      <c r="J16">
        <v>27.146804812025781</v>
      </c>
      <c r="K16">
        <v>33.994779335058602</v>
      </c>
      <c r="L16">
        <v>45.607529440374464</v>
      </c>
      <c r="M16">
        <v>379.8687630141622</v>
      </c>
      <c r="N16">
        <v>1699.155654629343</v>
      </c>
      <c r="O16">
        <v>352.56281271596418</v>
      </c>
      <c r="P16">
        <v>2358.2233231128721</v>
      </c>
      <c r="Q16">
        <v>118.4406685050769</v>
      </c>
      <c r="R16">
        <v>1157.4045309234621</v>
      </c>
      <c r="S16">
        <v>11.128989391300941</v>
      </c>
      <c r="T16">
        <v>4.1585675834804521</v>
      </c>
      <c r="U16">
        <v>43.387343131658888</v>
      </c>
      <c r="V16">
        <v>6827.8807961529319</v>
      </c>
      <c r="W16">
        <v>877.57245218385935</v>
      </c>
      <c r="X16">
        <v>681.92834263235227</v>
      </c>
      <c r="Y16">
        <v>2221.2016731126</v>
      </c>
      <c r="Z16">
        <v>565.26711940818143</v>
      </c>
      <c r="AA16">
        <v>226.30422594808229</v>
      </c>
      <c r="AB16">
        <v>410.10855114018148</v>
      </c>
      <c r="AC16">
        <v>-439176.98156546347</v>
      </c>
      <c r="AD16">
        <v>324.67880600622419</v>
      </c>
      <c r="AE16">
        <v>340.91969377007882</v>
      </c>
      <c r="AF16">
        <v>16647.263143621149</v>
      </c>
      <c r="AG16">
        <v>497.00367639180769</v>
      </c>
      <c r="AH16">
        <v>395.5528556679929</v>
      </c>
      <c r="AI16">
        <v>598.43480638827009</v>
      </c>
      <c r="AJ16">
        <v>4020.5063877954108</v>
      </c>
      <c r="AK16">
        <v>1669.122787414401</v>
      </c>
      <c r="AL16">
        <v>4097.1863698988054</v>
      </c>
      <c r="AM16">
        <v>100.9525172595676</v>
      </c>
      <c r="AN16">
        <v>229.74270903082959</v>
      </c>
      <c r="AO16">
        <v>821.54843168373384</v>
      </c>
      <c r="AP16">
        <v>781.85912572391157</v>
      </c>
      <c r="AQ16">
        <v>941.37690898732558</v>
      </c>
      <c r="AR16">
        <v>268.09556210235689</v>
      </c>
      <c r="AS16">
        <v>615.15323262793993</v>
      </c>
      <c r="AT16">
        <v>177.8922653374415</v>
      </c>
      <c r="AU16">
        <v>125.0582525789201</v>
      </c>
      <c r="AV16">
        <v>437.14645048938257</v>
      </c>
      <c r="AW16">
        <v>1641.2853394313979</v>
      </c>
      <c r="AX16">
        <v>844.84259951850561</v>
      </c>
      <c r="AY16">
        <v>2360.9013429926108</v>
      </c>
      <c r="AZ16">
        <v>733.06751699669599</v>
      </c>
      <c r="BA16">
        <v>28.867971283957591</v>
      </c>
      <c r="BB16">
        <v>170.23675042918339</v>
      </c>
      <c r="BC16">
        <v>337.4367250637506</v>
      </c>
      <c r="BD16">
        <v>7179.8898756298822</v>
      </c>
      <c r="BE16">
        <v>2898.6817227067691</v>
      </c>
      <c r="BF16">
        <v>233.63520510863029</v>
      </c>
      <c r="BG16">
        <v>713.27213522268914</v>
      </c>
      <c r="BH16">
        <v>186.69916629000789</v>
      </c>
      <c r="BI16">
        <v>534.63649069096527</v>
      </c>
      <c r="BJ16">
        <v>12.836071677662661</v>
      </c>
      <c r="BK16">
        <v>133944.87007194749</v>
      </c>
      <c r="BL16">
        <v>842.39776658565131</v>
      </c>
      <c r="BM16">
        <v>119.3751806414563</v>
      </c>
      <c r="BN16">
        <v>2089.9365194764591</v>
      </c>
      <c r="BO16">
        <v>7881.0199822134873</v>
      </c>
      <c r="BP16">
        <v>409.72330100606467</v>
      </c>
      <c r="BQ16">
        <v>318.28605956237669</v>
      </c>
      <c r="BR16">
        <v>507.77286492732247</v>
      </c>
      <c r="BS16">
        <v>238.20146628090501</v>
      </c>
      <c r="BT16">
        <v>793.58747222325258</v>
      </c>
      <c r="BU16">
        <v>618.73922091712052</v>
      </c>
      <c r="BV16">
        <v>754.03637841952843</v>
      </c>
      <c r="BW16">
        <v>60.901176448204993</v>
      </c>
      <c r="BX16">
        <v>37.962948613064547</v>
      </c>
      <c r="BY16">
        <v>1271.3548125426471</v>
      </c>
      <c r="BZ16">
        <v>867.29322680126143</v>
      </c>
      <c r="CA16">
        <v>282.28481366549988</v>
      </c>
      <c r="CB16">
        <v>504.61077359354078</v>
      </c>
      <c r="CC16">
        <v>731.20467863013005</v>
      </c>
      <c r="CD16">
        <v>167.44080822868619</v>
      </c>
      <c r="CE16">
        <v>33.467645601206499</v>
      </c>
      <c r="CF16">
        <v>-440813.83864594088</v>
      </c>
      <c r="CG16">
        <v>80.561087854348102</v>
      </c>
      <c r="CH16">
        <v>9858.8139160957871</v>
      </c>
      <c r="CI16">
        <v>1952.490879422387</v>
      </c>
      <c r="CJ16">
        <v>2993.8599040276858</v>
      </c>
      <c r="CK16">
        <v>149.3266424167206</v>
      </c>
      <c r="CL16">
        <v>612.97669757821757</v>
      </c>
      <c r="CM16">
        <v>1988.3779735729349</v>
      </c>
      <c r="CN16">
        <v>1507.922067450168</v>
      </c>
      <c r="CO16">
        <v>1679.828054729255</v>
      </c>
      <c r="CP16">
        <v>1139.9266204419901</v>
      </c>
    </row>
    <row r="17" spans="1:94" ht="14.5" thickBot="1" x14ac:dyDescent="0.35"/>
    <row r="18" spans="1:94" ht="70" thickBot="1" x14ac:dyDescent="0.35">
      <c r="A18" s="2" t="s">
        <v>109</v>
      </c>
      <c r="B18" s="17" t="s">
        <v>110</v>
      </c>
      <c r="C18" s="18"/>
      <c r="D18" s="18"/>
      <c r="E18" s="18"/>
      <c r="F18" s="18"/>
      <c r="G18" s="19"/>
    </row>
    <row r="19" spans="1:94" x14ac:dyDescent="0.3">
      <c r="A19" s="3" t="s">
        <v>96</v>
      </c>
      <c r="B19" s="13" t="s">
        <v>0</v>
      </c>
      <c r="C19" s="13" t="s">
        <v>1</v>
      </c>
      <c r="D19" s="13" t="s">
        <v>2</v>
      </c>
      <c r="E19" s="13" t="s">
        <v>3</v>
      </c>
      <c r="F19" s="13" t="s">
        <v>4</v>
      </c>
      <c r="G19" s="13" t="s">
        <v>5</v>
      </c>
      <c r="H19" s="13" t="s">
        <v>6</v>
      </c>
      <c r="I19" s="13" t="s">
        <v>7</v>
      </c>
      <c r="J19" s="13" t="s">
        <v>8</v>
      </c>
      <c r="K19" s="13" t="s">
        <v>9</v>
      </c>
      <c r="L19" s="13" t="s">
        <v>10</v>
      </c>
      <c r="M19" s="13" t="s">
        <v>11</v>
      </c>
      <c r="N19" s="13" t="s">
        <v>12</v>
      </c>
      <c r="O19" s="13" t="s">
        <v>13</v>
      </c>
      <c r="P19" s="13" t="s">
        <v>14</v>
      </c>
      <c r="Q19" s="13" t="s">
        <v>15</v>
      </c>
      <c r="R19" s="13" t="s">
        <v>16</v>
      </c>
      <c r="S19" s="13" t="s">
        <v>17</v>
      </c>
      <c r="T19" s="13" t="s">
        <v>18</v>
      </c>
      <c r="U19" s="13" t="s">
        <v>19</v>
      </c>
      <c r="V19" s="13" t="s">
        <v>20</v>
      </c>
      <c r="W19" s="13" t="s">
        <v>21</v>
      </c>
      <c r="X19" s="13" t="s">
        <v>22</v>
      </c>
      <c r="Y19" s="13" t="s">
        <v>23</v>
      </c>
      <c r="Z19" s="13" t="s">
        <v>24</v>
      </c>
      <c r="AA19" s="13" t="s">
        <v>25</v>
      </c>
      <c r="AB19" s="13" t="s">
        <v>26</v>
      </c>
      <c r="AC19" s="13" t="s">
        <v>27</v>
      </c>
      <c r="AD19" s="13" t="s">
        <v>28</v>
      </c>
      <c r="AE19" s="13" t="s">
        <v>29</v>
      </c>
      <c r="AF19" s="13" t="s">
        <v>30</v>
      </c>
      <c r="AG19" s="13" t="s">
        <v>31</v>
      </c>
      <c r="AH19" s="13" t="s">
        <v>32</v>
      </c>
      <c r="AI19" s="13" t="s">
        <v>33</v>
      </c>
      <c r="AJ19" s="13" t="s">
        <v>34</v>
      </c>
      <c r="AK19" s="13" t="s">
        <v>35</v>
      </c>
      <c r="AL19" s="13" t="s">
        <v>36</v>
      </c>
      <c r="AM19" s="13" t="s">
        <v>37</v>
      </c>
      <c r="AN19" s="13" t="s">
        <v>38</v>
      </c>
      <c r="AO19" s="13" t="s">
        <v>39</v>
      </c>
      <c r="AP19" s="13" t="s">
        <v>40</v>
      </c>
      <c r="AQ19" s="13" t="s">
        <v>41</v>
      </c>
      <c r="AR19" s="13" t="s">
        <v>42</v>
      </c>
      <c r="AS19" s="13" t="s">
        <v>43</v>
      </c>
      <c r="AT19" s="13" t="s">
        <v>44</v>
      </c>
      <c r="AU19" s="13" t="s">
        <v>45</v>
      </c>
      <c r="AV19" s="13" t="s">
        <v>46</v>
      </c>
      <c r="AW19" s="13" t="s">
        <v>47</v>
      </c>
      <c r="AX19" s="13" t="s">
        <v>48</v>
      </c>
      <c r="AY19" s="13" t="s">
        <v>49</v>
      </c>
      <c r="AZ19" s="13" t="s">
        <v>50</v>
      </c>
      <c r="BA19" s="13" t="s">
        <v>51</v>
      </c>
      <c r="BB19" s="13" t="s">
        <v>52</v>
      </c>
      <c r="BC19" s="13" t="s">
        <v>53</v>
      </c>
      <c r="BD19" s="13" t="s">
        <v>54</v>
      </c>
      <c r="BE19" s="13" t="s">
        <v>55</v>
      </c>
      <c r="BF19" s="13" t="s">
        <v>56</v>
      </c>
      <c r="BG19" s="13" t="s">
        <v>57</v>
      </c>
      <c r="BH19" s="13" t="s">
        <v>58</v>
      </c>
      <c r="BI19" s="13" t="s">
        <v>59</v>
      </c>
      <c r="BJ19" s="13" t="s">
        <v>60</v>
      </c>
      <c r="BK19" s="13" t="s">
        <v>61</v>
      </c>
      <c r="BL19" s="13" t="s">
        <v>62</v>
      </c>
      <c r="BM19" s="13" t="s">
        <v>63</v>
      </c>
      <c r="BN19" s="13" t="s">
        <v>64</v>
      </c>
      <c r="BO19" s="13" t="s">
        <v>65</v>
      </c>
      <c r="BP19" s="13" t="s">
        <v>66</v>
      </c>
      <c r="BQ19" s="13" t="s">
        <v>67</v>
      </c>
      <c r="BR19" s="13" t="s">
        <v>68</v>
      </c>
      <c r="BS19" s="13" t="s">
        <v>69</v>
      </c>
      <c r="BT19" s="13" t="s">
        <v>70</v>
      </c>
      <c r="BU19" s="13" t="s">
        <v>71</v>
      </c>
      <c r="BV19" s="13" t="s">
        <v>72</v>
      </c>
      <c r="BW19" s="13" t="s">
        <v>73</v>
      </c>
      <c r="BX19" s="13" t="s">
        <v>74</v>
      </c>
      <c r="BY19" s="13" t="s">
        <v>75</v>
      </c>
      <c r="BZ19" s="13" t="s">
        <v>76</v>
      </c>
      <c r="CA19" s="13" t="s">
        <v>77</v>
      </c>
      <c r="CB19" s="13" t="s">
        <v>78</v>
      </c>
      <c r="CC19" s="13" t="s">
        <v>79</v>
      </c>
      <c r="CD19" s="13" t="s">
        <v>80</v>
      </c>
      <c r="CE19" s="13" t="s">
        <v>81</v>
      </c>
      <c r="CF19" s="13" t="s">
        <v>82</v>
      </c>
      <c r="CG19" s="13" t="s">
        <v>83</v>
      </c>
      <c r="CH19" s="13" t="s">
        <v>84</v>
      </c>
      <c r="CI19" s="13" t="s">
        <v>85</v>
      </c>
      <c r="CJ19" s="13" t="s">
        <v>86</v>
      </c>
      <c r="CK19" s="13" t="s">
        <v>87</v>
      </c>
      <c r="CL19" s="13" t="s">
        <v>88</v>
      </c>
      <c r="CM19" s="13" t="s">
        <v>89</v>
      </c>
      <c r="CN19" s="13" t="s">
        <v>90</v>
      </c>
      <c r="CO19" s="13" t="s">
        <v>91</v>
      </c>
      <c r="CP19" s="13" t="s">
        <v>92</v>
      </c>
    </row>
    <row r="20" spans="1:94" x14ac:dyDescent="0.3">
      <c r="A20" s="4" t="s">
        <v>98</v>
      </c>
      <c r="B20" s="5">
        <f>INDEX(טבלה1[Alto Golfo de California 0 '[242']], MATCH($A20, $A$2:$A$16, 0)) / INDEX(טבלה1[Alto Golfo de California 0 '[242']], MATCH($A19, $A$2:$A$16, 0))</f>
        <v>1.6552593150582644</v>
      </c>
      <c r="C20" s="5">
        <f>INDEX(טבלה1[Australia North West Shelf 1986 '[405']], MATCH($A20, $A$2:$A$16, 0)) / INDEX(טבלה1[Australia North West Shelf 1986 '[405']], MATCH($A19, $A$2:$A$16, 0))</f>
        <v>16.669678888999993</v>
      </c>
      <c r="D20" s="5">
        <f>INDEX(טבלה1[Baja California 1970 '[417']], MATCH($A20, $A$2:$A$16, 0)) / INDEX(טבלה1[Baja California 1970 '[417']], MATCH($A19, $A$2:$A$16, 0))</f>
        <v>2.2513668527861941</v>
      </c>
      <c r="E20" s="5">
        <f>INDEX(טבלה1[Bay of Biscay 1970 '[633']], MATCH($A20, $A$2:$A$16, 0)) / INDEX(טבלה1[Bay of Biscay 1970 '[633']], MATCH($A19, $A$2:$A$16, 0))</f>
        <v>9.8558589689528127</v>
      </c>
      <c r="F20" s="5">
        <f>INDEX(טבלה1[Bay of Biscay 1998 '[634']], MATCH($A20, $A$2:$A$16, 0)) / INDEX(טבלה1[Bay of Biscay 1998 '[634']], MATCH($A19, $A$2:$A$16, 0))</f>
        <v>12.666243004767271</v>
      </c>
      <c r="G20" s="5">
        <f>INDEX(טבלה1[Black Sea 1960 '[691']], MATCH($A20, $A$2:$A$16, 0)) / INDEX(טבלה1[Black Sea 1960 '[691']], MATCH($A19, $A$2:$A$16, 0))</f>
        <v>1.0210417782372068</v>
      </c>
      <c r="H20" s="5">
        <f>INDEX(טבלה1[Black Sea 1980 '[692']], MATCH($A20, $A$2:$A$16, 0)) / INDEX(טבלה1[Black Sea 1980 '[692']], MATCH($A19, $A$2:$A$16, 0))</f>
        <v>1.136700299757287</v>
      </c>
      <c r="I20" s="5">
        <f>INDEX(טבלה1[Black Sea 1988 '[693']], MATCH($A20, $A$2:$A$16, 0)) / INDEX(טבלה1[Black Sea 1988 '[693']], MATCH($A19, $A$2:$A$16, 0))</f>
        <v>1.1976719883333518</v>
      </c>
      <c r="J20" s="5">
        <f>INDEX(טבלה1[Black Sea 1990 '[435']], MATCH($A20, $A$2:$A$16, 0)) / INDEX(טבלה1[Black Sea 1990 '[435']], MATCH($A19, $A$2:$A$16, 0))</f>
        <v>1.2313519239104513</v>
      </c>
      <c r="K20" s="5">
        <f>INDEX(טבלה1[BlackSea 1955 '[433']], MATCH($A20, $A$2:$A$16, 0)) / INDEX(טבלה1[BlackSea 1955 '[433']], MATCH($A19, $A$2:$A$16, 0))</f>
        <v>1.4538295182989092</v>
      </c>
      <c r="L20" s="5">
        <f>INDEX(טבלה1[BlackSea 1990 '[468']], MATCH($A20, $A$2:$A$16, 0)) / INDEX(טבלה1[BlackSea 1990 '[468']], MATCH($A19, $A$2:$A$16, 0))</f>
        <v>1.9646488159794535</v>
      </c>
      <c r="M20" s="5">
        <f>INDEX(טבלה1[British Columbia coast 1950 '[478']], MATCH($A20, $A$2:$A$16, 0)) / INDEX(טבלה1[British Columbia coast 1950 '[478']], MATCH($A19, $A$2:$A$16, 0))</f>
        <v>3.4322986703392724</v>
      </c>
      <c r="N20" s="5">
        <f>INDEX(טבלה1[Campeche 1985 '[323']], MATCH($A20, $A$2:$A$16, 0)) / INDEX(טבלה1[Campeche 1985 '[323']], MATCH($A19, $A$2:$A$16, 0))</f>
        <v>4.162519518692628</v>
      </c>
      <c r="O20" s="5">
        <f>INDEX(טבלה1[Canada, Grand Banks of Newfoundland 1985 '[655']], MATCH($A20, $A$2:$A$16, 0)) / INDEX(טבלה1[Canada, Grand Banks of Newfoundland 1985 '[655']], MATCH($A19, $A$2:$A$16, 0))</f>
        <v>2.1242945459277105</v>
      </c>
      <c r="P20" s="5">
        <f>INDEX(טבלה1[Cape Verde 1981 '[486']], MATCH($A20, $A$2:$A$16, 0)) / INDEX(טבלה1[Cape Verde 1981 '[486']], MATCH($A19, $A$2:$A$16, 0))</f>
        <v>7.9771144316118807</v>
      </c>
      <c r="Q20" s="5">
        <f>INDEX(טבלה1[Caribbean 1980 '[24']], MATCH($A20, $A$2:$A$16, 0)) / INDEX(טבלה1[Caribbean 1980 '[24']], MATCH($A19, $A$2:$A$16, 0))</f>
        <v>4.6814920029839096</v>
      </c>
      <c r="R20" s="5">
        <f>INDEX(טבלה1[Celestun 0 '[246']], MATCH($A20, $A$2:$A$16, 0)) / INDEX(טבלה1[Celestun 0 '[246']], MATCH($A19, $A$2:$A$16, 0))</f>
        <v>2.8815808511086365</v>
      </c>
      <c r="S20" s="5">
        <f>INDEX(טבלה1[Celestun mangrove 1992 '[247']], MATCH($A20, $A$2:$A$16, 0)) / INDEX(טבלה1[Celestun mangrove 1992 '[247']], MATCH($A19, $A$2:$A$16, 0))</f>
        <v>2.5018547283925234</v>
      </c>
      <c r="T20" s="5">
        <f>INDEX(טבלה1[Central Atlantic 1950 '[28']], MATCH($A20, $A$2:$A$16, 0)) / INDEX(טבלה1[Central Atlantic 1950 '[28']], MATCH($A19, $A$2:$A$16, 0))</f>
        <v>2.2516081746790899</v>
      </c>
      <c r="U20" s="5">
        <f>INDEX(טבלה1[Central Atlantic 1990 '[29']], MATCH($A20, $A$2:$A$16, 0)) / INDEX(טבלה1[Central Atlantic 1990 '[29']], MATCH($A19, $A$2:$A$16, 0))</f>
        <v>4.8631151509058324</v>
      </c>
      <c r="V20" s="5">
        <f>INDEX(טבלה1[Central Chile 1998 '[637']], MATCH($A20, $A$2:$A$16, 0)) / INDEX(טבלה1[Central Chile 1998 '[637']], MATCH($A19, $A$2:$A$16, 0))</f>
        <v>3.041882031712865</v>
      </c>
      <c r="W20" s="5">
        <f>INDEX(טבלה1[Chesapeake 1950 '[34']], MATCH($A20, $A$2:$A$16, 0)) / INDEX(טבלה1[Chesapeake 1950 '[34']], MATCH($A19, $A$2:$A$16, 0))</f>
        <v>3.0425685748089615</v>
      </c>
      <c r="X20" s="5">
        <f>INDEX(טבלה1[Danajon Bank 2010 '[711']], MATCH($A20, $A$2:$A$16, 0)) / INDEX(טבלה1[Danajon Bank 2010 '[711']], MATCH($A19, $A$2:$A$16, 0))</f>
        <v>1.9680838050396909</v>
      </c>
      <c r="Y20" s="5">
        <f>INDEX(טבלה1[Denmark, Faroe Islands 1997 '[46']], MATCH($A20, $A$2:$A$16, 0)) / INDEX(טבלה1[Denmark, Faroe Islands 1997 '[46']], MATCH($A19, $A$2:$A$16, 0))</f>
        <v>11.619670085540115</v>
      </c>
      <c r="Z20" s="5">
        <f>INDEX(טבלה1[Eastern Scotian Shelf 1980 '[40']], MATCH($A20, $A$2:$A$16, 0)) / INDEX(טבלה1[Eastern Scotian Shelf 1980 '[40']], MATCH($A19, $A$2:$A$16, 0))</f>
        <v>2.9346730653084006</v>
      </c>
      <c r="AA20" s="5">
        <f>INDEX(טבלה1[Eastern Scotian Shelf 1995 '[41']], MATCH($A20, $A$2:$A$16, 0)) / INDEX(טבלה1[Eastern Scotian Shelf 1995 '[41']], MATCH($A19, $A$2:$A$16, 0))</f>
        <v>8.2789946565577193</v>
      </c>
      <c r="AB20" s="5">
        <f>INDEX(טבלה1[Eritrea 1998 '[496']], MATCH($A20, $A$2:$A$16, 0)) / INDEX(טבלה1[Eritrea 1998 '[496']], MATCH($A19, $A$2:$A$16, 0))</f>
        <v>22.834448589730361</v>
      </c>
      <c r="AC20" s="5">
        <f>INDEX(טבלה1[Galapagos, Floreana rocky reef 2000 '[48']], MATCH($A20, $A$2:$A$16, 0)) / INDEX(טבלה1[Galapagos, Floreana rocky reef 2000 '[48']], MATCH($A19, $A$2:$A$16, 0))</f>
        <v>1.1627213226489423</v>
      </c>
      <c r="AD20" s="5">
        <f>INDEX(טבלה1[Germany, Schlei Fjord 1980 '[464']], MATCH($A20, $A$2:$A$16, 0)) / INDEX(טבלה1[Germany, Schlei Fjord 1980 '[464']], MATCH($A19, $A$2:$A$16, 0))</f>
        <v>1.3120462059408395</v>
      </c>
      <c r="AE20" s="5">
        <f>INDEX(טבלה1[Golfo Dulce 1993 '[53']], MATCH($A20, $A$2:$A$16, 0)) / INDEX(טבלה1[Golfo Dulce 1993 '[53']], MATCH($A19, $A$2:$A$16, 0))</f>
        <v>3.5684739797091005</v>
      </c>
      <c r="AF20" s="5">
        <f>INDEX(טבלה1[Grand Banks of Newfoundland 1900 '[105']], MATCH($A20, $A$2:$A$16, 0)) / INDEX(טבלה1[Grand Banks of Newfoundland 1900 '[105']], MATCH($A19, $A$2:$A$16, 0))</f>
        <v>4.2793514321947175</v>
      </c>
      <c r="AG20" s="5">
        <f>INDEX(טבלה1[Grand Banks of Newfoundland 1980 '[107']], MATCH($A20, $A$2:$A$16, 0)) / INDEX(טבלה1[Grand Banks of Newfoundland 1980 '[107']], MATCH($A19, $A$2:$A$16, 0))</f>
        <v>2.6574876977356676</v>
      </c>
      <c r="AH20" s="5">
        <f>INDEX(טבלה1[Grand Banks of Newfoundland 1990 '[108']], MATCH($A20, $A$2:$A$16, 0)) / INDEX(טבלה1[Grand Banks of Newfoundland 1990 '[108']], MATCH($A19, $A$2:$A$16, 0))</f>
        <v>2.9347843505881257</v>
      </c>
      <c r="AI20" s="5">
        <f>INDEX(טבלה1[Greenland, West Coast 1997 '[168']], MATCH($A20, $A$2:$A$16, 0)) / INDEX(טבלה1[Greenland, West Coast 1997 '[168']], MATCH($A19, $A$2:$A$16, 0))</f>
        <v>2.3734381025282381</v>
      </c>
      <c r="AJ20" s="5">
        <f>INDEX(טבלה1[Guinea 1985 '[726']], MATCH($A20, $A$2:$A$16, 0)) / INDEX(טבלה1[Guinea 1985 '[726']], MATCH($A19, $A$2:$A$16, 0))</f>
        <v>4.3431550017587615</v>
      </c>
      <c r="AK20" s="5">
        <f>INDEX(טבלה1[Guinea 1998 '[646']], MATCH($A20, $A$2:$A$16, 0)) / INDEX(טבלה1[Guinea 1998 '[646']], MATCH($A19, $A$2:$A$16, 0))</f>
        <v>5.3963116853601294</v>
      </c>
      <c r="AL20" s="5">
        <f>INDEX(טבלה1[Guinea 2004 '[725']], MATCH($A20, $A$2:$A$16, 0)) / INDEX(טבלה1[Guinea 2004 '[725']], MATCH($A19, $A$2:$A$16, 0))</f>
        <v>3.3264514724074412</v>
      </c>
      <c r="AM20" s="5">
        <f>INDEX(טבלה1[Gulf of California 1990 '[450']], MATCH($A20, $A$2:$A$16, 0)) / INDEX(טבלה1[Gulf of California 1990 '[450']], MATCH($A19, $A$2:$A$16, 0))</f>
        <v>2.1975687479311454</v>
      </c>
      <c r="AN20" s="5">
        <f>INDEX(טבלה1[Gulf of Maine 1977 '[444']], MATCH($A20, $A$2:$A$16, 0)) / INDEX(טבלה1[Gulf of Maine 1977 '[444']], MATCH($A19, $A$2:$A$16, 0))</f>
        <v>2.5955903076962024</v>
      </c>
      <c r="AO20" s="5">
        <f>INDEX(טבלה1[Gulf of Mexico 1950 '[520']], MATCH($A20, $A$2:$A$16, 0)) / INDEX(טבלה1[Gulf of Mexico 1950 '[520']], MATCH($A19, $A$2:$A$16, 0))</f>
        <v>2.4751294180831467</v>
      </c>
      <c r="AP20" s="5">
        <f>INDEX(טבלה1[Gulf of Mexico 1980 '[58']], MATCH($A20, $A$2:$A$16, 0)) / INDEX(טבלה1[Gulf of Mexico 1980 '[58']], MATCH($A19, $A$2:$A$16, 0))</f>
        <v>2.2436536375878084</v>
      </c>
      <c r="AQ20" s="5">
        <f>INDEX(טבלה1[Gulf of Thailande 1963 '[412']], MATCH($A20, $A$2:$A$16, 0)) / INDEX(טבלה1[Gulf of Thailande 1963 '[412']], MATCH($A19, $A$2:$A$16, 0))</f>
        <v>1.6138570844362974</v>
      </c>
      <c r="AR20" s="5">
        <f>INDEX(טבלה1[Huizache-Caimanero 1984 '[241']], MATCH($A20, $A$2:$A$16, 0)) / INDEX(טבלה1[Huizache-Caimanero 1984 '[241']], MATCH($A19, $A$2:$A$16, 0))</f>
        <v>1.4655586344937359</v>
      </c>
      <c r="AS20" s="5">
        <f>INDEX(טבלה1[Iceland 1950 '[227']], MATCH($A20, $A$2:$A$16, 0)) / INDEX(טבלה1[Iceland 1950 '[227']], MATCH($A19, $A$2:$A$16, 0))</f>
        <v>1.5949396657237462</v>
      </c>
      <c r="AT20" s="5">
        <f>INDEX(טבלה1[Icelandic shelf 1997 '[68']], MATCH($A20, $A$2:$A$16, 0)) / INDEX(טבלה1[Icelandic shelf 1997 '[68']], MATCH($A19, $A$2:$A$16, 0))</f>
        <v>1.170434023366262</v>
      </c>
      <c r="AU20" s="5">
        <f>INDEX(טבלה1[Kaloko Honokohau 2005 '[499']], MATCH($A20, $A$2:$A$16, 0)) / INDEX(טבלה1[Kaloko Honokohau 2005 '[499']], MATCH($A19, $A$2:$A$16, 0))</f>
        <v>40.525777818683594</v>
      </c>
      <c r="AV20" s="5">
        <f>INDEX(טבלה1[Lesser Antilles 2001 '[459']], MATCH($A20, $A$2:$A$16, 0)) / INDEX(טבלה1[Lesser Antilles 2001 '[459']], MATCH($A19, $A$2:$A$16, 0))</f>
        <v>5.2861590380413279</v>
      </c>
      <c r="AW20" s="5">
        <f>INDEX(טבלה1[Mauritania 1987 '[650']], MATCH($A20, $A$2:$A$16, 0)) / INDEX(טבלה1[Mauritania 1987 '[650']], MATCH($A19, $A$2:$A$16, 0))</f>
        <v>3.1029724628111617</v>
      </c>
      <c r="AX20" s="5">
        <f>INDEX(טבלה1[Mauritania 1998 '[651']], MATCH($A20, $A$2:$A$16, 0)) / INDEX(טבלה1[Mauritania 1998 '[651']], MATCH($A19, $A$2:$A$16, 0))</f>
        <v>8.5635680393978184</v>
      </c>
      <c r="AY20" s="5">
        <f>INDEX(טבלה1[Mauritanie 1991 '[689']], MATCH($A20, $A$2:$A$16, 0)) / INDEX(טבלה1[Mauritanie 1991 '[689']], MATCH($A19, $A$2:$A$16, 0))</f>
        <v>1.6672629518964168</v>
      </c>
      <c r="AZ20" s="5">
        <f>INDEX(טבלה1[New Foundland 1985 '[518']], MATCH($A20, $A$2:$A$16, 0)) / INDEX(טבלה1[New Foundland 1985 '[518']], MATCH($A19, $A$2:$A$16, 0))</f>
        <v>4.2389781300827751</v>
      </c>
      <c r="BA20" s="5">
        <f>INDEX(טבלה1[North Atlantic 1950 '[111']], MATCH($A20, $A$2:$A$16, 0)) / INDEX(טבלה1[North Atlantic 1950 '[111']], MATCH($A19, $A$2:$A$16, 0))</f>
        <v>2.9675925406980821</v>
      </c>
      <c r="BB20" s="5">
        <f>INDEX(טבלה1[North Atlantic 1997 '[112']], MATCH($A20, $A$2:$A$16, 0)) / INDEX(טבלה1[North Atlantic 1997 '[112']], MATCH($A19, $A$2:$A$16, 0))</f>
        <v>1.7906014438068167</v>
      </c>
      <c r="BC20" s="5">
        <f>INDEX(טבלה1[North East Pacific 1950 '[479']], MATCH($A20, $A$2:$A$16, 0)) / INDEX(טבלה1[North East Pacific 1950 '[479']], MATCH($A19, $A$2:$A$16, 0))</f>
        <v>4.6124016750565788</v>
      </c>
      <c r="BD20" s="5">
        <f>INDEX(טבלה1[North Sea 1974 '[413']], MATCH($A20, $A$2:$A$16, 0)) / INDEX(טבלה1[North Sea 1974 '[413']], MATCH($A19, $A$2:$A$16, 0))</f>
        <v>2.255310929340248</v>
      </c>
      <c r="BE20" s="5">
        <f>INDEX(טבלה1[North Sea 1981 '[680']], MATCH($A20, $A$2:$A$16, 0)) / INDEX(טבלה1[North Sea 1981 '[680']], MATCH($A19, $A$2:$A$16, 0))</f>
        <v>22.785867158015517</v>
      </c>
      <c r="BF20" s="5">
        <f>INDEX(טבלה1[Northern Benguela 1956 '[115']], MATCH($A20, $A$2:$A$16, 0)) / INDEX(טבלה1[Northern Benguela 1956 '[115']], MATCH($A19, $A$2:$A$16, 0))</f>
        <v>7.6832376523916315</v>
      </c>
      <c r="BG20" s="5">
        <f>INDEX(טבלה1[Northern Californian Current 1960 '[519']], MATCH($A20, $A$2:$A$16, 0)) / INDEX(טבלה1[Northern Californian Current 1960 '[519']], MATCH($A19, $A$2:$A$16, 0))</f>
        <v>1.921686636461605</v>
      </c>
      <c r="BH20" s="5">
        <f>INDEX(טבלה1[Northern Gulf of St Lawrence 1990 '[462']], MATCH($A20, $A$2:$A$16, 0)) / INDEX(טבלה1[Northern Gulf of St Lawrence 1990 '[462']], MATCH($A19, $A$2:$A$16, 0))</f>
        <v>1.7529359940431313</v>
      </c>
      <c r="BI20" s="5">
        <f>INDEX(טבלה1[Northern Gulf St Lawrence 1985 '[116']], MATCH($A20, $A$2:$A$16, 0)) / INDEX(טבלה1[Northern Gulf St Lawrence 1985 '[116']], MATCH($A19, $A$2:$A$16, 0))</f>
        <v>1.8897834582026465</v>
      </c>
      <c r="BJ20" s="5">
        <f>INDEX(טבלה1[Northwest Africa 1987 '[118']], MATCH($A20, $A$2:$A$16, 0)) / INDEX(טבלה1[Northwest Africa 1987 '[118']], MATCH($A19, $A$2:$A$16, 0))</f>
        <v>1.519261903108541</v>
      </c>
      <c r="BK20" s="5">
        <f>INDEX(טבלה1[Orbetello Lagoon 1996 '[232']], MATCH($A20, $A$2:$A$16, 0)) / INDEX(טבלה1[Orbetello Lagoon 1996 '[232']], MATCH($A19, $A$2:$A$16, 0))</f>
        <v>2.70711311859688</v>
      </c>
      <c r="BL20" s="5">
        <f>INDEX(טבלה1[Peru 1953 '[311']], MATCH($A20, $A$2:$A$16, 0)) / INDEX(טבלה1[Peru 1953 '[311']], MATCH($A19, $A$2:$A$16, 0))</f>
        <v>1.7385413220413526</v>
      </c>
      <c r="BM20" s="5">
        <f>INDEX(טבלה1[Peru 1953 '[439']], MATCH($A20, $A$2:$A$16, 0)) / INDEX(טבלה1[Peru 1953 '[439']], MATCH($A19, $A$2:$A$16, 0))</f>
        <v>6.0628505371789529</v>
      </c>
      <c r="BN20" s="5">
        <f>INDEX(טבלה1[Peru 1960 '[312']], MATCH($A20, $A$2:$A$16, 0)) / INDEX(טבלה1[Peru 1960 '[312']], MATCH($A19, $A$2:$A$16, 0))</f>
        <v>1.4770137827222811</v>
      </c>
      <c r="BO20" s="5">
        <f>INDEX(טבלה1[Peru 1973 '[658']], MATCH($A20, $A$2:$A$16, 0)) / INDEX(טבלה1[Peru 1973 '[658']], MATCH($A19, $A$2:$A$16, 0))</f>
        <v>1.7963607258890248</v>
      </c>
      <c r="BP20" s="5">
        <f>INDEX(טבלה1[Port Cros 1998 '[497']], MATCH($A20, $A$2:$A$16, 0)) / INDEX(טבלה1[Port Cros 1998 '[497']], MATCH($A19, $A$2:$A$16, 0))</f>
        <v>12.449230921653898</v>
      </c>
      <c r="BQ20" s="5">
        <f>INDEX(טבלה1[Sierra Leone 1964 '[135']], MATCH($A20, $A$2:$A$16, 0)) / INDEX(טבלה1[Sierra Leone 1964 '[135']], MATCH($A19, $A$2:$A$16, 0))</f>
        <v>7.4004577467942214</v>
      </c>
      <c r="BR20" s="5">
        <f>INDEX(טבלה1[Sierra Leone 1978 1978 '[136']], MATCH($A20, $A$2:$A$16, 0)) / INDEX(טבלה1[Sierra Leone 1978 1978 '[136']], MATCH($A19, $A$2:$A$16, 0))</f>
        <v>10.180385068174015</v>
      </c>
      <c r="BS20" s="5">
        <f>INDEX(טבלה1[Sierra Leone 1990 '[137']], MATCH($A20, $A$2:$A$16, 0)) / INDEX(טבלה1[Sierra Leone 1990 '[137']], MATCH($A19, $A$2:$A$16, 0))</f>
        <v>5.2850023134447346</v>
      </c>
      <c r="BT20" s="5">
        <f>INDEX(טבלה1[Sinaloa sur MEXICO 1994 '[325']], MATCH($A20, $A$2:$A$16, 0)) / INDEX(טבלה1[Sinaloa sur MEXICO 1994 '[325']], MATCH($A19, $A$2:$A$16, 0))</f>
        <v>1.366197088338752</v>
      </c>
      <c r="BU20" s="5">
        <f>INDEX(טבלה1[Sonda de Campeche 1988 '[240']], MATCH($A20, $A$2:$A$16, 0)) / INDEX(טבלה1[Sonda de Campeche 1988 '[240']], MATCH($A19, $A$2:$A$16, 0))</f>
        <v>6.6218151357819233</v>
      </c>
      <c r="BV20" s="5">
        <f>INDEX(טבלה1[Sonda_Campeche_Act 1988 '[291']], MATCH($A20, $A$2:$A$16, 0)) / INDEX(טבלה1[Sonda_Campeche_Act 1988 '[291']], MATCH($A19, $A$2:$A$16, 0))</f>
        <v>1.2173696804476331</v>
      </c>
      <c r="BW20" s="5">
        <f>INDEX(טבלה1[South Shetlands 1990 '[663']], MATCH($A20, $A$2:$A$16, 0)) / INDEX(טבלה1[South Shetlands 1990 '[663']], MATCH($A19, $A$2:$A$16, 0))</f>
        <v>1.9557286109023562</v>
      </c>
      <c r="BX20" s="5">
        <f>INDEX(טבלה1[South West Viet nam 1994 '[415']], MATCH($A20, $A$2:$A$16, 0)) / INDEX(טבלה1[South West Viet nam 1994 '[415']], MATCH($A19, $A$2:$A$16, 0))</f>
        <v>2.682195682121566</v>
      </c>
      <c r="BY20" s="5">
        <f>INDEX(טבלה1[South western Gulf of Mexico 1970 '[687']], MATCH($A20, $A$2:$A$16, 0)) / INDEX(טבלה1[South western Gulf of Mexico 1970 '[687']], MATCH($A19, $A$2:$A$16, 0))</f>
        <v>3.6708901462740777</v>
      </c>
      <c r="BZ20" s="5">
        <f>INDEX(טבלה1[Southern Brazil 1980 '[664']], MATCH($A20, $A$2:$A$16, 0)) / INDEX(טבלה1[Southern Brazil 1980 '[664']], MATCH($A19, $A$2:$A$16, 0))</f>
        <v>1.8082698607892058</v>
      </c>
      <c r="CA20" s="5">
        <f>INDEX(טבלה1[Southern Gulf of St. Lawrence 1980 '[145']], MATCH($A20, $A$2:$A$16, 0)) / INDEX(טבלה1[Southern Gulf of St. Lawrence 1980 '[145']], MATCH($A19, $A$2:$A$16, 0))</f>
        <v>2.4334676758869871</v>
      </c>
      <c r="CB20" s="5">
        <f>INDEX(טבלה1[Sri Lanka 2000 '[441']], MATCH($A20, $A$2:$A$16, 0)) / INDEX(טבלה1[Sri Lanka 2000 '[441']], MATCH($A19, $A$2:$A$16, 0))</f>
        <v>1.4842697435003849</v>
      </c>
      <c r="CC20" s="5">
        <f>INDEX(טבלה1[Strait of Georgia 1950 '[477']], MATCH($A20, $A$2:$A$16, 0)) / INDEX(טבלה1[Strait of Georgia 1950 '[477']], MATCH($A19, $A$2:$A$16, 0))</f>
        <v>2.4440083844596927</v>
      </c>
      <c r="CD20" s="5">
        <f>INDEX(טבלה1[Sørfjord 1993 '[429']], MATCH($A20, $A$2:$A$16, 0)) / INDEX(טבלה1[Sørfjord 1993 '[429']], MATCH($A19, $A$2:$A$16, 0))</f>
        <v>2.8190312227384542</v>
      </c>
      <c r="CE20" s="5">
        <f>INDEX(טבלה1[Tampa Bay 1950 '[153']], MATCH($A20, $A$2:$A$16, 0)) / INDEX(טבלה1[Tampa Bay 1950 '[153']], MATCH($A19, $A$2:$A$16, 0))</f>
        <v>6.202179467280704</v>
      </c>
      <c r="CF20" s="5">
        <f>INDEX(טבלה1[Tasmanian Seamounts Marine Reserve 1992 '[407']], MATCH($A20, $A$2:$A$16, 0)) / INDEX(טבלה1[Tasmanian Seamounts Marine Reserve 1992 '[407']], MATCH($A19, $A$2:$A$16, 0))</f>
        <v>1.2968681861712501</v>
      </c>
      <c r="CG20" s="5">
        <f>INDEX(טבלה1[Terminos Lagoon 1980 '[243']], MATCH($A20, $A$2:$A$16, 0)) / INDEX(טבלה1[Terminos Lagoon 1980 '[243']], MATCH($A19, $A$2:$A$16, 0))</f>
        <v>2.8741207618078515</v>
      </c>
      <c r="CH20" s="5">
        <f>INDEX(טבלה1[Thau 1980 '[217']], MATCH($A20, $A$2:$A$16, 0)) / INDEX(טבלה1[Thau 1980 '[217']], MATCH($A19, $A$2:$A$16, 0))</f>
        <v>1.9685182687487046</v>
      </c>
      <c r="CI20" s="5">
        <f>INDEX(טבלה1[USA, Mid Atlantic Bight 1995 '[99']], MATCH($A20, $A$2:$A$16, 0)) / INDEX(טבלה1[USA, Mid Atlantic Bight 1995 '[99']], MATCH($A19, $A$2:$A$16, 0))</f>
        <v>6.133094216707768</v>
      </c>
      <c r="CJ20" s="5">
        <f>INDEX(טבלה1[Venezuela shelf 1980 '[282']], MATCH($A20, $A$2:$A$16, 0)) / INDEX(טבלה1[Venezuela shelf 1980 '[282']], MATCH($A19, $A$2:$A$16, 0))</f>
        <v>1.9497491247247922</v>
      </c>
      <c r="CK20" s="5">
        <f>INDEX(טבלה1[West Coast of Peninbsular Malaysia 1972 '[414']], MATCH($A20, $A$2:$A$16, 0)) / INDEX(טבלה1[West Coast of Peninbsular Malaysia 1972 '[414']], MATCH($A19, $A$2:$A$16, 0))</f>
        <v>1.8649139199324978</v>
      </c>
      <c r="CL20" s="5">
        <f>INDEX(טבלה1[West coast of Sabah 1972 '[305']], MATCH($A20, $A$2:$A$16, 0)) / INDEX(טבלה1[West coast of Sabah 1972 '[305']], MATCH($A19, $A$2:$A$16, 0))</f>
        <v>2.7811915973656745</v>
      </c>
      <c r="CM20" s="5">
        <f>INDEX(טבלה1[West Coast Vancouver Island 1950 '[172']], MATCH($A20, $A$2:$A$16, 0)) / INDEX(טבלה1[West Coast Vancouver Island 1950 '[172']], MATCH($A19, $A$2:$A$16, 0))</f>
        <v>2.9133656572698357</v>
      </c>
      <c r="CN20" s="5">
        <f>INDEX(טבלה1[West Scotland 2000 '[461']], MATCH($A20, $A$2:$A$16, 0)) / INDEX(טבלה1[West Scotland 2000 '[461']], MATCH($A19, $A$2:$A$16, 0))</f>
        <v>2.191242497367905</v>
      </c>
      <c r="CO20" s="5">
        <f>INDEX(טבלה1[West scotland DeepSea 1974 '[443']], MATCH($A20, $A$2:$A$16, 0)) / INDEX(טבלה1[West scotland DeepSea 1974 '[443']], MATCH($A19, $A$2:$A$16, 0))</f>
        <v>5.6200584822730457</v>
      </c>
      <c r="CP20" s="5">
        <f>INDEX(טבלה1[Yucatan 1987 '[320']], MATCH($A20, $A$2:$A$16, 0)) / INDEX(טבלה1[Yucatan 1987 '[320']], MATCH($A19, $A$2:$A$16, 0))</f>
        <v>8.0967768520173582</v>
      </c>
    </row>
    <row r="21" spans="1:94" x14ac:dyDescent="0.3">
      <c r="A21" s="4" t="s">
        <v>99</v>
      </c>
      <c r="B21" s="5">
        <f>INDEX(טבלה1[Alto Golfo de California 0 '[242']], MATCH($A21, $A$2:$A$16, 0)) / INDEX(טבלה1[Alto Golfo de California 0 '[242']], MATCH($A20, $A$2:$A$16, 0))</f>
        <v>0.96601090411135193</v>
      </c>
      <c r="C21" s="5">
        <f>INDEX(טבלה1[Australia North West Shelf 1986 '[405']], MATCH($A21, $A$2:$A$16, 0)) / INDEX(טבלה1[Australia North West Shelf 1986 '[405']], MATCH($A20, $A$2:$A$16, 0))</f>
        <v>0.39410831741317348</v>
      </c>
      <c r="D21" s="5">
        <f>INDEX(טבלה1[Baja California 1970 '[417']], MATCH($A21, $A$2:$A$16, 0)) / INDEX(טבלה1[Baja California 1970 '[417']], MATCH($A20, $A$2:$A$16, 0))</f>
        <v>6.1501858511269081</v>
      </c>
      <c r="E21" s="5">
        <f>INDEX(טבלה1[Bay of Biscay 1970 '[633']], MATCH($A21, $A$2:$A$16, 0)) / INDEX(טבלה1[Bay of Biscay 1970 '[633']], MATCH($A20, $A$2:$A$16, 0))</f>
        <v>0.38105926082510161</v>
      </c>
      <c r="F21" s="5">
        <f>INDEX(טבלה1[Bay of Biscay 1998 '[634']], MATCH($A21, $A$2:$A$16, 0)) / INDEX(טבלה1[Bay of Biscay 1998 '[634']], MATCH($A20, $A$2:$A$16, 0))</f>
        <v>0.29629341188396185</v>
      </c>
      <c r="G21" s="5">
        <f>INDEX(טבלה1[Black Sea 1960 '[691']], MATCH($A21, $A$2:$A$16, 0)) / INDEX(טבלה1[Black Sea 1960 '[691']], MATCH($A20, $A$2:$A$16, 0))</f>
        <v>20.969312390485555</v>
      </c>
      <c r="H21" s="5">
        <f>INDEX(טבלה1[Black Sea 1980 '[692']], MATCH($A21, $A$2:$A$16, 0)) / INDEX(טבלה1[Black Sea 1980 '[692']], MATCH($A20, $A$2:$A$16, 0))</f>
        <v>0.76752543696314512</v>
      </c>
      <c r="I21" s="5">
        <f>INDEX(טבלה1[Black Sea 1988 '[693']], MATCH($A21, $A$2:$A$16, 0)) / INDEX(טבלה1[Black Sea 1988 '[693']], MATCH($A20, $A$2:$A$16, 0))</f>
        <v>1.6502382148032144</v>
      </c>
      <c r="J21" s="5">
        <f>INDEX(טבלה1[Black Sea 1990 '[435']], MATCH($A21, $A$2:$A$16, 0)) / INDEX(טבלה1[Black Sea 1990 '[435']], MATCH($A20, $A$2:$A$16, 0))</f>
        <v>1.3465253609537911</v>
      </c>
      <c r="K21" s="5">
        <f>INDEX(טבלה1[BlackSea 1955 '[433']], MATCH($A21, $A$2:$A$16, 0)) / INDEX(טבלה1[BlackSea 1955 '[433']], MATCH($A20, $A$2:$A$16, 0))</f>
        <v>10.553618790690019</v>
      </c>
      <c r="L21" s="5">
        <f>INDEX(טבלה1[BlackSea 1990 '[468']], MATCH($A21, $A$2:$A$16, 0)) / INDEX(טבלה1[BlackSea 1990 '[468']], MATCH($A20, $A$2:$A$16, 0))</f>
        <v>68.395463146118985</v>
      </c>
      <c r="M21" s="5">
        <f>INDEX(טבלה1[British Columbia coast 1950 '[478']], MATCH($A21, $A$2:$A$16, 0)) / INDEX(טבלה1[British Columbia coast 1950 '[478']], MATCH($A20, $A$2:$A$16, 0))</f>
        <v>0.43199851093286773</v>
      </c>
      <c r="N21" s="5">
        <f>INDEX(טבלה1[Campeche 1985 '[323']], MATCH($A21, $A$2:$A$16, 0)) / INDEX(טבלה1[Campeche 1985 '[323']], MATCH($A20, $A$2:$A$16, 0))</f>
        <v>0.26353722388676631</v>
      </c>
      <c r="O21" s="5">
        <f>INDEX(טבלה1[Canada, Grand Banks of Newfoundland 1985 '[655']], MATCH($A21, $A$2:$A$16, 0)) / INDEX(טבלה1[Canada, Grand Banks of Newfoundland 1985 '[655']], MATCH($A20, $A$2:$A$16, 0))</f>
        <v>1.9331406042178259</v>
      </c>
      <c r="P21" s="5">
        <f>INDEX(טבלה1[Cape Verde 1981 '[486']], MATCH($A21, $A$2:$A$16, 0)) / INDEX(טבלה1[Cape Verde 1981 '[486']], MATCH($A20, $A$2:$A$16, 0))</f>
        <v>0.18674418895800662</v>
      </c>
      <c r="Q21" s="5">
        <f>INDEX(טבלה1[Caribbean 1980 '[24']], MATCH($A21, $A$2:$A$16, 0)) / INDEX(טבלה1[Caribbean 1980 '[24']], MATCH($A20, $A$2:$A$16, 0))</f>
        <v>2.0877553265426547</v>
      </c>
      <c r="R21" s="5">
        <f>INDEX(טבלה1[Celestun 0 '[246']], MATCH($A21, $A$2:$A$16, 0)) / INDEX(טבלה1[Celestun 0 '[246']], MATCH($A20, $A$2:$A$16, 0))</f>
        <v>1.2911596177824629</v>
      </c>
      <c r="S21" s="5">
        <f>INDEX(טבלה1[Celestun mangrove 1992 '[247']], MATCH($A21, $A$2:$A$16, 0)) / INDEX(טבלה1[Celestun mangrove 1992 '[247']], MATCH($A20, $A$2:$A$16, 0))</f>
        <v>2.9670380721003662</v>
      </c>
      <c r="T21" s="5">
        <f>INDEX(טבלה1[Central Atlantic 1950 '[28']], MATCH($A21, $A$2:$A$16, 0)) / INDEX(טבלה1[Central Atlantic 1950 '[28']], MATCH($A20, $A$2:$A$16, 0))</f>
        <v>341.13993012698683</v>
      </c>
      <c r="U21" s="5">
        <f>INDEX(טבלה1[Central Atlantic 1990 '[29']], MATCH($A21, $A$2:$A$16, 0)) / INDEX(טבלה1[Central Atlantic 1990 '[29']], MATCH($A20, $A$2:$A$16, 0))</f>
        <v>6.719389363330186</v>
      </c>
      <c r="V21" s="5">
        <f>INDEX(טבלה1[Central Chile 1998 '[637']], MATCH($A21, $A$2:$A$16, 0)) / INDEX(טבלה1[Central Chile 1998 '[637']], MATCH($A20, $A$2:$A$16, 0))</f>
        <v>0.44259624820585225</v>
      </c>
      <c r="W21" s="5">
        <f>INDEX(טבלה1[Chesapeake 1950 '[34']], MATCH($A21, $A$2:$A$16, 0)) / INDEX(טבלה1[Chesapeake 1950 '[34']], MATCH($A20, $A$2:$A$16, 0))</f>
        <v>0.27768700308284078</v>
      </c>
      <c r="X21" s="5">
        <f>INDEX(טבלה1[Danajon Bank 2010 '[711']], MATCH($A21, $A$2:$A$16, 0)) / INDEX(טבלה1[Danajon Bank 2010 '[711']], MATCH($A20, $A$2:$A$16, 0))</f>
        <v>1.0005105198140216</v>
      </c>
      <c r="Y21" s="5">
        <f>INDEX(טבלה1[Denmark, Faroe Islands 1997 '[46']], MATCH($A21, $A$2:$A$16, 0)) / INDEX(טבלה1[Denmark, Faroe Islands 1997 '[46']], MATCH($A20, $A$2:$A$16, 0))</f>
        <v>8.9993354040227319E-2</v>
      </c>
      <c r="Z21" s="5">
        <f>INDEX(טבלה1[Eastern Scotian Shelf 1980 '[40']], MATCH($A21, $A$2:$A$16, 0)) / INDEX(טבלה1[Eastern Scotian Shelf 1980 '[40']], MATCH($A20, $A$2:$A$16, 0))</f>
        <v>2.192012593411286</v>
      </c>
      <c r="AA21" s="5">
        <f>INDEX(טבלה1[Eastern Scotian Shelf 1995 '[41']], MATCH($A21, $A$2:$A$16, 0)) / INDEX(טבלה1[Eastern Scotian Shelf 1995 '[41']], MATCH($A20, $A$2:$A$16, 0))</f>
        <v>0.22861030721860584</v>
      </c>
      <c r="AB21" s="5">
        <f>INDEX(טבלה1[Eritrea 1998 '[496']], MATCH($A21, $A$2:$A$16, 0)) / INDEX(טבלה1[Eritrea 1998 '[496']], MATCH($A20, $A$2:$A$16, 0))</f>
        <v>6.5243126176708952E-2</v>
      </c>
      <c r="AC21" s="5">
        <f>INDEX(טבלה1[Galapagos, Floreana rocky reef 2000 '[48']], MATCH($A21, $A$2:$A$16, 0)) / INDEX(טבלה1[Galapagos, Floreana rocky reef 2000 '[48']], MATCH($A20, $A$2:$A$16, 0))</f>
        <v>-1.6899738448640971</v>
      </c>
      <c r="AD21" s="5">
        <f>INDEX(טבלה1[Germany, Schlei Fjord 1980 '[464']], MATCH($A21, $A$2:$A$16, 0)) / INDEX(טבלה1[Germany, Schlei Fjord 1980 '[464']], MATCH($A20, $A$2:$A$16, 0))</f>
        <v>2.0588061319766777</v>
      </c>
      <c r="AE21" s="5">
        <f>INDEX(טבלה1[Golfo Dulce 1993 '[53']], MATCH($A21, $A$2:$A$16, 0)) / INDEX(טבלה1[Golfo Dulce 1993 '[53']], MATCH($A20, $A$2:$A$16, 0))</f>
        <v>0.80213831557751436</v>
      </c>
      <c r="AF21" s="5">
        <f>INDEX(טבלה1[Grand Banks of Newfoundland 1900 '[105']], MATCH($A21, $A$2:$A$16, 0)) / INDEX(טבלה1[Grand Banks of Newfoundland 1900 '[105']], MATCH($A20, $A$2:$A$16, 0))</f>
        <v>0.67459724256150289</v>
      </c>
      <c r="AG21" s="5">
        <f>INDEX(טבלה1[Grand Banks of Newfoundland 1980 '[107']], MATCH($A21, $A$2:$A$16, 0)) / INDEX(טבלה1[Grand Banks of Newfoundland 1980 '[107']], MATCH($A20, $A$2:$A$16, 0))</f>
        <v>1.2722310538103236</v>
      </c>
      <c r="AH21" s="5">
        <f>INDEX(טבלה1[Grand Banks of Newfoundland 1990 '[108']], MATCH($A21, $A$2:$A$16, 0)) / INDEX(טבלה1[Grand Banks of Newfoundland 1990 '[108']], MATCH($A20, $A$2:$A$16, 0))</f>
        <v>13.138078037421447</v>
      </c>
      <c r="AI21" s="5">
        <f>INDEX(טבלה1[Greenland, West Coast 1997 '[168']], MATCH($A21, $A$2:$A$16, 0)) / INDEX(טבלה1[Greenland, West Coast 1997 '[168']], MATCH($A20, $A$2:$A$16, 0))</f>
        <v>6.2371656842461176</v>
      </c>
      <c r="AJ21" s="5">
        <f>INDEX(טבלה1[Guinea 1985 '[726']], MATCH($A21, $A$2:$A$16, 0)) / INDEX(טבלה1[Guinea 1985 '[726']], MATCH($A20, $A$2:$A$16, 0))</f>
        <v>3.3981531887055687</v>
      </c>
      <c r="AK21" s="5">
        <f>INDEX(טבלה1[Guinea 1998 '[646']], MATCH($A21, $A$2:$A$16, 0)) / INDEX(טבלה1[Guinea 1998 '[646']], MATCH($A20, $A$2:$A$16, 0))</f>
        <v>2.0621008985313787</v>
      </c>
      <c r="AL21" s="5">
        <f>INDEX(טבלה1[Guinea 2004 '[725']], MATCH($A21, $A$2:$A$16, 0)) / INDEX(טבלה1[Guinea 2004 '[725']], MATCH($A20, $A$2:$A$16, 0))</f>
        <v>2.8063760431319924</v>
      </c>
      <c r="AM21" s="5">
        <f>INDEX(טבלה1[Gulf of California 1990 '[450']], MATCH($A21, $A$2:$A$16, 0)) / INDEX(טבלה1[Gulf of California 1990 '[450']], MATCH($A20, $A$2:$A$16, 0))</f>
        <v>1.1799744716879665</v>
      </c>
      <c r="AN21" s="5">
        <f>INDEX(טבלה1[Gulf of Maine 1977 '[444']], MATCH($A21, $A$2:$A$16, 0)) / INDEX(טבלה1[Gulf of Maine 1977 '[444']], MATCH($A20, $A$2:$A$16, 0))</f>
        <v>1.8878926445881905</v>
      </c>
      <c r="AO21" s="5">
        <f>INDEX(טבלה1[Gulf of Mexico 1950 '[520']], MATCH($A21, $A$2:$A$16, 0)) / INDEX(טבלה1[Gulf of Mexico 1950 '[520']], MATCH($A20, $A$2:$A$16, 0))</f>
        <v>0.37451196161998745</v>
      </c>
      <c r="AP21" s="5">
        <f>INDEX(טבלה1[Gulf of Mexico 1980 '[58']], MATCH($A21, $A$2:$A$16, 0)) / INDEX(טבלה1[Gulf of Mexico 1980 '[58']], MATCH($A20, $A$2:$A$16, 0))</f>
        <v>1.5330980015560238</v>
      </c>
      <c r="AQ21" s="5">
        <f>INDEX(טבלה1[Gulf of Thailande 1963 '[412']], MATCH($A21, $A$2:$A$16, 0)) / INDEX(טבלה1[Gulf of Thailande 1963 '[412']], MATCH($A20, $A$2:$A$16, 0))</f>
        <v>2.535909455903079</v>
      </c>
      <c r="AR21" s="5">
        <f>INDEX(טבלה1[Huizache-Caimanero 1984 '[241']], MATCH($A21, $A$2:$A$16, 0)) / INDEX(טבלה1[Huizache-Caimanero 1984 '[241']], MATCH($A20, $A$2:$A$16, 0))</f>
        <v>1.7407722649914557</v>
      </c>
      <c r="AS21" s="5">
        <f>INDEX(טבלה1[Iceland 1950 '[227']], MATCH($A21, $A$2:$A$16, 0)) / INDEX(טבלה1[Iceland 1950 '[227']], MATCH($A20, $A$2:$A$16, 0))</f>
        <v>2.7911392107625121</v>
      </c>
      <c r="AT21" s="5">
        <f>INDEX(טבלה1[Icelandic shelf 1997 '[68']], MATCH($A21, $A$2:$A$16, 0)) / INDEX(טבלה1[Icelandic shelf 1997 '[68']], MATCH($A20, $A$2:$A$16, 0))</f>
        <v>5.6255163907993522</v>
      </c>
      <c r="AU21" s="5">
        <f>INDEX(טבלה1[Kaloko Honokohau 2005 '[499']], MATCH($A21, $A$2:$A$16, 0)) / INDEX(טבלה1[Kaloko Honokohau 2005 '[499']], MATCH($A20, $A$2:$A$16, 0))</f>
        <v>0.56487679630657617</v>
      </c>
      <c r="AV21" s="5">
        <f>INDEX(טבלה1[Lesser Antilles 2001 '[459']], MATCH($A21, $A$2:$A$16, 0)) / INDEX(טבלה1[Lesser Antilles 2001 '[459']], MATCH($A20, $A$2:$A$16, 0))</f>
        <v>3.5950589839591665</v>
      </c>
      <c r="AW21" s="5">
        <f>INDEX(טבלה1[Mauritania 1987 '[650']], MATCH($A21, $A$2:$A$16, 0)) / INDEX(טבלה1[Mauritania 1987 '[650']], MATCH($A20, $A$2:$A$16, 0))</f>
        <v>0.96505492289022199</v>
      </c>
      <c r="AX21" s="5">
        <f>INDEX(טבלה1[Mauritania 1998 '[651']], MATCH($A21, $A$2:$A$16, 0)) / INDEX(טבלה1[Mauritania 1998 '[651']], MATCH($A20, $A$2:$A$16, 0))</f>
        <v>0.14623100387147547</v>
      </c>
      <c r="AY21" s="5">
        <f>INDEX(טבלה1[Mauritanie 1991 '[689']], MATCH($A21, $A$2:$A$16, 0)) / INDEX(טבלה1[Mauritanie 1991 '[689']], MATCH($A20, $A$2:$A$16, 0))</f>
        <v>6.0675248503047765</v>
      </c>
      <c r="AZ21" s="5">
        <f>INDEX(טבלה1[New Foundland 1985 '[518']], MATCH($A21, $A$2:$A$16, 0)) / INDEX(טבלה1[New Foundland 1985 '[518']], MATCH($A20, $A$2:$A$16, 0))</f>
        <v>0.56981212556692307</v>
      </c>
      <c r="BA21" s="5">
        <f>INDEX(טבלה1[North Atlantic 1950 '[111']], MATCH($A21, $A$2:$A$16, 0)) / INDEX(טבלה1[North Atlantic 1950 '[111']], MATCH($A20, $A$2:$A$16, 0))</f>
        <v>95.027658627283898</v>
      </c>
      <c r="BB21" s="5">
        <f>INDEX(טבלה1[North Atlantic 1997 '[112']], MATCH($A21, $A$2:$A$16, 0)) / INDEX(טבלה1[North Atlantic 1997 '[112']], MATCH($A20, $A$2:$A$16, 0))</f>
        <v>297.12270172892636</v>
      </c>
      <c r="BC21" s="5">
        <f>INDEX(טבלה1[North East Pacific 1950 '[479']], MATCH($A21, $A$2:$A$16, 0)) / INDEX(טבלה1[North East Pacific 1950 '[479']], MATCH($A20, $A$2:$A$16, 0))</f>
        <v>0.36878341015359528</v>
      </c>
      <c r="BD21" s="5">
        <f>INDEX(טבלה1[North Sea 1974 '[413']], MATCH($A21, $A$2:$A$16, 0)) / INDEX(טבלה1[North Sea 1974 '[413']], MATCH($A20, $A$2:$A$16, 0))</f>
        <v>5.0818284976356818</v>
      </c>
      <c r="BE21" s="5">
        <f>INDEX(טבלה1[North Sea 1981 '[680']], MATCH($A21, $A$2:$A$16, 0)) / INDEX(טבלה1[North Sea 1981 '[680']], MATCH($A20, $A$2:$A$16, 0))</f>
        <v>0.11485617507930401</v>
      </c>
      <c r="BF21" s="5">
        <f>INDEX(טבלה1[Northern Benguela 1956 '[115']], MATCH($A21, $A$2:$A$16, 0)) / INDEX(טבלה1[Northern Benguela 1956 '[115']], MATCH($A20, $A$2:$A$16, 0))</f>
        <v>0.52293804684274336</v>
      </c>
      <c r="BG21" s="5">
        <f>INDEX(טבלה1[Northern Californian Current 1960 '[519']], MATCH($A21, $A$2:$A$16, 0)) / INDEX(טבלה1[Northern Californian Current 1960 '[519']], MATCH($A20, $A$2:$A$16, 0))</f>
        <v>1.3203948744668141</v>
      </c>
      <c r="BH21" s="5">
        <f>INDEX(טבלה1[Northern Gulf of St Lawrence 1990 '[462']], MATCH($A21, $A$2:$A$16, 0)) / INDEX(טבלה1[Northern Gulf of St Lawrence 1990 '[462']], MATCH($A20, $A$2:$A$16, 0))</f>
        <v>19.83908254649279</v>
      </c>
      <c r="BI21" s="5">
        <f>INDEX(טבלה1[Northern Gulf St Lawrence 1985 '[116']], MATCH($A21, $A$2:$A$16, 0)) / INDEX(טבלה1[Northern Gulf St Lawrence 1985 '[116']], MATCH($A20, $A$2:$A$16, 0))</f>
        <v>2.5774247125077885</v>
      </c>
      <c r="BJ21" s="5">
        <f>INDEX(טבלה1[Northwest Africa 1987 '[118']], MATCH($A21, $A$2:$A$16, 0)) / INDEX(טבלה1[Northwest Africa 1987 '[118']], MATCH($A20, $A$2:$A$16, 0))</f>
        <v>13.16597754319946</v>
      </c>
      <c r="BK21" s="5">
        <f>INDEX(טבלה1[Orbetello Lagoon 1996 '[232']], MATCH($A21, $A$2:$A$16, 0)) / INDEX(טבלה1[Orbetello Lagoon 1996 '[232']], MATCH($A20, $A$2:$A$16, 0))</f>
        <v>0.45094996677836396</v>
      </c>
      <c r="BL21" s="5">
        <f>INDEX(טבלה1[Peru 1953 '[311']], MATCH($A21, $A$2:$A$16, 0)) / INDEX(טבלה1[Peru 1953 '[311']], MATCH($A20, $A$2:$A$16, 0))</f>
        <v>10.165867925089476</v>
      </c>
      <c r="BM21" s="5">
        <f>INDEX(טבלה1[Peru 1953 '[439']], MATCH($A21, $A$2:$A$16, 0)) / INDEX(טבלה1[Peru 1953 '[439']], MATCH($A20, $A$2:$A$16, 0))</f>
        <v>1.6369205009514705</v>
      </c>
      <c r="BN21" s="5">
        <f>INDEX(טבלה1[Peru 1960 '[312']], MATCH($A21, $A$2:$A$16, 0)) / INDEX(טבלה1[Peru 1960 '[312']], MATCH($A20, $A$2:$A$16, 0))</f>
        <v>2.5486114651442744</v>
      </c>
      <c r="BO21" s="5">
        <f>INDEX(טבלה1[Peru 1973 '[658']], MATCH($A21, $A$2:$A$16, 0)) / INDEX(טבלה1[Peru 1973 '[658']], MATCH($A20, $A$2:$A$16, 0))</f>
        <v>6.2079616204785983</v>
      </c>
      <c r="BP21" s="5">
        <f>INDEX(טבלה1[Port Cros 1998 '[497']], MATCH($A21, $A$2:$A$16, 0)) / INDEX(טבלה1[Port Cros 1998 '[497']], MATCH($A20, $A$2:$A$16, 0))</f>
        <v>0.23434102375304691</v>
      </c>
      <c r="BQ21" s="5">
        <f>INDEX(טבלה1[Sierra Leone 1964 '[135']], MATCH($A21, $A$2:$A$16, 0)) / INDEX(טבלה1[Sierra Leone 1964 '[135']], MATCH($A20, $A$2:$A$16, 0))</f>
        <v>0.53848734277059951</v>
      </c>
      <c r="BR21" s="5">
        <f>INDEX(טבלה1[Sierra Leone 1978 1978 '[136']], MATCH($A21, $A$2:$A$16, 0)) / INDEX(טבלה1[Sierra Leone 1978 1978 '[136']], MATCH($A20, $A$2:$A$16, 0))</f>
        <v>0.21891052833601368</v>
      </c>
      <c r="BS21" s="5">
        <f>INDEX(טבלה1[Sierra Leone 1990 '[137']], MATCH($A21, $A$2:$A$16, 0)) / INDEX(טבלה1[Sierra Leone 1990 '[137']], MATCH($A20, $A$2:$A$16, 0))</f>
        <v>0.6323776602563006</v>
      </c>
      <c r="BT21" s="5">
        <f>INDEX(טבלה1[Sinaloa sur MEXICO 1994 '[325']], MATCH($A21, $A$2:$A$16, 0)) / INDEX(טבלה1[Sinaloa sur MEXICO 1994 '[325']], MATCH($A20, $A$2:$A$16, 0))</f>
        <v>1.4692721212086821</v>
      </c>
      <c r="BU21" s="5">
        <f>INDEX(טבלה1[Sonda de Campeche 1988 '[240']], MATCH($A21, $A$2:$A$16, 0)) / INDEX(טבלה1[Sonda de Campeche 1988 '[240']], MATCH($A20, $A$2:$A$16, 0))</f>
        <v>0.52309716343515145</v>
      </c>
      <c r="BV21" s="5">
        <f>INDEX(טבלה1[Sonda_Campeche_Act 1988 '[291']], MATCH($A21, $A$2:$A$16, 0)) / INDEX(טבלה1[Sonda_Campeche_Act 1988 '[291']], MATCH($A20, $A$2:$A$16, 0))</f>
        <v>9.4906720497558528</v>
      </c>
      <c r="BW21" s="5">
        <f>INDEX(טבלה1[South Shetlands 1990 '[663']], MATCH($A21, $A$2:$A$16, 0)) / INDEX(טבלה1[South Shetlands 1990 '[663']], MATCH($A20, $A$2:$A$16, 0))</f>
        <v>19.422850651549464</v>
      </c>
      <c r="BX21" s="5">
        <f>INDEX(טבלה1[South West Viet nam 1994 '[415']], MATCH($A21, $A$2:$A$16, 0)) / INDEX(טבלה1[South West Viet nam 1994 '[415']], MATCH($A20, $A$2:$A$16, 0))</f>
        <v>4.3370320176819188</v>
      </c>
      <c r="BY21" s="5">
        <f>INDEX(טבלה1[South western Gulf of Mexico 1970 '[687']], MATCH($A21, $A$2:$A$16, 0)) / INDEX(טבלה1[South western Gulf of Mexico 1970 '[687']], MATCH($A20, $A$2:$A$16, 0))</f>
        <v>0.72139260212433709</v>
      </c>
      <c r="BZ21" s="5">
        <f>INDEX(טבלה1[Southern Brazil 1980 '[664']], MATCH($A21, $A$2:$A$16, 0)) / INDEX(טבלה1[Southern Brazil 1980 '[664']], MATCH($A20, $A$2:$A$16, 0))</f>
        <v>2.1142287688580881</v>
      </c>
      <c r="CA21" s="5">
        <f>INDEX(טבלה1[Southern Gulf of St. Lawrence 1980 '[145']], MATCH($A21, $A$2:$A$16, 0)) / INDEX(טבלה1[Southern Gulf of St. Lawrence 1980 '[145']], MATCH($A20, $A$2:$A$16, 0))</f>
        <v>1.213186389830329</v>
      </c>
      <c r="CB21" s="5">
        <f>INDEX(טבלה1[Sri Lanka 2000 '[441']], MATCH($A21, $A$2:$A$16, 0)) / INDEX(טבלה1[Sri Lanka 2000 '[441']], MATCH($A20, $A$2:$A$16, 0))</f>
        <v>1.8673510520186591</v>
      </c>
      <c r="CC21" s="5">
        <f>INDEX(טבלה1[Strait of Georgia 1950 '[477']], MATCH($A21, $A$2:$A$16, 0)) / INDEX(טבלה1[Strait of Georgia 1950 '[477']], MATCH($A20, $A$2:$A$16, 0))</f>
        <v>0.73405739075252507</v>
      </c>
      <c r="CD21" s="5">
        <f>INDEX(טבלה1[Sørfjord 1993 '[429']], MATCH($A21, $A$2:$A$16, 0)) / INDEX(טבלה1[Sørfjord 1993 '[429']], MATCH($A20, $A$2:$A$16, 0))</f>
        <v>1.5902834101167416</v>
      </c>
      <c r="CE21" s="5">
        <f>INDEX(טבלה1[Tampa Bay 1950 '[153']], MATCH($A21, $A$2:$A$16, 0)) / INDEX(טבלה1[Tampa Bay 1950 '[153']], MATCH($A20, $A$2:$A$16, 0))</f>
        <v>0.14075623260838757</v>
      </c>
      <c r="CF21" s="5">
        <f>INDEX(טבלה1[Tasmanian Seamounts Marine Reserve 1992 '[407']], MATCH($A21, $A$2:$A$16, 0)) / INDEX(טבלה1[Tasmanian Seamounts Marine Reserve 1992 '[407']], MATCH($A20, $A$2:$A$16, 0))</f>
        <v>1.616411200870671</v>
      </c>
      <c r="CG21" s="5">
        <f>INDEX(טבלה1[Terminos Lagoon 1980 '[243']], MATCH($A21, $A$2:$A$16, 0)) / INDEX(טבלה1[Terminos Lagoon 1980 '[243']], MATCH($A20, $A$2:$A$16, 0))</f>
        <v>1.4296548194861969</v>
      </c>
      <c r="CH21" s="5">
        <f>INDEX(טבלה1[Thau 1980 '[217']], MATCH($A21, $A$2:$A$16, 0)) / INDEX(טבלה1[Thau 1980 '[217']], MATCH($A20, $A$2:$A$16, 0))</f>
        <v>0.4454460914348729</v>
      </c>
      <c r="CI21" s="5">
        <f>INDEX(טבלה1[USA, Mid Atlantic Bight 1995 '[99']], MATCH($A21, $A$2:$A$16, 0)) / INDEX(טבלה1[USA, Mid Atlantic Bight 1995 '[99']], MATCH($A20, $A$2:$A$16, 0))</f>
        <v>0.33391975169671229</v>
      </c>
      <c r="CJ21" s="5">
        <f>INDEX(טבלה1[Venezuela shelf 1980 '[282']], MATCH($A21, $A$2:$A$16, 0)) / INDEX(טבלה1[Venezuela shelf 1980 '[282']], MATCH($A20, $A$2:$A$16, 0))</f>
        <v>1.998492306906668</v>
      </c>
      <c r="CK21" s="5">
        <f>INDEX(טבלה1[West Coast of Peninbsular Malaysia 1972 '[414']], MATCH($A21, $A$2:$A$16, 0)) / INDEX(טבלה1[West Coast of Peninbsular Malaysia 1972 '[414']], MATCH($A20, $A$2:$A$16, 0))</f>
        <v>2.6738602874947812</v>
      </c>
      <c r="CL21" s="5">
        <f>INDEX(טבלה1[West coast of Sabah 1972 '[305']], MATCH($A21, $A$2:$A$16, 0)) / INDEX(טבלה1[West coast of Sabah 1972 '[305']], MATCH($A20, $A$2:$A$16, 0))</f>
        <v>2.113512676073503</v>
      </c>
      <c r="CM21" s="5">
        <f>INDEX(טבלה1[West Coast Vancouver Island 1950 '[172']], MATCH($A21, $A$2:$A$16, 0)) / INDEX(טבלה1[West Coast Vancouver Island 1950 '[172']], MATCH($A20, $A$2:$A$16, 0))</f>
        <v>2.5145468348429754</v>
      </c>
      <c r="CN21" s="5">
        <f>INDEX(טבלה1[West Scotland 2000 '[461']], MATCH($A21, $A$2:$A$16, 0)) / INDEX(טבלה1[West Scotland 2000 '[461']], MATCH($A20, $A$2:$A$16, 0))</f>
        <v>1.7620217493422305</v>
      </c>
      <c r="CO21" s="5">
        <f>INDEX(טבלה1[West scotland DeepSea 1974 '[443']], MATCH($A21, $A$2:$A$16, 0)) / INDEX(טבלה1[West scotland DeepSea 1974 '[443']], MATCH($A20, $A$2:$A$16, 0))</f>
        <v>0.35337851823988636</v>
      </c>
      <c r="CP21" s="5">
        <f>INDEX(טבלה1[Yucatan 1987 '[320']], MATCH($A21, $A$2:$A$16, 0)) / INDEX(טבלה1[Yucatan 1987 '[320']], MATCH($A20, $A$2:$A$16, 0))</f>
        <v>0.96362290832516484</v>
      </c>
    </row>
    <row r="22" spans="1:94" x14ac:dyDescent="0.3">
      <c r="A22" s="4" t="s">
        <v>100</v>
      </c>
      <c r="B22" s="5">
        <f>INDEX(טבלה1[Alto Golfo de California 0 '[242']], MATCH($A22, $A$2:$A$16, 0)) / INDEX(טבלה1[Alto Golfo de California 0 '[242']], MATCH($A21, $A$2:$A$16, 0))</f>
        <v>10.805592837322475</v>
      </c>
      <c r="C22" s="5">
        <f>INDEX(טבלה1[Australia North West Shelf 1986 '[405']], MATCH($A22, $A$2:$A$16, 0)) / INDEX(טבלה1[Australia North West Shelf 1986 '[405']], MATCH($A21, $A$2:$A$16, 0))</f>
        <v>8.4316222395058453</v>
      </c>
      <c r="D22" s="5">
        <f>INDEX(טבלה1[Baja California 1970 '[417']], MATCH($A22, $A$2:$A$16, 0)) / INDEX(טבלה1[Baja California 1970 '[417']], MATCH($A21, $A$2:$A$16, 0))</f>
        <v>5.4174693384184422</v>
      </c>
      <c r="E22" s="5">
        <f>INDEX(טבלה1[Bay of Biscay 1970 '[633']], MATCH($A22, $A$2:$A$16, 0)) / INDEX(טבלה1[Bay of Biscay 1970 '[633']], MATCH($A21, $A$2:$A$16, 0))</f>
        <v>1.9378510620211449</v>
      </c>
      <c r="F22" s="5">
        <f>INDEX(טבלה1[Bay of Biscay 1998 '[634']], MATCH($A22, $A$2:$A$16, 0)) / INDEX(טבלה1[Bay of Biscay 1998 '[634']], MATCH($A21, $A$2:$A$16, 0))</f>
        <v>2.1932848470984054</v>
      </c>
      <c r="G22" s="5">
        <f>INDEX(טבלה1[Black Sea 1960 '[691']], MATCH($A22, $A$2:$A$16, 0)) / INDEX(טבלה1[Black Sea 1960 '[691']], MATCH($A21, $A$2:$A$16, 0))</f>
        <v>0.75930195804490264</v>
      </c>
      <c r="H22" s="5">
        <f>INDEX(טבלה1[Black Sea 1980 '[692']], MATCH($A22, $A$2:$A$16, 0)) / INDEX(טבלה1[Black Sea 1980 '[692']], MATCH($A21, $A$2:$A$16, 0))</f>
        <v>0.91142809569961702</v>
      </c>
      <c r="I22" s="5">
        <f>INDEX(טבלה1[Black Sea 1988 '[693']], MATCH($A22, $A$2:$A$16, 0)) / INDEX(טבלה1[Black Sea 1988 '[693']], MATCH($A21, $A$2:$A$16, 0))</f>
        <v>0.87341922460304355</v>
      </c>
      <c r="J22" s="5">
        <f>INDEX(טבלה1[Black Sea 1990 '[435']], MATCH($A22, $A$2:$A$16, 0)) / INDEX(טבלה1[Black Sea 1990 '[435']], MATCH($A21, $A$2:$A$16, 0))</f>
        <v>1.8192781094958357</v>
      </c>
      <c r="K22" s="5">
        <f>INDEX(טבלה1[BlackSea 1955 '[433']], MATCH($A22, $A$2:$A$16, 0)) / INDEX(טבלה1[BlackSea 1955 '[433']], MATCH($A21, $A$2:$A$16, 0))</f>
        <v>0.67630361809801331</v>
      </c>
      <c r="L22" s="5">
        <f>INDEX(טבלה1[BlackSea 1990 '[468']], MATCH($A22, $A$2:$A$16, 0)) / INDEX(טבלה1[BlackSea 1990 '[468']], MATCH($A21, $A$2:$A$16, 0))</f>
        <v>0.95174672276817651</v>
      </c>
      <c r="M22" s="5">
        <f>INDEX(טבלה1[British Columbia coast 1950 '[478']], MATCH($A22, $A$2:$A$16, 0)) / INDEX(טבלה1[British Columbia coast 1950 '[478']], MATCH($A21, $A$2:$A$16, 0))</f>
        <v>2.820367863972892</v>
      </c>
      <c r="N22" s="5">
        <f>INDEX(טבלה1[Campeche 1985 '[323']], MATCH($A22, $A$2:$A$16, 0)) / INDEX(טבלה1[Campeche 1985 '[323']], MATCH($A21, $A$2:$A$16, 0))</f>
        <v>1.2810612787286852</v>
      </c>
      <c r="O22" s="5">
        <f>INDEX(טבלה1[Canada, Grand Banks of Newfoundland 1985 '[655']], MATCH($A22, $A$2:$A$16, 0)) / INDEX(טבלה1[Canada, Grand Banks of Newfoundland 1985 '[655']], MATCH($A21, $A$2:$A$16, 0))</f>
        <v>1.1221906781946009</v>
      </c>
      <c r="P22" s="5">
        <f>INDEX(טבלה1[Cape Verde 1981 '[486']], MATCH($A22, $A$2:$A$16, 0)) / INDEX(טבלה1[Cape Verde 1981 '[486']], MATCH($A21, $A$2:$A$16, 0))</f>
        <v>0.58959177444572075</v>
      </c>
      <c r="Q22" s="5">
        <f>INDEX(טבלה1[Caribbean 1980 '[24']], MATCH($A22, $A$2:$A$16, 0)) / INDEX(טבלה1[Caribbean 1980 '[24']], MATCH($A21, $A$2:$A$16, 0))</f>
        <v>19.248879406755478</v>
      </c>
      <c r="R22" s="5">
        <f>INDEX(טבלה1[Celestun 0 '[246']], MATCH($A22, $A$2:$A$16, 0)) / INDEX(טבלה1[Celestun 0 '[246']], MATCH($A21, $A$2:$A$16, 0))</f>
        <v>2.849418745743963</v>
      </c>
      <c r="S22" s="5">
        <f>INDEX(טבלה1[Celestun mangrove 1992 '[247']], MATCH($A22, $A$2:$A$16, 0)) / INDEX(טבלה1[Celestun mangrove 1992 '[247']], MATCH($A21, $A$2:$A$16, 0))</f>
        <v>18.86246243547151</v>
      </c>
      <c r="T22" s="5">
        <f>INDEX(טבלה1[Central Atlantic 1950 '[28']], MATCH($A22, $A$2:$A$16, 0)) / INDEX(טבלה1[Central Atlantic 1950 '[28']], MATCH($A21, $A$2:$A$16, 0))</f>
        <v>34.089999000179837</v>
      </c>
      <c r="U22" s="5">
        <f>INDEX(טבלה1[Central Atlantic 1990 '[29']], MATCH($A22, $A$2:$A$16, 0)) / INDEX(טבלה1[Central Atlantic 1990 '[29']], MATCH($A21, $A$2:$A$16, 0))</f>
        <v>5.0586580412680711</v>
      </c>
      <c r="V22" s="5">
        <f>INDEX(טבלה1[Central Chile 1998 '[637']], MATCH($A22, $A$2:$A$16, 0)) / INDEX(טבלה1[Central Chile 1998 '[637']], MATCH($A21, $A$2:$A$16, 0))</f>
        <v>1.6659936376319935</v>
      </c>
      <c r="W22" s="5">
        <f>INDEX(טבלה1[Chesapeake 1950 '[34']], MATCH($A22, $A$2:$A$16, 0)) / INDEX(טבלה1[Chesapeake 1950 '[34']], MATCH($A21, $A$2:$A$16, 0))</f>
        <v>0.82412792061494899</v>
      </c>
      <c r="X22" s="5">
        <f>INDEX(טבלה1[Danajon Bank 2010 '[711']], MATCH($A22, $A$2:$A$16, 0)) / INDEX(טבלה1[Danajon Bank 2010 '[711']], MATCH($A21, $A$2:$A$16, 0))</f>
        <v>1.6985745379967969</v>
      </c>
      <c r="Y22" s="5">
        <f>INDEX(טבלה1[Denmark, Faroe Islands 1997 '[46']], MATCH($A22, $A$2:$A$16, 0)) / INDEX(טבלה1[Denmark, Faroe Islands 1997 '[46']], MATCH($A21, $A$2:$A$16, 0))</f>
        <v>2.6824943619065098</v>
      </c>
      <c r="Z22" s="5">
        <f>INDEX(טבלה1[Eastern Scotian Shelf 1980 '[40']], MATCH($A22, $A$2:$A$16, 0)) / INDEX(טבלה1[Eastern Scotian Shelf 1980 '[40']], MATCH($A21, $A$2:$A$16, 0))</f>
        <v>1.0427850146584263</v>
      </c>
      <c r="AA22" s="5">
        <f>INDEX(טבלה1[Eastern Scotian Shelf 1995 '[41']], MATCH($A22, $A$2:$A$16, 0)) / INDEX(טבלה1[Eastern Scotian Shelf 1995 '[41']], MATCH($A21, $A$2:$A$16, 0))</f>
        <v>1.2607426814318936</v>
      </c>
      <c r="AB22" s="5">
        <f>INDEX(טבלה1[Eritrea 1998 '[496']], MATCH($A22, $A$2:$A$16, 0)) / INDEX(טבלה1[Eritrea 1998 '[496']], MATCH($A21, $A$2:$A$16, 0))</f>
        <v>58.603711735293295</v>
      </c>
      <c r="AC22" s="5">
        <f>INDEX(טבלה1[Galapagos, Floreana rocky reef 2000 '[48']], MATCH($A22, $A$2:$A$16, 0)) / INDEX(טבלה1[Galapagos, Floreana rocky reef 2000 '[48']], MATCH($A21, $A$2:$A$16, 0))</f>
        <v>2.3513462242251384E-2</v>
      </c>
      <c r="AD22" s="5">
        <f>INDEX(טבלה1[Germany, Schlei Fjord 1980 '[464']], MATCH($A22, $A$2:$A$16, 0)) / INDEX(טבלה1[Germany, Schlei Fjord 1980 '[464']], MATCH($A21, $A$2:$A$16, 0))</f>
        <v>0.61099349534754277</v>
      </c>
      <c r="AE22" s="5">
        <f>INDEX(טבלה1[Golfo Dulce 1993 '[53']], MATCH($A22, $A$2:$A$16, 0)) / INDEX(טבלה1[Golfo Dulce 1993 '[53']], MATCH($A21, $A$2:$A$16, 0))</f>
        <v>2.8223443092008065</v>
      </c>
      <c r="AF22" s="5">
        <f>INDEX(טבלה1[Grand Banks of Newfoundland 1900 '[105']], MATCH($A22, $A$2:$A$16, 0)) / INDEX(טבלה1[Grand Banks of Newfoundland 1900 '[105']], MATCH($A21, $A$2:$A$16, 0))</f>
        <v>1.9019770160680147</v>
      </c>
      <c r="AG22" s="5">
        <f>INDEX(טבלה1[Grand Banks of Newfoundland 1980 '[107']], MATCH($A22, $A$2:$A$16, 0)) / INDEX(טבלה1[Grand Banks of Newfoundland 1980 '[107']], MATCH($A21, $A$2:$A$16, 0))</f>
        <v>1.0481372198782837</v>
      </c>
      <c r="AH22" s="5">
        <f>INDEX(טבלה1[Grand Banks of Newfoundland 1990 '[108']], MATCH($A22, $A$2:$A$16, 0)) / INDEX(טבלה1[Grand Banks of Newfoundland 1990 '[108']], MATCH($A21, $A$2:$A$16, 0))</f>
        <v>0.88733506089266689</v>
      </c>
      <c r="AI22" s="5">
        <f>INDEX(טבלה1[Greenland, West Coast 1997 '[168']], MATCH($A22, $A$2:$A$16, 0)) / INDEX(טבלה1[Greenland, West Coast 1997 '[168']], MATCH($A21, $A$2:$A$16, 0))</f>
        <v>2.3944788306781741</v>
      </c>
      <c r="AJ22" s="5">
        <f>INDEX(טבלה1[Guinea 1985 '[726']], MATCH($A22, $A$2:$A$16, 0)) / INDEX(טבלה1[Guinea 1985 '[726']], MATCH($A21, $A$2:$A$16, 0))</f>
        <v>3.6515708765966992</v>
      </c>
      <c r="AK22" s="5">
        <f>INDEX(טבלה1[Guinea 1998 '[646']], MATCH($A22, $A$2:$A$16, 0)) / INDEX(טבלה1[Guinea 1998 '[646']], MATCH($A21, $A$2:$A$16, 0))</f>
        <v>2.061005002363919</v>
      </c>
      <c r="AL22" s="5">
        <f>INDEX(טבלה1[Guinea 2004 '[725']], MATCH($A22, $A$2:$A$16, 0)) / INDEX(טבלה1[Guinea 2004 '[725']], MATCH($A21, $A$2:$A$16, 0))</f>
        <v>2.5155397645412645</v>
      </c>
      <c r="AM22" s="5">
        <f>INDEX(טבלה1[Gulf of California 1990 '[450']], MATCH($A22, $A$2:$A$16, 0)) / INDEX(טבלה1[Gulf of California 1990 '[450']], MATCH($A21, $A$2:$A$16, 0))</f>
        <v>34.352631615236511</v>
      </c>
      <c r="AN22" s="5">
        <f>INDEX(טבלה1[Gulf of Maine 1977 '[444']], MATCH($A22, $A$2:$A$16, 0)) / INDEX(טבלה1[Gulf of Maine 1977 '[444']], MATCH($A21, $A$2:$A$16, 0))</f>
        <v>1.0171470664414164</v>
      </c>
      <c r="AO22" s="5">
        <f>INDEX(טבלה1[Gulf of Mexico 1950 '[520']], MATCH($A22, $A$2:$A$16, 0)) / INDEX(טבלה1[Gulf of Mexico 1950 '[520']], MATCH($A21, $A$2:$A$16, 0))</f>
        <v>0.94854790359723029</v>
      </c>
      <c r="AP22" s="5">
        <f>INDEX(טבלה1[Gulf of Mexico 1980 '[58']], MATCH($A22, $A$2:$A$16, 0)) / INDEX(טבלה1[Gulf of Mexico 1980 '[58']], MATCH($A21, $A$2:$A$16, 0))</f>
        <v>1.5781173611997248</v>
      </c>
      <c r="AQ22" s="5">
        <f>INDEX(טבלה1[Gulf of Thailande 1963 '[412']], MATCH($A22, $A$2:$A$16, 0)) / INDEX(טבלה1[Gulf of Thailande 1963 '[412']], MATCH($A21, $A$2:$A$16, 0))</f>
        <v>2.6683670030821318</v>
      </c>
      <c r="AR22" s="5">
        <f>INDEX(טבלה1[Huizache-Caimanero 1984 '[241']], MATCH($A22, $A$2:$A$16, 0)) / INDEX(טבלה1[Huizache-Caimanero 1984 '[241']], MATCH($A21, $A$2:$A$16, 0))</f>
        <v>9.0973935642444399</v>
      </c>
      <c r="AS22" s="5">
        <f>INDEX(טבלה1[Iceland 1950 '[227']], MATCH($A22, $A$2:$A$16, 0)) / INDEX(טבלה1[Iceland 1950 '[227']], MATCH($A21, $A$2:$A$16, 0))</f>
        <v>1.5317352055424514</v>
      </c>
      <c r="AT22" s="5">
        <f>INDEX(טבלה1[Icelandic shelf 1997 '[68']], MATCH($A22, $A$2:$A$16, 0)) / INDEX(טבלה1[Icelandic shelf 1997 '[68']], MATCH($A21, $A$2:$A$16, 0))</f>
        <v>1.1910442008687026</v>
      </c>
      <c r="AU22" s="5">
        <f>INDEX(טבלה1[Kaloko Honokohau 2005 '[499']], MATCH($A22, $A$2:$A$16, 0)) / INDEX(טבלה1[Kaloko Honokohau 2005 '[499']], MATCH($A21, $A$2:$A$16, 0))</f>
        <v>0.54881918495373749</v>
      </c>
      <c r="AV22" s="5">
        <f>INDEX(טבלה1[Lesser Antilles 2001 '[459']], MATCH($A22, $A$2:$A$16, 0)) / INDEX(טבלה1[Lesser Antilles 2001 '[459']], MATCH($A21, $A$2:$A$16, 0))</f>
        <v>0.79737878911531823</v>
      </c>
      <c r="AW22" s="5">
        <f>INDEX(טבלה1[Mauritania 1987 '[650']], MATCH($A22, $A$2:$A$16, 0)) / INDEX(טבלה1[Mauritania 1987 '[650']], MATCH($A21, $A$2:$A$16, 0))</f>
        <v>1.563584993622124</v>
      </c>
      <c r="AX22" s="5">
        <f>INDEX(טבלה1[Mauritania 1998 '[651']], MATCH($A22, $A$2:$A$16, 0)) / INDEX(טבלה1[Mauritania 1998 '[651']], MATCH($A21, $A$2:$A$16, 0))</f>
        <v>1.5649348335940687</v>
      </c>
      <c r="AY22" s="5">
        <f>INDEX(טבלה1[Mauritanie 1991 '[689']], MATCH($A22, $A$2:$A$16, 0)) / INDEX(טבלה1[Mauritanie 1991 '[689']], MATCH($A21, $A$2:$A$16, 0))</f>
        <v>2.3142021689991652</v>
      </c>
      <c r="AZ22" s="5">
        <f>INDEX(טבלה1[New Foundland 1985 '[518']], MATCH($A22, $A$2:$A$16, 0)) / INDEX(טבלה1[New Foundland 1985 '[518']], MATCH($A21, $A$2:$A$16, 0))</f>
        <v>53.262718795670317</v>
      </c>
      <c r="BA22" s="5">
        <f>INDEX(טבלה1[North Atlantic 1950 '[111']], MATCH($A22, $A$2:$A$16, 0)) / INDEX(טבלה1[North Atlantic 1950 '[111']], MATCH($A21, $A$2:$A$16, 0))</f>
        <v>3.4399091463516598</v>
      </c>
      <c r="BB22" s="5">
        <f>INDEX(טבלה1[North Atlantic 1997 '[112']], MATCH($A22, $A$2:$A$16, 0)) / INDEX(טבלה1[North Atlantic 1997 '[112']], MATCH($A21, $A$2:$A$16, 0))</f>
        <v>2.1991311866689922</v>
      </c>
      <c r="BC22" s="5">
        <f>INDEX(טבלה1[North East Pacific 1950 '[479']], MATCH($A22, $A$2:$A$16, 0)) / INDEX(טבלה1[North East Pacific 1950 '[479']], MATCH($A21, $A$2:$A$16, 0))</f>
        <v>2.3856659787083943</v>
      </c>
      <c r="BD22" s="5">
        <f>INDEX(טבלה1[North Sea 1974 '[413']], MATCH($A22, $A$2:$A$16, 0)) / INDEX(טבלה1[North Sea 1974 '[413']], MATCH($A21, $A$2:$A$16, 0))</f>
        <v>0.86726375793751698</v>
      </c>
      <c r="BE22" s="5">
        <f>INDEX(טבלה1[North Sea 1981 '[680']], MATCH($A22, $A$2:$A$16, 0)) / INDEX(טבלה1[North Sea 1981 '[680']], MATCH($A21, $A$2:$A$16, 0))</f>
        <v>0.56565472766196323</v>
      </c>
      <c r="BF22" s="5">
        <f>INDEX(טבלה1[Northern Benguela 1956 '[115']], MATCH($A22, $A$2:$A$16, 0)) / INDEX(טבלה1[Northern Benguela 1956 '[115']], MATCH($A21, $A$2:$A$16, 0))</f>
        <v>2.2926410442511735</v>
      </c>
      <c r="BG22" s="5">
        <f>INDEX(טבלה1[Northern Californian Current 1960 '[519']], MATCH($A22, $A$2:$A$16, 0)) / INDEX(טבלה1[Northern Californian Current 1960 '[519']], MATCH($A21, $A$2:$A$16, 0))</f>
        <v>0.9553455835333301</v>
      </c>
      <c r="BH22" s="5">
        <f>INDEX(טבלה1[Northern Gulf of St Lawrence 1990 '[462']], MATCH($A22, $A$2:$A$16, 0)) / INDEX(טבלה1[Northern Gulf of St Lawrence 1990 '[462']], MATCH($A21, $A$2:$A$16, 0))</f>
        <v>1.8089738891593772</v>
      </c>
      <c r="BI22" s="5">
        <f>INDEX(טבלה1[Northern Gulf St Lawrence 1985 '[116']], MATCH($A22, $A$2:$A$16, 0)) / INDEX(טבלה1[Northern Gulf St Lawrence 1985 '[116']], MATCH($A21, $A$2:$A$16, 0))</f>
        <v>1.1273735618446643</v>
      </c>
      <c r="BJ22" s="5">
        <f>INDEX(טבלה1[Northwest Africa 1987 '[118']], MATCH($A22, $A$2:$A$16, 0)) / INDEX(טבלה1[Northwest Africa 1987 '[118']], MATCH($A21, $A$2:$A$16, 0))</f>
        <v>2.8956752917332369</v>
      </c>
      <c r="BK22" s="5">
        <f>INDEX(טבלה1[Orbetello Lagoon 1996 '[232']], MATCH($A22, $A$2:$A$16, 0)) / INDEX(טבלה1[Orbetello Lagoon 1996 '[232']], MATCH($A21, $A$2:$A$16, 0))</f>
        <v>3.7543036838580419</v>
      </c>
      <c r="BL22" s="5">
        <f>INDEX(טבלה1[Peru 1953 '[311']], MATCH($A22, $A$2:$A$16, 0)) / INDEX(טבלה1[Peru 1953 '[311']], MATCH($A21, $A$2:$A$16, 0))</f>
        <v>5.4364275581031301</v>
      </c>
      <c r="BM22" s="5">
        <f>INDEX(טבלה1[Peru 1953 '[439']], MATCH($A22, $A$2:$A$16, 0)) / INDEX(טבלה1[Peru 1953 '[439']], MATCH($A21, $A$2:$A$16, 0))</f>
        <v>1.6020411886746269</v>
      </c>
      <c r="BN22" s="5">
        <f>INDEX(טבלה1[Peru 1960 '[312']], MATCH($A22, $A$2:$A$16, 0)) / INDEX(טבלה1[Peru 1960 '[312']], MATCH($A21, $A$2:$A$16, 0))</f>
        <v>2.8315729435685708</v>
      </c>
      <c r="BO22" s="5">
        <f>INDEX(טבלה1[Peru 1973 '[658']], MATCH($A22, $A$2:$A$16, 0)) / INDEX(טבלה1[Peru 1973 '[658']], MATCH($A21, $A$2:$A$16, 0))</f>
        <v>1.1997338388936198</v>
      </c>
      <c r="BP22" s="5">
        <f>INDEX(טבלה1[Port Cros 1998 '[497']], MATCH($A22, $A$2:$A$16, 0)) / INDEX(טבלה1[Port Cros 1998 '[497']], MATCH($A21, $A$2:$A$16, 0))</f>
        <v>1.1864663255838259</v>
      </c>
      <c r="BQ22" s="5">
        <f>INDEX(טבלה1[Sierra Leone 1964 '[135']], MATCH($A22, $A$2:$A$16, 0)) / INDEX(טבלה1[Sierra Leone 1964 '[135']], MATCH($A21, $A$2:$A$16, 0))</f>
        <v>15.287022004215428</v>
      </c>
      <c r="BR22" s="5">
        <f>INDEX(טבלה1[Sierra Leone 1978 1978 '[136']], MATCH($A22, $A$2:$A$16, 0)) / INDEX(טבלה1[Sierra Leone 1978 1978 '[136']], MATCH($A21, $A$2:$A$16, 0))</f>
        <v>2.2619365521570707</v>
      </c>
      <c r="BS22" s="5">
        <f>INDEX(טבלה1[Sierra Leone 1990 '[137']], MATCH($A22, $A$2:$A$16, 0)) / INDEX(טבלה1[Sierra Leone 1990 '[137']], MATCH($A21, $A$2:$A$16, 0))</f>
        <v>3.4075339001865617</v>
      </c>
      <c r="BT22" s="5">
        <f>INDEX(טבלה1[Sinaloa sur MEXICO 1994 '[325']], MATCH($A22, $A$2:$A$16, 0)) / INDEX(טבלה1[Sinaloa sur MEXICO 1994 '[325']], MATCH($A21, $A$2:$A$16, 0))</f>
        <v>10.464112097731034</v>
      </c>
      <c r="BU22" s="5">
        <f>INDEX(טבלה1[Sonda de Campeche 1988 '[240']], MATCH($A22, $A$2:$A$16, 0)) / INDEX(טבלה1[Sonda de Campeche 1988 '[240']], MATCH($A21, $A$2:$A$16, 0))</f>
        <v>1.8902486375115914</v>
      </c>
      <c r="BV22" s="5">
        <f>INDEX(טבלה1[Sonda_Campeche_Act 1988 '[291']], MATCH($A22, $A$2:$A$16, 0)) / INDEX(טבלה1[Sonda_Campeche_Act 1988 '[291']], MATCH($A21, $A$2:$A$16, 0))</f>
        <v>1.4036595010253405</v>
      </c>
      <c r="BW22" s="5">
        <f>INDEX(טבלה1[South Shetlands 1990 '[663']], MATCH($A22, $A$2:$A$16, 0)) / INDEX(טבלה1[South Shetlands 1990 '[663']], MATCH($A21, $A$2:$A$16, 0))</f>
        <v>1.567908556357674</v>
      </c>
      <c r="BX22" s="5">
        <f>INDEX(טבלה1[South West Viet nam 1994 '[415']], MATCH($A22, $A$2:$A$16, 0)) / INDEX(טבלה1[South West Viet nam 1994 '[415']], MATCH($A21, $A$2:$A$16, 0))</f>
        <v>0.91166253466307268</v>
      </c>
      <c r="BY22" s="5">
        <f>INDEX(טבלה1[South western Gulf of Mexico 1970 '[687']], MATCH($A22, $A$2:$A$16, 0)) / INDEX(טבלה1[South western Gulf of Mexico 1970 '[687']], MATCH($A21, $A$2:$A$16, 0))</f>
        <v>0.2973131736264808</v>
      </c>
      <c r="BZ22" s="5">
        <f>INDEX(טבלה1[Southern Brazil 1980 '[664']], MATCH($A22, $A$2:$A$16, 0)) / INDEX(טבלה1[Southern Brazil 1980 '[664']], MATCH($A21, $A$2:$A$16, 0))</f>
        <v>2.4348255942604955</v>
      </c>
      <c r="CA22" s="5">
        <f>INDEX(טבלה1[Southern Gulf of St. Lawrence 1980 '[145']], MATCH($A22, $A$2:$A$16, 0)) / INDEX(טבלה1[Southern Gulf of St. Lawrence 1980 '[145']], MATCH($A21, $A$2:$A$16, 0))</f>
        <v>1.4035987745595668</v>
      </c>
      <c r="CB22" s="5">
        <f>INDEX(טבלה1[Sri Lanka 2000 '[441']], MATCH($A22, $A$2:$A$16, 0)) / INDEX(טבלה1[Sri Lanka 2000 '[441']], MATCH($A21, $A$2:$A$16, 0))</f>
        <v>2.0184746083005076</v>
      </c>
      <c r="CC22" s="5">
        <f>INDEX(טבלה1[Strait of Georgia 1950 '[477']], MATCH($A22, $A$2:$A$16, 0)) / INDEX(טבלה1[Strait of Georgia 1950 '[477']], MATCH($A21, $A$2:$A$16, 0))</f>
        <v>1.9261597786839508</v>
      </c>
      <c r="CD22" s="5">
        <f>INDEX(טבלה1[Sørfjord 1993 '[429']], MATCH($A22, $A$2:$A$16, 0)) / INDEX(טבלה1[Sørfjord 1993 '[429']], MATCH($A21, $A$2:$A$16, 0))</f>
        <v>1.0323977047900694</v>
      </c>
      <c r="CE22" s="5">
        <f>INDEX(טבלה1[Tampa Bay 1950 '[153']], MATCH($A22, $A$2:$A$16, 0)) / INDEX(טבלה1[Tampa Bay 1950 '[153']], MATCH($A21, $A$2:$A$16, 0))</f>
        <v>1.0010668506369997</v>
      </c>
      <c r="CF22" s="5">
        <f>INDEX(טבלה1[Tasmanian Seamounts Marine Reserve 1992 '[407']], MATCH($A22, $A$2:$A$16, 0)) / INDEX(טבלה1[Tasmanian Seamounts Marine Reserve 1992 '[407']], MATCH($A21, $A$2:$A$16, 0))</f>
        <v>3.0564171952325823</v>
      </c>
      <c r="CG22" s="5">
        <f>INDEX(טבלה1[Terminos Lagoon 1980 '[243']], MATCH($A22, $A$2:$A$16, 0)) / INDEX(טבלה1[Terminos Lagoon 1980 '[243']], MATCH($A21, $A$2:$A$16, 0))</f>
        <v>2.5022485495504125</v>
      </c>
      <c r="CH22" s="5">
        <f>INDEX(טבלה1[Thau 1980 '[217']], MATCH($A22, $A$2:$A$16, 0)) / INDEX(טבלה1[Thau 1980 '[217']], MATCH($A21, $A$2:$A$16, 0))</f>
        <v>2.3495238056549868</v>
      </c>
      <c r="CI22" s="5">
        <f>INDEX(טבלה1[USA, Mid Atlantic Bight 1995 '[99']], MATCH($A22, $A$2:$A$16, 0)) / INDEX(טבלה1[USA, Mid Atlantic Bight 1995 '[99']], MATCH($A21, $A$2:$A$16, 0))</f>
        <v>1.4747370836064726</v>
      </c>
      <c r="CJ22" s="5">
        <f>INDEX(טבלה1[Venezuela shelf 1980 '[282']], MATCH($A22, $A$2:$A$16, 0)) / INDEX(טבלה1[Venezuela shelf 1980 '[282']], MATCH($A21, $A$2:$A$16, 0))</f>
        <v>3.1281092623537479</v>
      </c>
      <c r="CK22" s="5">
        <f>INDEX(טבלה1[West Coast of Peninbsular Malaysia 1972 '[414']], MATCH($A22, $A$2:$A$16, 0)) / INDEX(טבלה1[West Coast of Peninbsular Malaysia 1972 '[414']], MATCH($A21, $A$2:$A$16, 0))</f>
        <v>2.0963952117779669</v>
      </c>
      <c r="CL22" s="5">
        <f>INDEX(טבלה1[West coast of Sabah 1972 '[305']], MATCH($A22, $A$2:$A$16, 0)) / INDEX(טבלה1[West coast of Sabah 1972 '[305']], MATCH($A21, $A$2:$A$16, 0))</f>
        <v>1.072816283176014</v>
      </c>
      <c r="CM22" s="5">
        <f>INDEX(טבלה1[West Coast Vancouver Island 1950 '[172']], MATCH($A22, $A$2:$A$16, 0)) / INDEX(טבלה1[West Coast Vancouver Island 1950 '[172']], MATCH($A21, $A$2:$A$16, 0))</f>
        <v>1.1318310393915731</v>
      </c>
      <c r="CN22" s="5">
        <f>INDEX(טבלה1[West Scotland 2000 '[461']], MATCH($A22, $A$2:$A$16, 0)) / INDEX(טבלה1[West Scotland 2000 '[461']], MATCH($A21, $A$2:$A$16, 0))</f>
        <v>9.0514509337463753</v>
      </c>
      <c r="CO22" s="5">
        <f>INDEX(טבלה1[West scotland DeepSea 1974 '[443']], MATCH($A22, $A$2:$A$16, 0)) / INDEX(טבלה1[West scotland DeepSea 1974 '[443']], MATCH($A21, $A$2:$A$16, 0))</f>
        <v>1.7259905819715251</v>
      </c>
      <c r="CP22" s="5">
        <f>INDEX(טבלה1[Yucatan 1987 '[320']], MATCH($A22, $A$2:$A$16, 0)) / INDEX(טבלה1[Yucatan 1987 '[320']], MATCH($A21, $A$2:$A$16, 0))</f>
        <v>0.84236724363124638</v>
      </c>
    </row>
    <row r="23" spans="1:94" x14ac:dyDescent="0.3">
      <c r="A23" s="4" t="s">
        <v>103</v>
      </c>
      <c r="B23" s="5">
        <f>INDEX(טבלה1[Alto Golfo de California 0 '[242']], MATCH($A23, $A$2:$A$16, 0)) / INDEX(טבלה1[Alto Golfo de California 0 '[242']], MATCH($A22, $A$2:$A$16, 0))</f>
        <v>0.41761759017911587</v>
      </c>
      <c r="C23" s="5">
        <f>INDEX(טבלה1[Australia North West Shelf 1986 '[405']], MATCH($A23, $A$2:$A$16, 0)) / INDEX(טבלה1[Australia North West Shelf 1986 '[405']], MATCH($A22, $A$2:$A$16, 0))</f>
        <v>1.2559474601469936E-2</v>
      </c>
      <c r="D23" s="5">
        <f>INDEX(טבלה1[Baja California 1970 '[417']], MATCH($A23, $A$2:$A$16, 0)) / INDEX(טבלה1[Baja California 1970 '[417']], MATCH($A22, $A$2:$A$16, 0))</f>
        <v>0.22811120492064646</v>
      </c>
      <c r="E23" s="5">
        <f>INDEX(טבלה1[Bay of Biscay 1970 '[633']], MATCH($A23, $A$2:$A$16, 0)) / INDEX(טבלה1[Bay of Biscay 1970 '[633']], MATCH($A22, $A$2:$A$16, 0))</f>
        <v>0.68493749393713688</v>
      </c>
      <c r="F23" s="5">
        <f>INDEX(טבלה1[Bay of Biscay 1998 '[634']], MATCH($A23, $A$2:$A$16, 0)) / INDEX(טבלה1[Bay of Biscay 1998 '[634']], MATCH($A22, $A$2:$A$16, 0))</f>
        <v>0.80838740356569017</v>
      </c>
      <c r="G23" s="5">
        <f>INDEX(טבלה1[Black Sea 1960 '[691']], MATCH($A23, $A$2:$A$16, 0)) / INDEX(טבלה1[Black Sea 1960 '[691']], MATCH($A22, $A$2:$A$16, 0))</f>
        <v>8.5279274579862799E-2</v>
      </c>
      <c r="H23" s="5">
        <f>INDEX(טבלה1[Black Sea 1980 '[692']], MATCH($A23, $A$2:$A$16, 0)) / INDEX(טבלה1[Black Sea 1980 '[692']], MATCH($A22, $A$2:$A$16, 0))</f>
        <v>0.30304934696280367</v>
      </c>
      <c r="I23" s="5">
        <f>INDEX(טבלה1[Black Sea 1988 '[693']], MATCH($A23, $A$2:$A$16, 0)) / INDEX(טבלה1[Black Sea 1988 '[693']], MATCH($A22, $A$2:$A$16, 0))</f>
        <v>0.56432069071372915</v>
      </c>
      <c r="J23" s="5">
        <f>INDEX(טבלה1[Black Sea 1990 '[435']], MATCH($A23, $A$2:$A$16, 0)) / INDEX(טבלה1[Black Sea 1990 '[435']], MATCH($A22, $A$2:$A$16, 0))</f>
        <v>0.59738833861185425</v>
      </c>
      <c r="K23" s="5">
        <f>INDEX(טבלה1[BlackSea 1955 '[433']], MATCH($A23, $A$2:$A$16, 0)) / INDEX(טבלה1[BlackSea 1955 '[433']], MATCH($A22, $A$2:$A$16, 0))</f>
        <v>2.9721943199188409E-2</v>
      </c>
      <c r="L23" s="5">
        <f>INDEX(טבלה1[BlackSea 1990 '[468']], MATCH($A23, $A$2:$A$16, 0)) / INDEX(טבלה1[BlackSea 1990 '[468']], MATCH($A22, $A$2:$A$16, 0))</f>
        <v>1.1220052418787024E-2</v>
      </c>
      <c r="M23" s="5">
        <f>INDEX(טבלה1[British Columbia coast 1950 '[478']], MATCH($A23, $A$2:$A$16, 0)) / INDEX(טבלה1[British Columbia coast 1950 '[478']], MATCH($A22, $A$2:$A$16, 0))</f>
        <v>0.19153126680022192</v>
      </c>
      <c r="N23" s="5">
        <f>INDEX(טבלה1[Campeche 1985 '[323']], MATCH($A23, $A$2:$A$16, 0)) / INDEX(טבלה1[Campeche 1985 '[323']], MATCH($A22, $A$2:$A$16, 0))</f>
        <v>2.0752615697461301</v>
      </c>
      <c r="O23" s="5">
        <f>INDEX(טבלה1[Canada, Grand Banks of Newfoundland 1985 '[655']], MATCH($A23, $A$2:$A$16, 0)) / INDEX(טבלה1[Canada, Grand Banks of Newfoundland 1985 '[655']], MATCH($A22, $A$2:$A$16, 0))</f>
        <v>0.16761421340422517</v>
      </c>
      <c r="P23" s="5">
        <f>INDEX(טבלה1[Cape Verde 1981 '[486']], MATCH($A23, $A$2:$A$16, 0)) / INDEX(טבלה1[Cape Verde 1981 '[486']], MATCH($A22, $A$2:$A$16, 0))</f>
        <v>1.7087741022706899</v>
      </c>
      <c r="Q23" s="5">
        <f>INDEX(טבלה1[Caribbean 1980 '[24']], MATCH($A23, $A$2:$A$16, 0)) / INDEX(טבלה1[Caribbean 1980 '[24']], MATCH($A22, $A$2:$A$16, 0))</f>
        <v>1.6923003449335807E-2</v>
      </c>
      <c r="R23" s="5">
        <f>INDEX(טבלה1[Celestun 0 '[246']], MATCH($A23, $A$2:$A$16, 0)) / INDEX(טבלה1[Celestun 0 '[246']], MATCH($A22, $A$2:$A$16, 0))</f>
        <v>0.38841943553855002</v>
      </c>
      <c r="S23" s="5">
        <f>INDEX(טבלה1[Celestun mangrove 1992 '[247']], MATCH($A23, $A$2:$A$16, 0)) / INDEX(טבלה1[Celestun mangrove 1992 '[247']], MATCH($A22, $A$2:$A$16, 0))</f>
        <v>6.7498112628492845E-3</v>
      </c>
      <c r="T23" s="5">
        <f>INDEX(טבלה1[Central Atlantic 1950 '[28']], MATCH($A23, $A$2:$A$16, 0)) / INDEX(טבלה1[Central Atlantic 1950 '[28']], MATCH($A22, $A$2:$A$16, 0))</f>
        <v>7.9070668989381662E-4</v>
      </c>
      <c r="U23" s="5">
        <f>INDEX(טבלה1[Central Atlantic 1990 '[29']], MATCH($A23, $A$2:$A$16, 0)) / INDEX(טבלה1[Central Atlantic 1990 '[29']], MATCH($A22, $A$2:$A$16, 0))</f>
        <v>8.9219905842875796E-3</v>
      </c>
      <c r="V23" s="5">
        <f>INDEX(טבלה1[Central Chile 1998 '[637']], MATCH($A23, $A$2:$A$16, 0)) / INDEX(טבלה1[Central Chile 1998 '[637']], MATCH($A22, $A$2:$A$16, 0))</f>
        <v>0.40590183809596297</v>
      </c>
      <c r="W23" s="5">
        <f>INDEX(טבלה1[Chesapeake 1950 '[34']], MATCH($A23, $A$2:$A$16, 0)) / INDEX(טבלה1[Chesapeake 1950 '[34']], MATCH($A22, $A$2:$A$16, 0))</f>
        <v>0.75722125609623903</v>
      </c>
      <c r="X23" s="5">
        <f>INDEX(טבלה1[Danajon Bank 2010 '[711']], MATCH($A23, $A$2:$A$16, 0)) / INDEX(טבלה1[Danajon Bank 2010 '[711']], MATCH($A22, $A$2:$A$16, 0))</f>
        <v>0.5040895508270623</v>
      </c>
      <c r="Y23" s="5">
        <f>INDEX(טבלה1[Denmark, Faroe Islands 1997 '[46']], MATCH($A23, $A$2:$A$16, 0)) / INDEX(טבלה1[Denmark, Faroe Islands 1997 '[46']], MATCH($A22, $A$2:$A$16, 0))</f>
        <v>0.57228879581044911</v>
      </c>
      <c r="Z23" s="5">
        <f>INDEX(טבלה1[Eastern Scotian Shelf 1980 '[40']], MATCH($A23, $A$2:$A$16, 0)) / INDEX(טבלה1[Eastern Scotian Shelf 1980 '[40']], MATCH($A22, $A$2:$A$16, 0))</f>
        <v>0.25804497884139166</v>
      </c>
      <c r="AA23" s="5">
        <f>INDEX(טבלה1[Eastern Scotian Shelf 1995 '[41']], MATCH($A23, $A$2:$A$16, 0)) / INDEX(טבלה1[Eastern Scotian Shelf 1995 '[41']], MATCH($A22, $A$2:$A$16, 0))</f>
        <v>0.15623067566747315</v>
      </c>
      <c r="AB23" s="5">
        <f>INDEX(טבלה1[Eritrea 1998 '[496']], MATCH($A23, $A$2:$A$16, 0)) / INDEX(טבלה1[Eritrea 1998 '[496']], MATCH($A22, $A$2:$A$16, 0))</f>
        <v>1.4257993832733514E-2</v>
      </c>
      <c r="AC23" s="5">
        <f>INDEX(טבלה1[Galapagos, Floreana rocky reef 2000 '[48']], MATCH($A23, $A$2:$A$16, 0)) / INDEX(טבלה1[Galapagos, Floreana rocky reef 2000 '[48']], MATCH($A22, $A$2:$A$16, 0))</f>
        <v>-35.018610608729929</v>
      </c>
      <c r="AD23" s="5">
        <f>INDEX(טבלה1[Germany, Schlei Fjord 1980 '[464']], MATCH($A23, $A$2:$A$16, 0)) / INDEX(טבלה1[Germany, Schlei Fjord 1980 '[464']], MATCH($A22, $A$2:$A$16, 0))</f>
        <v>0.38735133870525218</v>
      </c>
      <c r="AE23" s="5">
        <f>INDEX(טבלה1[Golfo Dulce 1993 '[53']], MATCH($A23, $A$2:$A$16, 0)) / INDEX(טבלה1[Golfo Dulce 1993 '[53']], MATCH($A22, $A$2:$A$16, 0))</f>
        <v>0.6569104933952814</v>
      </c>
      <c r="AF23" s="5">
        <f>INDEX(טבלה1[Grand Banks of Newfoundland 1900 '[105']], MATCH($A23, $A$2:$A$16, 0)) / INDEX(טבלה1[Grand Banks of Newfoundland 1900 '[105']], MATCH($A22, $A$2:$A$16, 0))</f>
        <v>0.7219371283866246</v>
      </c>
      <c r="AG23" s="5">
        <f>INDEX(טבלה1[Grand Banks of Newfoundland 1980 '[107']], MATCH($A23, $A$2:$A$16, 0)) / INDEX(טבלה1[Grand Banks of Newfoundland 1980 '[107']], MATCH($A22, $A$2:$A$16, 0))</f>
        <v>0.23493629025034835</v>
      </c>
      <c r="AH23" s="5">
        <f>INDEX(טבלה1[Grand Banks of Newfoundland 1990 '[108']], MATCH($A23, $A$2:$A$16, 0)) / INDEX(טבלה1[Grand Banks of Newfoundland 1990 '[108']], MATCH($A22, $A$2:$A$16, 0))</f>
        <v>0.17988536873415048</v>
      </c>
      <c r="AI23" s="5">
        <f>INDEX(טבלה1[Greenland, West Coast 1997 '[168']], MATCH($A23, $A$2:$A$16, 0)) / INDEX(טבלה1[Greenland, West Coast 1997 '[168']], MATCH($A22, $A$2:$A$16, 0))</f>
        <v>0.395184936442326</v>
      </c>
      <c r="AJ23" s="5">
        <f>INDEX(טבלה1[Guinea 1985 '[726']], MATCH($A23, $A$2:$A$16, 0)) / INDEX(טבלה1[Guinea 1985 '[726']], MATCH($A22, $A$2:$A$16, 0))</f>
        <v>0.25014863013655991</v>
      </c>
      <c r="AK23" s="5">
        <f>INDEX(טבלה1[Guinea 1998 '[646']], MATCH($A23, $A$2:$A$16, 0)) / INDEX(טבלה1[Guinea 1998 '[646']], MATCH($A22, $A$2:$A$16, 0))</f>
        <v>0.34333752683623731</v>
      </c>
      <c r="AL23" s="5">
        <f>INDEX(טבלה1[Guinea 2004 '[725']], MATCH($A23, $A$2:$A$16, 0)) / INDEX(טבלה1[Guinea 2004 '[725']], MATCH($A22, $A$2:$A$16, 0))</f>
        <v>0.46063370210605287</v>
      </c>
      <c r="AM23" s="5">
        <f>INDEX(טבלה1[Gulf of California 1990 '[450']], MATCH($A23, $A$2:$A$16, 0)) / INDEX(טבלה1[Gulf of California 1990 '[450']], MATCH($A22, $A$2:$A$16, 0))</f>
        <v>3.513616328770211E-2</v>
      </c>
      <c r="AN23" s="5">
        <f>INDEX(טבלה1[Gulf of Maine 1977 '[444']], MATCH($A23, $A$2:$A$16, 0)) / INDEX(טבלה1[Gulf of Maine 1977 '[444']], MATCH($A22, $A$2:$A$16, 0))</f>
        <v>0.10021731567035673</v>
      </c>
      <c r="AO23" s="5">
        <f>INDEX(טבלה1[Gulf of Mexico 1950 '[520']], MATCH($A23, $A$2:$A$16, 0)) / INDEX(טבלה1[Gulf of Mexico 1950 '[520']], MATCH($A22, $A$2:$A$16, 0))</f>
        <v>0.16724563902774683</v>
      </c>
      <c r="AP23" s="5">
        <f>INDEX(טבלה1[Gulf of Mexico 1980 '[58']], MATCH($A23, $A$2:$A$16, 0)) / INDEX(טבלה1[Gulf of Mexico 1980 '[58']], MATCH($A22, $A$2:$A$16, 0))</f>
        <v>0.65329270233330472</v>
      </c>
      <c r="AQ23" s="5">
        <f>INDEX(טבלה1[Gulf of Thailande 1963 '[412']], MATCH($A23, $A$2:$A$16, 0)) / INDEX(טבלה1[Gulf of Thailande 1963 '[412']], MATCH($A22, $A$2:$A$16, 0))</f>
        <v>0.26647875322392683</v>
      </c>
      <c r="AR23" s="5">
        <f>INDEX(טבלה1[Huizache-Caimanero 1984 '[241']], MATCH($A23, $A$2:$A$16, 0)) / INDEX(טבלה1[Huizache-Caimanero 1984 '[241']], MATCH($A22, $A$2:$A$16, 0))</f>
        <v>9.5369042712566729E-2</v>
      </c>
      <c r="AS23" s="5">
        <f>INDEX(טבלה1[Iceland 1950 '[227']], MATCH($A23, $A$2:$A$16, 0)) / INDEX(טבלה1[Iceland 1950 '[227']], MATCH($A22, $A$2:$A$16, 0))</f>
        <v>0.58207191702399563</v>
      </c>
      <c r="AT23" s="5">
        <f>INDEX(טבלה1[Icelandic shelf 1997 '[68']], MATCH($A23, $A$2:$A$16, 0)) / INDEX(טבלה1[Icelandic shelf 1997 '[68']], MATCH($A22, $A$2:$A$16, 0))</f>
        <v>0.54337649520939724</v>
      </c>
      <c r="AU23" s="5">
        <f>INDEX(טבלה1[Kaloko Honokohau 2005 '[499']], MATCH($A23, $A$2:$A$16, 0)) / INDEX(טבלה1[Kaloko Honokohau 2005 '[499']], MATCH($A22, $A$2:$A$16, 0))</f>
        <v>2.5335378824369863E-2</v>
      </c>
      <c r="AV23" s="5">
        <f>INDEX(טבלה1[Lesser Antilles 2001 '[459']], MATCH($A23, $A$2:$A$16, 0)) / INDEX(טבלה1[Lesser Antilles 2001 '[459']], MATCH($A22, $A$2:$A$16, 0))</f>
        <v>0.26053722623743486</v>
      </c>
      <c r="AW23" s="5">
        <f>INDEX(טבלה1[Mauritania 1987 '[650']], MATCH($A23, $A$2:$A$16, 0)) / INDEX(טבלה1[Mauritania 1987 '[650']], MATCH($A22, $A$2:$A$16, 0))</f>
        <v>0.47765966053259229</v>
      </c>
      <c r="AX23" s="5">
        <f>INDEX(טבלה1[Mauritania 1998 '[651']], MATCH($A23, $A$2:$A$16, 0)) / INDEX(טבלה1[Mauritania 1998 '[651']], MATCH($A22, $A$2:$A$16, 0))</f>
        <v>0.26242751965159145</v>
      </c>
      <c r="AY23" s="5">
        <f>INDEX(טבלה1[Mauritanie 1991 '[689']], MATCH($A23, $A$2:$A$16, 0)) / INDEX(טבלה1[Mauritanie 1991 '[689']], MATCH($A22, $A$2:$A$16, 0))</f>
        <v>6.5281197990396916E-2</v>
      </c>
      <c r="AZ23" s="5">
        <f>INDEX(טבלה1[New Foundland 1985 '[518']], MATCH($A23, $A$2:$A$16, 0)) / INDEX(טבלה1[New Foundland 1985 '[518']], MATCH($A22, $A$2:$A$16, 0))</f>
        <v>1.0672287285086383E-3</v>
      </c>
      <c r="BA23" s="5">
        <f>INDEX(טבלה1[North Atlantic 1950 '[111']], MATCH($A23, $A$2:$A$16, 0)) / INDEX(טבלה1[North Atlantic 1950 '[111']], MATCH($A22, $A$2:$A$16, 0))</f>
        <v>6.2861161888367705E-3</v>
      </c>
      <c r="BB23" s="5">
        <f>INDEX(טבלה1[North Atlantic 1997 '[112']], MATCH($A23, $A$2:$A$16, 0)) / INDEX(טבלה1[North Atlantic 1997 '[112']], MATCH($A22, $A$2:$A$16, 0))</f>
        <v>3.1325689798690839E-2</v>
      </c>
      <c r="BC23" s="5">
        <f>INDEX(טבלה1[North East Pacific 1950 '[479']], MATCH($A23, $A$2:$A$16, 0)) / INDEX(טבלה1[North East Pacific 1950 '[479']], MATCH($A22, $A$2:$A$16, 0))</f>
        <v>0.24015624526910104</v>
      </c>
      <c r="BD23" s="5">
        <f>INDEX(טבלה1[North Sea 1974 '[413']], MATCH($A23, $A$2:$A$16, 0)) / INDEX(טבלה1[North Sea 1974 '[413']], MATCH($A22, $A$2:$A$16, 0))</f>
        <v>1.1013658276212035</v>
      </c>
      <c r="BE23" s="5">
        <f>INDEX(טבלה1[North Sea 1981 '[680']], MATCH($A23, $A$2:$A$16, 0)) / INDEX(טבלה1[North Sea 1981 '[680']], MATCH($A22, $A$2:$A$16, 0))</f>
        <v>0.65746869174859179</v>
      </c>
      <c r="BF23" s="5">
        <f>INDEX(טבלה1[Northern Benguela 1956 '[115']], MATCH($A23, $A$2:$A$16, 0)) / INDEX(טבלה1[Northern Benguela 1956 '[115']], MATCH($A22, $A$2:$A$16, 0))</f>
        <v>4.7384689528297955E-2</v>
      </c>
      <c r="BG23" s="5">
        <f>INDEX(טבלה1[Northern Californian Current 1960 '[519']], MATCH($A23, $A$2:$A$16, 0)) / INDEX(טבלה1[Northern Californian Current 1960 '[519']], MATCH($A22, $A$2:$A$16, 0))</f>
        <v>0.36307634910717768</v>
      </c>
      <c r="BH23" s="5">
        <f>INDEX(טבלה1[Northern Gulf of St Lawrence 1990 '[462']], MATCH($A23, $A$2:$A$16, 0)) / INDEX(טבלה1[Northern Gulf of St Lawrence 1990 '[462']], MATCH($A22, $A$2:$A$16, 0))</f>
        <v>0.11037149321815601</v>
      </c>
      <c r="BI23" s="5">
        <f>INDEX(טבלה1[Northern Gulf St Lawrence 1985 '[116']], MATCH($A23, $A$2:$A$16, 0)) / INDEX(טבלה1[Northern Gulf St Lawrence 1985 '[116']], MATCH($A22, $A$2:$A$16, 0))</f>
        <v>0.29485649883719567</v>
      </c>
      <c r="BJ23" s="5">
        <f>INDEX(טבלה1[Northwest Africa 1987 '[118']], MATCH($A23, $A$2:$A$16, 0)) / INDEX(טבלה1[Northwest Africa 1987 '[118']], MATCH($A22, $A$2:$A$16, 0))</f>
        <v>5.4354081549014815E-3</v>
      </c>
      <c r="BK23" s="5">
        <f>INDEX(טבלה1[Orbetello Lagoon 1996 '[232']], MATCH($A23, $A$2:$A$16, 0)) / INDEX(טבלה1[Orbetello Lagoon 1996 '[232']], MATCH($A22, $A$2:$A$16, 0))</f>
        <v>0.55920955027581876</v>
      </c>
      <c r="BL23" s="5">
        <f>INDEX(טבלה1[Peru 1953 '[311']], MATCH($A23, $A$2:$A$16, 0)) / INDEX(טבלה1[Peru 1953 '[311']], MATCH($A22, $A$2:$A$16, 0))</f>
        <v>4.5436137222542458E-2</v>
      </c>
      <c r="BM23" s="5">
        <f>INDEX(טבלה1[Peru 1953 '[439']], MATCH($A23, $A$2:$A$16, 0)) / INDEX(טבלה1[Peru 1953 '[439']], MATCH($A22, $A$2:$A$16, 0))</f>
        <v>1.7329027666534234E-2</v>
      </c>
      <c r="BN23" s="5">
        <f>INDEX(טבלה1[Peru 1960 '[312']], MATCH($A23, $A$2:$A$16, 0)) / INDEX(טבלה1[Peru 1960 '[312']], MATCH($A22, $A$2:$A$16, 0))</f>
        <v>0.16787464323208678</v>
      </c>
      <c r="BO23" s="5">
        <f>INDEX(טבלה1[Peru 1973 '[658']], MATCH($A23, $A$2:$A$16, 0)) / INDEX(טבלה1[Peru 1973 '[658']], MATCH($A22, $A$2:$A$16, 0))</f>
        <v>0.40447500231862582</v>
      </c>
      <c r="BP23" s="5">
        <f>INDEX(טבלה1[Port Cros 1998 '[497']], MATCH($A23, $A$2:$A$16, 0)) / INDEX(טבלה1[Port Cros 1998 '[497']], MATCH($A22, $A$2:$A$16, 0))</f>
        <v>0.25491898380224548</v>
      </c>
      <c r="BQ23" s="5">
        <f>INDEX(טבלה1[Sierra Leone 1964 '[135']], MATCH($A23, $A$2:$A$16, 0)) / INDEX(טבלה1[Sierra Leone 1964 '[135']], MATCH($A22, $A$2:$A$16, 0))</f>
        <v>0.14426167744758056</v>
      </c>
      <c r="BR23" s="5">
        <f>INDEX(טבלה1[Sierra Leone 1978 1978 '[136']], MATCH($A23, $A$2:$A$16, 0)) / INDEX(טבלה1[Sierra Leone 1978 1978 '[136']], MATCH($A22, $A$2:$A$16, 0))</f>
        <v>0.31220348472694132</v>
      </c>
      <c r="BS23" s="5">
        <f>INDEX(טבלה1[Sierra Leone 1990 '[137']], MATCH($A23, $A$2:$A$16, 0)) / INDEX(טבלה1[Sierra Leone 1990 '[137']], MATCH($A22, $A$2:$A$16, 0))</f>
        <v>0.17823038437280714</v>
      </c>
      <c r="BT23" s="5">
        <f>INDEX(טבלה1[Sinaloa sur MEXICO 1994 '[325']], MATCH($A23, $A$2:$A$16, 0)) / INDEX(טבלה1[Sinaloa sur MEXICO 1994 '[325']], MATCH($A22, $A$2:$A$16, 0))</f>
        <v>0.2014230428139403</v>
      </c>
      <c r="BU23" s="5">
        <f>INDEX(טבלה1[Sonda de Campeche 1988 '[240']], MATCH($A23, $A$2:$A$16, 0)) / INDEX(טבלה1[Sonda de Campeche 1988 '[240']], MATCH($A22, $A$2:$A$16, 0))</f>
        <v>0.27274608529036948</v>
      </c>
      <c r="BV23" s="5">
        <f>INDEX(טבלה1[Sonda_Campeche_Act 1988 '[291']], MATCH($A23, $A$2:$A$16, 0)) / INDEX(טבלה1[Sonda_Campeche_Act 1988 '[291']], MATCH($A22, $A$2:$A$16, 0))</f>
        <v>0.38303123430232261</v>
      </c>
      <c r="BW23" s="5">
        <f>INDEX(טבלה1[South Shetlands 1990 '[663']], MATCH($A23, $A$2:$A$16, 0)) / INDEX(טבלה1[South Shetlands 1990 '[663']], MATCH($A22, $A$2:$A$16, 0))</f>
        <v>0.14992478373400789</v>
      </c>
      <c r="BX23" s="5">
        <f>INDEX(טבלה1[South West Viet nam 1994 '[415']], MATCH($A23, $A$2:$A$16, 0)) / INDEX(טבלה1[South West Viet nam 1994 '[415']], MATCH($A22, $A$2:$A$16, 0))</f>
        <v>3.6059922569566041E-2</v>
      </c>
      <c r="BY23" s="5">
        <f>INDEX(טבלה1[South western Gulf of Mexico 1970 '[687']], MATCH($A23, $A$2:$A$16, 0)) / INDEX(טבלה1[South western Gulf of Mexico 1970 '[687']], MATCH($A22, $A$2:$A$16, 0))</f>
        <v>2.6607652157104149</v>
      </c>
      <c r="BZ23" s="5">
        <f>INDEX(טבלה1[Southern Brazil 1980 '[664']], MATCH($A23, $A$2:$A$16, 0)) / INDEX(טבלה1[Southern Brazil 1980 '[664']], MATCH($A22, $A$2:$A$16, 0))</f>
        <v>0.2856642118865047</v>
      </c>
      <c r="CA23" s="5">
        <f>INDEX(טבלה1[Southern Gulf of St. Lawrence 1980 '[145']], MATCH($A23, $A$2:$A$16, 0)) / INDEX(טבלה1[Southern Gulf of St. Lawrence 1980 '[145']], MATCH($A22, $A$2:$A$16, 0))</f>
        <v>0.20777557298425736</v>
      </c>
      <c r="CB23" s="5">
        <f>INDEX(טבלה1[Sri Lanka 2000 '[441']], MATCH($A23, $A$2:$A$16, 0)) / INDEX(טבלה1[Sri Lanka 2000 '[441']], MATCH($A22, $A$2:$A$16, 0))</f>
        <v>0.634059272860518</v>
      </c>
      <c r="CC23" s="5">
        <f>INDEX(טבלה1[Strait of Georgia 1950 '[477']], MATCH($A23, $A$2:$A$16, 0)) / INDEX(טבלה1[Strait of Georgia 1950 '[477']], MATCH($A22, $A$2:$A$16, 0))</f>
        <v>0.27849517759312542</v>
      </c>
      <c r="CD23" s="5">
        <f>INDEX(טבלה1[Sørfjord 1993 '[429']], MATCH($A23, $A$2:$A$16, 0)) / INDEX(טבלה1[Sørfjord 1993 '[429']], MATCH($A22, $A$2:$A$16, 0))</f>
        <v>0.25054976398456946</v>
      </c>
      <c r="CE23" s="5">
        <f>INDEX(טבלה1[Tampa Bay 1950 '[153']], MATCH($A23, $A$2:$A$16, 0)) / INDEX(טבלה1[Tampa Bay 1950 '[153']], MATCH($A22, $A$2:$A$16, 0))</f>
        <v>9.5755601868409104E-2</v>
      </c>
      <c r="CF23" s="5">
        <f>INDEX(טבלה1[Tasmanian Seamounts Marine Reserve 1992 '[407']], MATCH($A23, $A$2:$A$16, 0)) / INDEX(טבלה1[Tasmanian Seamounts Marine Reserve 1992 '[407']], MATCH($A22, $A$2:$A$16, 0))</f>
        <v>5.5619388054102394</v>
      </c>
      <c r="CG23" s="5">
        <f>INDEX(טבלה1[Terminos Lagoon 1980 '[243']], MATCH($A23, $A$2:$A$16, 0)) / INDEX(טבלה1[Terminos Lagoon 1980 '[243']], MATCH($A22, $A$2:$A$16, 0))</f>
        <v>0.12975496481805315</v>
      </c>
      <c r="CH23" s="5">
        <f>INDEX(טבלה1[Thau 1980 '[217']], MATCH($A23, $A$2:$A$16, 0)) / INDEX(טבלה1[Thau 1980 '[217']], MATCH($A22, $A$2:$A$16, 0))</f>
        <v>0.75820244919582147</v>
      </c>
      <c r="CI23" s="5">
        <f>INDEX(טבלה1[USA, Mid Atlantic Bight 1995 '[99']], MATCH($A23, $A$2:$A$16, 0)) / INDEX(טבלה1[USA, Mid Atlantic Bight 1995 '[99']], MATCH($A22, $A$2:$A$16, 0))</f>
        <v>0.50266145365855897</v>
      </c>
      <c r="CJ23" s="5">
        <f>INDEX(טבלה1[Venezuela shelf 1980 '[282']], MATCH($A23, $A$2:$A$16, 0)) / INDEX(טבלה1[Venezuela shelf 1980 '[282']], MATCH($A22, $A$2:$A$16, 0))</f>
        <v>0.70925589207265849</v>
      </c>
      <c r="CK23" s="5">
        <f>INDEX(טבלה1[West Coast of Peninbsular Malaysia 1972 '[414']], MATCH($A23, $A$2:$A$16, 0)) / INDEX(טבלה1[West Coast of Peninbsular Malaysia 1972 '[414']], MATCH($A22, $A$2:$A$16, 0))</f>
        <v>0.174862013750544</v>
      </c>
      <c r="CL23" s="5">
        <f>INDEX(טבלה1[West coast of Sabah 1972 '[305']], MATCH($A23, $A$2:$A$16, 0)) / INDEX(טבלה1[West coast of Sabah 1972 '[305']], MATCH($A22, $A$2:$A$16, 0))</f>
        <v>0.68607431014034381</v>
      </c>
      <c r="CM23" s="5">
        <f>INDEX(טבלה1[West Coast Vancouver Island 1950 '[172']], MATCH($A23, $A$2:$A$16, 0)) / INDEX(טבלה1[West Coast Vancouver Island 1950 '[172']], MATCH($A22, $A$2:$A$16, 0))</f>
        <v>0.37759834553168281</v>
      </c>
      <c r="CN23" s="5">
        <f>INDEX(טבלה1[West Scotland 2000 '[461']], MATCH($A23, $A$2:$A$16, 0)) / INDEX(טבלה1[West Scotland 2000 '[461']], MATCH($A22, $A$2:$A$16, 0))</f>
        <v>0.25934861354631644</v>
      </c>
      <c r="CO23" s="5">
        <f>INDEX(טבלה1[West scotland DeepSea 1974 '[443']], MATCH($A23, $A$2:$A$16, 0)) / INDEX(טבלה1[West scotland DeepSea 1974 '[443']], MATCH($A22, $A$2:$A$16, 0))</f>
        <v>0.67123449013549297</v>
      </c>
      <c r="CP23" s="5">
        <f>INDEX(טבלה1[Yucatan 1987 '[320']], MATCH($A23, $A$2:$A$16, 0)) / INDEX(טבלה1[Yucatan 1987 '[320']], MATCH($A22, $A$2:$A$16, 0))</f>
        <v>1.5884055559448624</v>
      </c>
    </row>
    <row r="24" spans="1:94" x14ac:dyDescent="0.3">
      <c r="A24" s="4" t="s">
        <v>105</v>
      </c>
      <c r="B24" s="5">
        <f>INDEX(טבלה1[Alto Golfo de California 0 '[242']], MATCH($A24, $A$2:$A$16, 0)) / INDEX(טבלה1[Alto Golfo de California 0 '[242']], MATCH($A23, $A$2:$A$16, 0))</f>
        <v>1.0054989166256043</v>
      </c>
      <c r="C24" s="5">
        <f>INDEX(טבלה1[Australia North West Shelf 1986 '[405']], MATCH($A24, $A$2:$A$16, 0)) / INDEX(טבלה1[Australia North West Shelf 1986 '[405']], MATCH($A23, $A$2:$A$16, 0))</f>
        <v>1.0231668185059521</v>
      </c>
      <c r="D24" s="5">
        <f>INDEX(טבלה1[Baja California 1970 '[417']], MATCH($A24, $A$2:$A$16, 0)) / INDEX(טבלה1[Baja California 1970 '[417']], MATCH($A23, $A$2:$A$16, 0))</f>
        <v>1.0309476058381044</v>
      </c>
      <c r="E24" s="5">
        <f>INDEX(טבלה1[Bay of Biscay 1970 '[633']], MATCH($A24, $A$2:$A$16, 0)) / INDEX(טבלה1[Bay of Biscay 1970 '[633']], MATCH($A23, $A$2:$A$16, 0))</f>
        <v>1.0225683949428845</v>
      </c>
      <c r="F24" s="5">
        <f>INDEX(טבלה1[Bay of Biscay 1998 '[634']], MATCH($A24, $A$2:$A$16, 0)) / INDEX(טבלה1[Bay of Biscay 1998 '[634']], MATCH($A23, $A$2:$A$16, 0))</f>
        <v>1.0244494445757062</v>
      </c>
      <c r="G24" s="5">
        <f>INDEX(טבלה1[Black Sea 1960 '[691']], MATCH($A24, $A$2:$A$16, 0)) / INDEX(טבלה1[Black Sea 1960 '[691']], MATCH($A23, $A$2:$A$16, 0))</f>
        <v>1.0138077775551979</v>
      </c>
      <c r="H24" s="5">
        <f>INDEX(טבלה1[Black Sea 1980 '[692']], MATCH($A24, $A$2:$A$16, 0)) / INDEX(טבלה1[Black Sea 1980 '[692']], MATCH($A23, $A$2:$A$16, 0))</f>
        <v>1.0105230440015034</v>
      </c>
      <c r="I24" s="5">
        <f>INDEX(טבלה1[Black Sea 1988 '[693']], MATCH($A24, $A$2:$A$16, 0)) / INDEX(טבלה1[Black Sea 1988 '[693']], MATCH($A23, $A$2:$A$16, 0))</f>
        <v>1.006757209020263</v>
      </c>
      <c r="J24" s="5">
        <f>INDEX(טבלה1[Black Sea 1990 '[435']], MATCH($A24, $A$2:$A$16, 0)) / INDEX(טבלה1[Black Sea 1990 '[435']], MATCH($A23, $A$2:$A$16, 0))</f>
        <v>1.0266551590176125</v>
      </c>
      <c r="K24" s="5">
        <f>INDEX(טבלה1[BlackSea 1955 '[433']], MATCH($A24, $A$2:$A$16, 0)) / INDEX(טבלה1[BlackSea 1955 '[433']], MATCH($A23, $A$2:$A$16, 0))</f>
        <v>1.0165941313798545</v>
      </c>
      <c r="L24" s="5">
        <f>INDEX(טבלה1[BlackSea 1990 '[468']], MATCH($A24, $A$2:$A$16, 0)) / INDEX(טבלה1[BlackSea 1990 '[468']], MATCH($A23, $A$2:$A$16, 0))</f>
        <v>1.0169942689277636</v>
      </c>
      <c r="M24" s="5">
        <f>INDEX(טבלה1[British Columbia coast 1950 '[478']], MATCH($A24, $A$2:$A$16, 0)) / INDEX(טבלה1[British Columbia coast 1950 '[478']], MATCH($A23, $A$2:$A$16, 0))</f>
        <v>1.0165006895500655</v>
      </c>
      <c r="N24" s="5">
        <f>INDEX(טבלה1[Campeche 1985 '[323']], MATCH($A24, $A$2:$A$16, 0)) / INDEX(טבלה1[Campeche 1985 '[323']], MATCH($A23, $A$2:$A$16, 0))</f>
        <v>1.0477640548048437</v>
      </c>
      <c r="O24" s="5">
        <f>INDEX(טבלה1[Canada, Grand Banks of Newfoundland 1985 '[655']], MATCH($A24, $A$2:$A$16, 0)) / INDEX(טבלה1[Canada, Grand Banks of Newfoundland 1985 '[655']], MATCH($A23, $A$2:$A$16, 0))</f>
        <v>1.0140403006925536</v>
      </c>
      <c r="P24" s="5">
        <f>INDEX(טבלה1[Cape Verde 1981 '[486']], MATCH($A24, $A$2:$A$16, 0)) / INDEX(טבלה1[Cape Verde 1981 '[486']], MATCH($A23, $A$2:$A$16, 0))</f>
        <v>1.0149782229948723</v>
      </c>
      <c r="Q24" s="5">
        <f>INDEX(טבלה1[Caribbean 1980 '[24']], MATCH($A24, $A$2:$A$16, 0)) / INDEX(טבלה1[Caribbean 1980 '[24']], MATCH($A23, $A$2:$A$16, 0))</f>
        <v>1.0307357263041004</v>
      </c>
      <c r="R24" s="5">
        <f>INDEX(טבלה1[Celestun 0 '[246']], MATCH($A24, $A$2:$A$16, 0)) / INDEX(טבלה1[Celestun 0 '[246']], MATCH($A23, $A$2:$A$16, 0))</f>
        <v>1.0184770672342278</v>
      </c>
      <c r="S24" s="5">
        <f>INDEX(טבלה1[Celestun mangrove 1992 '[247']], MATCH($A24, $A$2:$A$16, 0)) / INDEX(טבלה1[Celestun mangrove 1992 '[247']], MATCH($A23, $A$2:$A$16, 0))</f>
        <v>1.0093165219866045</v>
      </c>
      <c r="T24" s="5">
        <f>INDEX(טבלה1[Central Atlantic 1950 '[28']], MATCH($A24, $A$2:$A$16, 0)) / INDEX(טבלה1[Central Atlantic 1950 '[28']], MATCH($A23, $A$2:$A$16, 0))</f>
        <v>1.0175428409377263</v>
      </c>
      <c r="U24" s="5">
        <f>INDEX(טבלה1[Central Atlantic 1990 '[29']], MATCH($A24, $A$2:$A$16, 0)) / INDEX(טבלה1[Central Atlantic 1990 '[29']], MATCH($A23, $A$2:$A$16, 0))</f>
        <v>1.0168490344162859</v>
      </c>
      <c r="V24" s="5">
        <f>INDEX(טבלה1[Central Chile 1998 '[637']], MATCH($A24, $A$2:$A$16, 0)) / INDEX(טבלה1[Central Chile 1998 '[637']], MATCH($A23, $A$2:$A$16, 0))</f>
        <v>0.99100299887991317</v>
      </c>
      <c r="W24" s="5">
        <f>INDEX(טבלה1[Chesapeake 1950 '[34']], MATCH($A24, $A$2:$A$16, 0)) / INDEX(טבלה1[Chesapeake 1950 '[34']], MATCH($A23, $A$2:$A$16, 0))</f>
        <v>1.0070259264357995</v>
      </c>
      <c r="X24" s="5">
        <f>INDEX(טבלה1[Danajon Bank 2010 '[711']], MATCH($A24, $A$2:$A$16, 0)) / INDEX(טבלה1[Danajon Bank 2010 '[711']], MATCH($A23, $A$2:$A$16, 0))</f>
        <v>1.0094514347348635</v>
      </c>
      <c r="Y24" s="5">
        <f>INDEX(טבלה1[Denmark, Faroe Islands 1997 '[46']], MATCH($A24, $A$2:$A$16, 0)) / INDEX(טבלה1[Denmark, Faroe Islands 1997 '[46']], MATCH($A23, $A$2:$A$16, 0))</f>
        <v>1.0249150640033529</v>
      </c>
      <c r="Z24" s="5">
        <f>INDEX(טבלה1[Eastern Scotian Shelf 1980 '[40']], MATCH($A24, $A$2:$A$16, 0)) / INDEX(טבלה1[Eastern Scotian Shelf 1980 '[40']], MATCH($A23, $A$2:$A$16, 0))</f>
        <v>1.0326665659068583</v>
      </c>
      <c r="AA24" s="5">
        <f>INDEX(טבלה1[Eastern Scotian Shelf 1995 '[41']], MATCH($A24, $A$2:$A$16, 0)) / INDEX(טבלה1[Eastern Scotian Shelf 1995 '[41']], MATCH($A23, $A$2:$A$16, 0))</f>
        <v>1.0254714035452985</v>
      </c>
      <c r="AB24" s="5">
        <f>INDEX(טבלה1[Eritrea 1998 '[496']], MATCH($A24, $A$2:$A$16, 0)) / INDEX(טבלה1[Eritrea 1998 '[496']], MATCH($A23, $A$2:$A$16, 0))</f>
        <v>1.0222978488044063</v>
      </c>
      <c r="AC24" s="5">
        <f>INDEX(טבלה1[Galapagos, Floreana rocky reef 2000 '[48']], MATCH($A24, $A$2:$A$16, 0)) / INDEX(טבלה1[Galapagos, Floreana rocky reef 2000 '[48']], MATCH($A23, $A$2:$A$16, 0))</f>
        <v>1.0008894797296779</v>
      </c>
      <c r="AD24" s="5">
        <f>INDEX(טבלה1[Germany, Schlei Fjord 1980 '[464']], MATCH($A24, $A$2:$A$16, 0)) / INDEX(טבלה1[Germany, Schlei Fjord 1980 '[464']], MATCH($A23, $A$2:$A$16, 0))</f>
        <v>1.0058414751622262</v>
      </c>
      <c r="AE24" s="5">
        <f>INDEX(טבלה1[Golfo Dulce 1993 '[53']], MATCH($A24, $A$2:$A$16, 0)) / INDEX(טבלה1[Golfo Dulce 1993 '[53']], MATCH($A23, $A$2:$A$16, 0))</f>
        <v>1.011387243557081</v>
      </c>
      <c r="AF24" s="5">
        <f>INDEX(טבלה1[Grand Banks of Newfoundland 1900 '[105']], MATCH($A24, $A$2:$A$16, 0)) / INDEX(טבלה1[Grand Banks of Newfoundland 1900 '[105']], MATCH($A23, $A$2:$A$16, 0))</f>
        <v>1.0708118842642012</v>
      </c>
      <c r="AG24" s="5">
        <f>INDEX(טבלה1[Grand Banks of Newfoundland 1980 '[107']], MATCH($A24, $A$2:$A$16, 0)) / INDEX(טבלה1[Grand Banks of Newfoundland 1980 '[107']], MATCH($A23, $A$2:$A$16, 0))</f>
        <v>1.0081820969929649</v>
      </c>
      <c r="AH24" s="5">
        <f>INDEX(טבלה1[Grand Banks of Newfoundland 1990 '[108']], MATCH($A24, $A$2:$A$16, 0)) / INDEX(טבלה1[Grand Banks of Newfoundland 1990 '[108']], MATCH($A23, $A$2:$A$16, 0))</f>
        <v>1.0103929975861248</v>
      </c>
      <c r="AI24" s="5">
        <f>INDEX(טבלה1[Greenland, West Coast 1997 '[168']], MATCH($A24, $A$2:$A$16, 0)) / INDEX(טבלה1[Greenland, West Coast 1997 '[168']], MATCH($A23, $A$2:$A$16, 0))</f>
        <v>1.0095277875570094</v>
      </c>
      <c r="AJ24" s="5">
        <f>INDEX(טבלה1[Guinea 1985 '[726']], MATCH($A24, $A$2:$A$16, 0)) / INDEX(טבלה1[Guinea 1985 '[726']], MATCH($A23, $A$2:$A$16, 0))</f>
        <v>1.0276681138023354</v>
      </c>
      <c r="AK24" s="5">
        <f>INDEX(טבלה1[Guinea 1998 '[646']], MATCH($A24, $A$2:$A$16, 0)) / INDEX(טבלה1[Guinea 1998 '[646']], MATCH($A23, $A$2:$A$16, 0))</f>
        <v>1.0141260489014772</v>
      </c>
      <c r="AL24" s="5">
        <f>INDEX(טבלה1[Guinea 2004 '[725']], MATCH($A24, $A$2:$A$16, 0)) / INDEX(טבלה1[Guinea 2004 '[725']], MATCH($A23, $A$2:$A$16, 0))</f>
        <v>1.0420484266517731</v>
      </c>
      <c r="AM24" s="5">
        <f>INDEX(טבלה1[Gulf of California 1990 '[450']], MATCH($A24, $A$2:$A$16, 0)) / INDEX(טבלה1[Gulf of California 1990 '[450']], MATCH($A23, $A$2:$A$16, 0))</f>
        <v>1.0209047291313209</v>
      </c>
      <c r="AN24" s="5">
        <f>INDEX(טבלה1[Gulf of Maine 1977 '[444']], MATCH($A24, $A$2:$A$16, 0)) / INDEX(טבלה1[Gulf of Maine 1977 '[444']], MATCH($A23, $A$2:$A$16, 0))</f>
        <v>1.0166021647870729</v>
      </c>
      <c r="AO24" s="5">
        <f>INDEX(טבלה1[Gulf of Mexico 1950 '[520']], MATCH($A24, $A$2:$A$16, 0)) / INDEX(טבלה1[Gulf of Mexico 1950 '[520']], MATCH($A23, $A$2:$A$16, 0))</f>
        <v>1.0056468177258038</v>
      </c>
      <c r="AP24" s="5">
        <f>INDEX(טבלה1[Gulf of Mexico 1980 '[58']], MATCH($A24, $A$2:$A$16, 0)) / INDEX(טבלה1[Gulf of Mexico 1980 '[58']], MATCH($A23, $A$2:$A$16, 0))</f>
        <v>1.0077984248883423</v>
      </c>
      <c r="AQ24" s="5">
        <f>INDEX(טבלה1[Gulf of Thailande 1963 '[412']], MATCH($A24, $A$2:$A$16, 0)) / INDEX(טבלה1[Gulf of Thailande 1963 '[412']], MATCH($A23, $A$2:$A$16, 0))</f>
        <v>1.0207450392196213</v>
      </c>
      <c r="AR24" s="5">
        <f>INDEX(טבלה1[Huizache-Caimanero 1984 '[241']], MATCH($A24, $A$2:$A$16, 0)) / INDEX(טבלה1[Huizache-Caimanero 1984 '[241']], MATCH($A23, $A$2:$A$16, 0))</f>
        <v>1.0392222272830398</v>
      </c>
      <c r="AS24" s="5">
        <f>INDEX(טבלה1[Iceland 1950 '[227']], MATCH($A24, $A$2:$A$16, 0)) / INDEX(טבלה1[Iceland 1950 '[227']], MATCH($A23, $A$2:$A$16, 0))</f>
        <v>1.0229163441871629</v>
      </c>
      <c r="AT24" s="5">
        <f>INDEX(טבלה1[Icelandic shelf 1997 '[68']], MATCH($A24, $A$2:$A$16, 0)) / INDEX(טבלה1[Icelandic shelf 1997 '[68']], MATCH($A23, $A$2:$A$16, 0))</f>
        <v>1.0135557515710722</v>
      </c>
      <c r="AU24" s="5">
        <f>INDEX(טבלה1[Kaloko Honokohau 2005 '[499']], MATCH($A24, $A$2:$A$16, 0)) / INDEX(טבלה1[Kaloko Honokohau 2005 '[499']], MATCH($A23, $A$2:$A$16, 0))</f>
        <v>1.0035828504188105</v>
      </c>
      <c r="AV24" s="5">
        <f>INDEX(טבלה1[Lesser Antilles 2001 '[459']], MATCH($A24, $A$2:$A$16, 0)) / INDEX(טבלה1[Lesser Antilles 2001 '[459']], MATCH($A23, $A$2:$A$16, 0))</f>
        <v>4.8029475056381772</v>
      </c>
      <c r="AW24" s="5">
        <f>INDEX(טבלה1[Mauritania 1987 '[650']], MATCH($A24, $A$2:$A$16, 0)) / INDEX(טבלה1[Mauritania 1987 '[650']], MATCH($A23, $A$2:$A$16, 0))</f>
        <v>1.0093506524788516</v>
      </c>
      <c r="AX24" s="5">
        <f>INDEX(טבלה1[Mauritania 1998 '[651']], MATCH($A24, $A$2:$A$16, 0)) / INDEX(טבלה1[Mauritania 1998 '[651']], MATCH($A23, $A$2:$A$16, 0))</f>
        <v>1.0093049347320646</v>
      </c>
      <c r="AY24" s="5">
        <f>INDEX(טבלה1[Mauritanie 1991 '[689']], MATCH($A24, $A$2:$A$16, 0)) / INDEX(טבלה1[Mauritanie 1991 '[689']], MATCH($A23, $A$2:$A$16, 0))</f>
        <v>1.0160862383762175</v>
      </c>
      <c r="AZ24" s="5">
        <f>INDEX(טבלה1[New Foundland 1985 '[518']], MATCH($A24, $A$2:$A$16, 0)) / INDEX(טבלה1[New Foundland 1985 '[518']], MATCH($A23, $A$2:$A$16, 0))</f>
        <v>1.0236558351618354</v>
      </c>
      <c r="BA24" s="5">
        <f>INDEX(טבלה1[North Atlantic 1950 '[111']], MATCH($A24, $A$2:$A$16, 0)) / INDEX(טבלה1[North Atlantic 1950 '[111']], MATCH($A23, $A$2:$A$16, 0))</f>
        <v>1.0057247903588673</v>
      </c>
      <c r="BB24" s="5">
        <f>INDEX(טבלה1[North Atlantic 1997 '[112']], MATCH($A24, $A$2:$A$16, 0)) / INDEX(טבלה1[North Atlantic 1997 '[112']], MATCH($A23, $A$2:$A$16, 0))</f>
        <v>1.0356726367865232</v>
      </c>
      <c r="BC24" s="5">
        <f>INDEX(טבלה1[North East Pacific 1950 '[479']], MATCH($A24, $A$2:$A$16, 0)) / INDEX(טבלה1[North East Pacific 1950 '[479']], MATCH($A23, $A$2:$A$16, 0))</f>
        <v>1.0103303010094302</v>
      </c>
      <c r="BD24" s="5">
        <f>INDEX(טבלה1[North Sea 1974 '[413']], MATCH($A24, $A$2:$A$16, 0)) / INDEX(טבלה1[North Sea 1974 '[413']], MATCH($A23, $A$2:$A$16, 0))</f>
        <v>0.99705986551157155</v>
      </c>
      <c r="BE24" s="5">
        <f>INDEX(טבלה1[North Sea 1981 '[680']], MATCH($A24, $A$2:$A$16, 0)) / INDEX(טבלה1[North Sea 1981 '[680']], MATCH($A23, $A$2:$A$16, 0))</f>
        <v>1.0144046774869926</v>
      </c>
      <c r="BF24" s="5">
        <f>INDEX(טבלה1[Northern Benguela 1956 '[115']], MATCH($A24, $A$2:$A$16, 0)) / INDEX(טבלה1[Northern Benguela 1956 '[115']], MATCH($A23, $A$2:$A$16, 0))</f>
        <v>1.0165339529246573</v>
      </c>
      <c r="BG24" s="5">
        <f>INDEX(טבלה1[Northern Californian Current 1960 '[519']], MATCH($A24, $A$2:$A$16, 0)) / INDEX(טבלה1[Northern Californian Current 1960 '[519']], MATCH($A23, $A$2:$A$16, 0))</f>
        <v>1.0209552496134371</v>
      </c>
      <c r="BH24" s="5">
        <f>INDEX(טבלה1[Northern Gulf of St Lawrence 1990 '[462']], MATCH($A24, $A$2:$A$16, 0)) / INDEX(טבלה1[Northern Gulf of St Lawrence 1990 '[462']], MATCH($A23, $A$2:$A$16, 0))</f>
        <v>1.0153280898262198</v>
      </c>
      <c r="BI24" s="5">
        <f>INDEX(טבלה1[Northern Gulf St Lawrence 1985 '[116']], MATCH($A24, $A$2:$A$16, 0)) / INDEX(טבלה1[Northern Gulf St Lawrence 1985 '[116']], MATCH($A23, $A$2:$A$16, 0))</f>
        <v>1.0171356329833385</v>
      </c>
      <c r="BJ24" s="5">
        <f>INDEX(טבלה1[Northwest Africa 1987 '[118']], MATCH($A24, $A$2:$A$16, 0)) / INDEX(טבלה1[Northwest Africa 1987 '[118']], MATCH($A23, $A$2:$A$16, 0))</f>
        <v>1.0098669319345304</v>
      </c>
      <c r="BK24" s="5">
        <f>INDEX(טבלה1[Orbetello Lagoon 1996 '[232']], MATCH($A24, $A$2:$A$16, 0)) / INDEX(טבלה1[Orbetello Lagoon 1996 '[232']], MATCH($A23, $A$2:$A$16, 0))</f>
        <v>1.0551141997003621</v>
      </c>
      <c r="BL24" s="5">
        <f>INDEX(טבלה1[Peru 1953 '[311']], MATCH($A24, $A$2:$A$16, 0)) / INDEX(טבלה1[Peru 1953 '[311']], MATCH($A23, $A$2:$A$16, 0))</f>
        <v>1.0165545027807914</v>
      </c>
      <c r="BM24" s="5">
        <f>INDEX(טבלה1[Peru 1953 '[439']], MATCH($A24, $A$2:$A$16, 0)) / INDEX(טבלה1[Peru 1953 '[439']], MATCH($A23, $A$2:$A$16, 0))</f>
        <v>1.0094407708314286</v>
      </c>
      <c r="BN24" s="5">
        <f>INDEX(טבלה1[Peru 1960 '[312']], MATCH($A24, $A$2:$A$16, 0)) / INDEX(טבלה1[Peru 1960 '[312']], MATCH($A23, $A$2:$A$16, 0))</f>
        <v>1.0139778523854537</v>
      </c>
      <c r="BO24" s="5">
        <f>INDEX(טבלה1[Peru 1973 '[658']], MATCH($A24, $A$2:$A$16, 0)) / INDEX(טבלה1[Peru 1973 '[658']], MATCH($A23, $A$2:$A$16, 0))</f>
        <v>1.018426913273047</v>
      </c>
      <c r="BP24" s="5">
        <f>INDEX(טבלה1[Port Cros 1998 '[497']], MATCH($A24, $A$2:$A$16, 0)) / INDEX(טבלה1[Port Cros 1998 '[497']], MATCH($A23, $A$2:$A$16, 0))</f>
        <v>1.010256545945815</v>
      </c>
      <c r="BQ24" s="5">
        <f>INDEX(טבלה1[Sierra Leone 1964 '[135']], MATCH($A24, $A$2:$A$16, 0)) / INDEX(טבלה1[Sierra Leone 1964 '[135']], MATCH($A23, $A$2:$A$16, 0))</f>
        <v>1.041916055814549</v>
      </c>
      <c r="BR24" s="5">
        <f>INDEX(טבלה1[Sierra Leone 1978 1978 '[136']], MATCH($A24, $A$2:$A$16, 0)) / INDEX(טבלה1[Sierra Leone 1978 1978 '[136']], MATCH($A23, $A$2:$A$16, 0))</f>
        <v>1.0241578490369554</v>
      </c>
      <c r="BS24" s="5">
        <f>INDEX(טבלה1[Sierra Leone 1990 '[137']], MATCH($A24, $A$2:$A$16, 0)) / INDEX(טבלה1[Sierra Leone 1990 '[137']], MATCH($A23, $A$2:$A$16, 0))</f>
        <v>1.0256089046710495</v>
      </c>
      <c r="BT24" s="5">
        <f>INDEX(טבלה1[Sinaloa sur MEXICO 1994 '[325']], MATCH($A24, $A$2:$A$16, 0)) / INDEX(טבלה1[Sinaloa sur MEXICO 1994 '[325']], MATCH($A23, $A$2:$A$16, 0))</f>
        <v>1.0183801818478229</v>
      </c>
      <c r="BU24" s="5">
        <f>INDEX(טבלה1[Sonda de Campeche 1988 '[240']], MATCH($A24, $A$2:$A$16, 0)) / INDEX(טבלה1[Sonda de Campeche 1988 '[240']], MATCH($A23, $A$2:$A$16, 0))</f>
        <v>1.0079813406142233</v>
      </c>
      <c r="BV24" s="5">
        <f>INDEX(טבלה1[Sonda_Campeche_Act 1988 '[291']], MATCH($A24, $A$2:$A$16, 0)) / INDEX(טבלה1[Sonda_Campeche_Act 1988 '[291']], MATCH($A23, $A$2:$A$16, 0))</f>
        <v>1.0142613117216313</v>
      </c>
      <c r="BW24" s="5">
        <f>INDEX(טבלה1[South Shetlands 1990 '[663']], MATCH($A24, $A$2:$A$16, 0)) / INDEX(טבלה1[South Shetlands 1990 '[663']], MATCH($A23, $A$2:$A$16, 0))</f>
        <v>1.0028381845342358</v>
      </c>
      <c r="BX24" s="5">
        <f>INDEX(טבלה1[South West Viet nam 1994 '[415']], MATCH($A24, $A$2:$A$16, 0)) / INDEX(טבלה1[South West Viet nam 1994 '[415']], MATCH($A23, $A$2:$A$16, 0))</f>
        <v>1.0192207869503476</v>
      </c>
      <c r="BY24" s="5">
        <f>INDEX(טבלה1[South western Gulf of Mexico 1970 '[687']], MATCH($A24, $A$2:$A$16, 0)) / INDEX(טבלה1[South western Gulf of Mexico 1970 '[687']], MATCH($A23, $A$2:$A$16, 0))</f>
        <v>1.0164272207012341</v>
      </c>
      <c r="BZ24" s="5">
        <f>INDEX(טבלה1[Southern Brazil 1980 '[664']], MATCH($A24, $A$2:$A$16, 0)) / INDEX(טבלה1[Southern Brazil 1980 '[664']], MATCH($A23, $A$2:$A$16, 0))</f>
        <v>1.0007905071676351</v>
      </c>
      <c r="CA24" s="5">
        <f>INDEX(טבלה1[Southern Gulf of St. Lawrence 1980 '[145']], MATCH($A24, $A$2:$A$16, 0)) / INDEX(טבלה1[Southern Gulf of St. Lawrence 1980 '[145']], MATCH($A23, $A$2:$A$16, 0))</f>
        <v>1.0032184409078249</v>
      </c>
      <c r="CB24" s="5">
        <f>INDEX(טבלה1[Sri Lanka 2000 '[441']], MATCH($A24, $A$2:$A$16, 0)) / INDEX(טבלה1[Sri Lanka 2000 '[441']], MATCH($A23, $A$2:$A$16, 0))</f>
        <v>1.0219411126863833</v>
      </c>
      <c r="CC24" s="5">
        <f>INDEX(טבלה1[Strait of Georgia 1950 '[477']], MATCH($A24, $A$2:$A$16, 0)) / INDEX(טבלה1[Strait of Georgia 1950 '[477']], MATCH($A23, $A$2:$A$16, 0))</f>
        <v>1.0063237405636163</v>
      </c>
      <c r="CD24" s="5">
        <f>INDEX(טבלה1[Sørfjord 1993 '[429']], MATCH($A24, $A$2:$A$16, 0)) / INDEX(טבלה1[Sørfjord 1993 '[429']], MATCH($A23, $A$2:$A$16, 0))</f>
        <v>1.0155241161939361</v>
      </c>
      <c r="CE24" s="5">
        <f>INDEX(טבלה1[Tampa Bay 1950 '[153']], MATCH($A24, $A$2:$A$16, 0)) / INDEX(טבלה1[Tampa Bay 1950 '[153']], MATCH($A23, $A$2:$A$16, 0))</f>
        <v>1.0141016852262019</v>
      </c>
      <c r="CF24" s="5">
        <f>INDEX(טבלה1[Tasmanian Seamounts Marine Reserve 1992 '[407']], MATCH($A24, $A$2:$A$16, 0)) / INDEX(טבלה1[Tasmanian Seamounts Marine Reserve 1992 '[407']], MATCH($A23, $A$2:$A$16, 0))</f>
        <v>1.0150629065954722</v>
      </c>
      <c r="CG24" s="5">
        <f>INDEX(טבלה1[Terminos Lagoon 1980 '[243']], MATCH($A24, $A$2:$A$16, 0)) / INDEX(טבלה1[Terminos Lagoon 1980 '[243']], MATCH($A23, $A$2:$A$16, 0))</f>
        <v>1.0037953715573913</v>
      </c>
      <c r="CH24" s="5">
        <f>INDEX(טבלה1[Thau 1980 '[217']], MATCH($A24, $A$2:$A$16, 0)) / INDEX(טבלה1[Thau 1980 '[217']], MATCH($A23, $A$2:$A$16, 0))</f>
        <v>28189996942.557323</v>
      </c>
      <c r="CI24" s="5">
        <f>INDEX(טבלה1[USA, Mid Atlantic Bight 1995 '[99']], MATCH($A24, $A$2:$A$16, 0)) / INDEX(טבלה1[USA, Mid Atlantic Bight 1995 '[99']], MATCH($A23, $A$2:$A$16, 0))</f>
        <v>1.0132702286317747</v>
      </c>
      <c r="CJ24" s="5">
        <f>INDEX(טבלה1[Venezuela shelf 1980 '[282']], MATCH($A24, $A$2:$A$16, 0)) / INDEX(טבלה1[Venezuela shelf 1980 '[282']], MATCH($A23, $A$2:$A$16, 0))</f>
        <v>1.00744844841829</v>
      </c>
      <c r="CK24" s="5">
        <f>INDEX(טבלה1[West Coast of Peninbsular Malaysia 1972 '[414']], MATCH($A24, $A$2:$A$16, 0)) / INDEX(טבלה1[West Coast of Peninbsular Malaysia 1972 '[414']], MATCH($A23, $A$2:$A$16, 0))</f>
        <v>1.0468894350325715</v>
      </c>
      <c r="CL24" s="5">
        <f>INDEX(טבלה1[West coast of Sabah 1972 '[305']], MATCH($A24, $A$2:$A$16, 0)) / INDEX(טבלה1[West coast of Sabah 1972 '[305']], MATCH($A23, $A$2:$A$16, 0))</f>
        <v>1.0042878968383973</v>
      </c>
      <c r="CM24" s="5">
        <f>INDEX(טבלה1[West Coast Vancouver Island 1950 '[172']], MATCH($A24, $A$2:$A$16, 0)) / INDEX(טבלה1[West Coast Vancouver Island 1950 '[172']], MATCH($A23, $A$2:$A$16, 0))</f>
        <v>1.0098571048741813</v>
      </c>
      <c r="CN24" s="5">
        <f>INDEX(טבלה1[West Scotland 2000 '[461']], MATCH($A24, $A$2:$A$16, 0)) / INDEX(טבלה1[West Scotland 2000 '[461']], MATCH($A23, $A$2:$A$16, 0))</f>
        <v>1.0431454156109461</v>
      </c>
      <c r="CO24" s="5">
        <f>INDEX(טבלה1[West scotland DeepSea 1974 '[443']], MATCH($A24, $A$2:$A$16, 0)) / INDEX(טבלה1[West scotland DeepSea 1974 '[443']], MATCH($A23, $A$2:$A$16, 0))</f>
        <v>1.0088143544242638</v>
      </c>
      <c r="CP24" s="5">
        <f>INDEX(טבלה1[Yucatan 1987 '[320']], MATCH($A24, $A$2:$A$16, 0)) / INDEX(טבלה1[Yucatan 1987 '[320']], MATCH($A23, $A$2:$A$16, 0))</f>
        <v>1.0250993426922665</v>
      </c>
    </row>
    <row r="25" spans="1:94" x14ac:dyDescent="0.3">
      <c r="A25" s="4" t="s">
        <v>106</v>
      </c>
      <c r="B25" s="5">
        <f>INDEX(טבלה1[Alto Golfo de California 0 '[242']], MATCH($A25, $A$2:$A$16, 0)) / INDEX(טבלה1[Alto Golfo de California 0 '[242']], MATCH($A24, $A$2:$A$16, 0))</f>
        <v>1.1512313717444249</v>
      </c>
      <c r="C25" s="5">
        <f>INDEX(טבלה1[Australia North West Shelf 1986 '[405']], MATCH($A25, $A$2:$A$16, 0)) / INDEX(טבלה1[Australia North West Shelf 1986 '[405']], MATCH($A24, $A$2:$A$16, 0))</f>
        <v>1.0501859537686939</v>
      </c>
      <c r="D25" s="5">
        <f>INDEX(טבלה1[Baja California 1970 '[417']], MATCH($A25, $A$2:$A$16, 0)) / INDEX(טבלה1[Baja California 1970 '[417']], MATCH($A24, $A$2:$A$16, 0))</f>
        <v>1.0565907702597759</v>
      </c>
      <c r="E25" s="5">
        <f>INDEX(טבלה1[Bay of Biscay 1970 '[633']], MATCH($A25, $A$2:$A$16, 0)) / INDEX(טבלה1[Bay of Biscay 1970 '[633']], MATCH($A24, $A$2:$A$16, 0))</f>
        <v>1.0583391923825913</v>
      </c>
      <c r="F25" s="5">
        <f>INDEX(טבלה1[Bay of Biscay 1998 '[634']], MATCH($A25, $A$2:$A$16, 0)) / INDEX(טבלה1[Bay of Biscay 1998 '[634']], MATCH($A24, $A$2:$A$16, 0))</f>
        <v>1.0651016744021511</v>
      </c>
      <c r="G25" s="5">
        <f>INDEX(טבלה1[Black Sea 1960 '[691']], MATCH($A25, $A$2:$A$16, 0)) / INDEX(טבלה1[Black Sea 1960 '[691']], MATCH($A24, $A$2:$A$16, 0))</f>
        <v>1.0244645767027902</v>
      </c>
      <c r="H25" s="5">
        <f>INDEX(טבלה1[Black Sea 1980 '[692']], MATCH($A25, $A$2:$A$16, 0)) / INDEX(טבלה1[Black Sea 1980 '[692']], MATCH($A24, $A$2:$A$16, 0))</f>
        <v>1.0220820747904988</v>
      </c>
      <c r="I25" s="5">
        <f>INDEX(טבלה1[Black Sea 1988 '[693']], MATCH($A25, $A$2:$A$16, 0)) / INDEX(טבלה1[Black Sea 1988 '[693']], MATCH($A24, $A$2:$A$16, 0))</f>
        <v>1.0290608793040865</v>
      </c>
      <c r="J25" s="5">
        <f>INDEX(טבלה1[Black Sea 1990 '[435']], MATCH($A25, $A$2:$A$16, 0)) / INDEX(טבלה1[Black Sea 1990 '[435']], MATCH($A24, $A$2:$A$16, 0))</f>
        <v>1.0404291047666365</v>
      </c>
      <c r="K25" s="5">
        <f>INDEX(טבלה1[BlackSea 1955 '[433']], MATCH($A25, $A$2:$A$16, 0)) / INDEX(טבלה1[BlackSea 1955 '[433']], MATCH($A24, $A$2:$A$16, 0))</f>
        <v>1.0460798684083046</v>
      </c>
      <c r="L25" s="5">
        <f>INDEX(טבלה1[BlackSea 1990 '[468']], MATCH($A25, $A$2:$A$16, 0)) / INDEX(טבלה1[BlackSea 1990 '[468']], MATCH($A24, $A$2:$A$16, 0))</f>
        <v>1.0568559900730301</v>
      </c>
      <c r="M25" s="5">
        <f>INDEX(טבלה1[British Columbia coast 1950 '[478']], MATCH($A25, $A$2:$A$16, 0)) / INDEX(טבלה1[British Columbia coast 1950 '[478']], MATCH($A24, $A$2:$A$16, 0))</f>
        <v>1.0201942431480684</v>
      </c>
      <c r="N25" s="5">
        <f>INDEX(טבלה1[Campeche 1985 '[323']], MATCH($A25, $A$2:$A$16, 0)) / INDEX(טבלה1[Campeche 1985 '[323']], MATCH($A24, $A$2:$A$16, 0))</f>
        <v>1.0320709956270786</v>
      </c>
      <c r="O25" s="5">
        <f>INDEX(טבלה1[Canada, Grand Banks of Newfoundland 1985 '[655']], MATCH($A25, $A$2:$A$16, 0)) / INDEX(טבלה1[Canada, Grand Banks of Newfoundland 1985 '[655']], MATCH($A24, $A$2:$A$16, 0))</f>
        <v>1.0385333521127948</v>
      </c>
      <c r="P25" s="5">
        <f>INDEX(טבלה1[Cape Verde 1981 '[486']], MATCH($A25, $A$2:$A$16, 0)) / INDEX(טבלה1[Cape Verde 1981 '[486']], MATCH($A24, $A$2:$A$16, 0))</f>
        <v>1.0342814990923133</v>
      </c>
      <c r="Q25" s="5">
        <f>INDEX(טבלה1[Caribbean 1980 '[24']], MATCH($A25, $A$2:$A$16, 0)) / INDEX(טבלה1[Caribbean 1980 '[24']], MATCH($A24, $A$2:$A$16, 0))</f>
        <v>1.130608966501508</v>
      </c>
      <c r="R25" s="5">
        <f>INDEX(טבלה1[Celestun 0 '[246']], MATCH($A25, $A$2:$A$16, 0)) / INDEX(טבלה1[Celestun 0 '[246']], MATCH($A24, $A$2:$A$16, 0))</f>
        <v>1.0871036163897434</v>
      </c>
      <c r="S25" s="5">
        <f>INDEX(טבלה1[Celestun mangrove 1992 '[247']], MATCH($A25, $A$2:$A$16, 0)) / INDEX(טבלה1[Celestun mangrove 1992 '[247']], MATCH($A24, $A$2:$A$16, 0))</f>
        <v>1.0380407750287501</v>
      </c>
      <c r="T25" s="5">
        <f>INDEX(טבלה1[Central Atlantic 1950 '[28']], MATCH($A25, $A$2:$A$16, 0)) / INDEX(טבלה1[Central Atlantic 1950 '[28']], MATCH($A24, $A$2:$A$16, 0))</f>
        <v>1.1351175669360838</v>
      </c>
      <c r="U25" s="5">
        <f>INDEX(טבלה1[Central Atlantic 1990 '[29']], MATCH($A25, $A$2:$A$16, 0)) / INDEX(טבלה1[Central Atlantic 1990 '[29']], MATCH($A24, $A$2:$A$16, 0))</f>
        <v>1.0699065973441604</v>
      </c>
      <c r="V25" s="5">
        <f>INDEX(טבלה1[Central Chile 1998 '[637']], MATCH($A25, $A$2:$A$16, 0)) / INDEX(טבלה1[Central Chile 1998 '[637']], MATCH($A24, $A$2:$A$16, 0))</f>
        <v>1.1202714761253729</v>
      </c>
      <c r="W25" s="5">
        <f>INDEX(טבלה1[Chesapeake 1950 '[34']], MATCH($A25, $A$2:$A$16, 0)) / INDEX(טבלה1[Chesapeake 1950 '[34']], MATCH($A24, $A$2:$A$16, 0))</f>
        <v>1.01710948874172</v>
      </c>
      <c r="X25" s="5">
        <f>INDEX(טבלה1[Danajon Bank 2010 '[711']], MATCH($A25, $A$2:$A$16, 0)) / INDEX(טבלה1[Danajon Bank 2010 '[711']], MATCH($A24, $A$2:$A$16, 0))</f>
        <v>1.0443084459313128</v>
      </c>
      <c r="Y25" s="5">
        <f>INDEX(טבלה1[Denmark, Faroe Islands 1997 '[46']], MATCH($A25, $A$2:$A$16, 0)) / INDEX(טבלה1[Denmark, Faroe Islands 1997 '[46']], MATCH($A24, $A$2:$A$16, 0))</f>
        <v>1.053818114409834</v>
      </c>
      <c r="Z25" s="5">
        <f>INDEX(טבלה1[Eastern Scotian Shelf 1980 '[40']], MATCH($A25, $A$2:$A$16, 0)) / INDEX(טבלה1[Eastern Scotian Shelf 1980 '[40']], MATCH($A24, $A$2:$A$16, 0))</f>
        <v>0.99697677370207372</v>
      </c>
      <c r="AA25" s="5">
        <f>INDEX(טבלה1[Eastern Scotian Shelf 1995 '[41']], MATCH($A25, $A$2:$A$16, 0)) / INDEX(טבלה1[Eastern Scotian Shelf 1995 '[41']], MATCH($A24, $A$2:$A$16, 0))</f>
        <v>1.0281145496556625</v>
      </c>
      <c r="AB25" s="5">
        <f>INDEX(טבלה1[Eritrea 1998 '[496']], MATCH($A25, $A$2:$A$16, 0)) / INDEX(טבלה1[Eritrea 1998 '[496']], MATCH($A24, $A$2:$A$16, 0))</f>
        <v>1.085257014283052</v>
      </c>
      <c r="AC25" s="5">
        <f>INDEX(טבלה1[Galapagos, Floreana rocky reef 2000 '[48']], MATCH($A25, $A$2:$A$16, 0)) / INDEX(טבלה1[Galapagos, Floreana rocky reef 2000 '[48']], MATCH($A24, $A$2:$A$16, 0))</f>
        <v>1.0400078174337715</v>
      </c>
      <c r="AD25" s="5">
        <f>INDEX(טבלה1[Germany, Schlei Fjord 1980 '[464']], MATCH($A25, $A$2:$A$16, 0)) / INDEX(טבלה1[Germany, Schlei Fjord 1980 '[464']], MATCH($A24, $A$2:$A$16, 0))</f>
        <v>0.99831815373047805</v>
      </c>
      <c r="AE25" s="5">
        <f>INDEX(טבלה1[Golfo Dulce 1993 '[53']], MATCH($A25, $A$2:$A$16, 0)) / INDEX(טבלה1[Golfo Dulce 1993 '[53']], MATCH($A24, $A$2:$A$16, 0))</f>
        <v>1.1544932826350953</v>
      </c>
      <c r="AF25" s="5">
        <f>INDEX(טבלה1[Grand Banks of Newfoundland 1900 '[105']], MATCH($A25, $A$2:$A$16, 0)) / INDEX(טבלה1[Grand Banks of Newfoundland 1900 '[105']], MATCH($A24, $A$2:$A$16, 0))</f>
        <v>2.4068441136449996</v>
      </c>
      <c r="AG25" s="5">
        <f>INDEX(טבלה1[Grand Banks of Newfoundland 1980 '[107']], MATCH($A25, $A$2:$A$16, 0)) / INDEX(טבלה1[Grand Banks of Newfoundland 1980 '[107']], MATCH($A24, $A$2:$A$16, 0))</f>
        <v>1.0324871369947317</v>
      </c>
      <c r="AH25" s="5">
        <f>INDEX(טבלה1[Grand Banks of Newfoundland 1990 '[108']], MATCH($A25, $A$2:$A$16, 0)) / INDEX(טבלה1[Grand Banks of Newfoundland 1990 '[108']], MATCH($A24, $A$2:$A$16, 0))</f>
        <v>1.0491097906049969</v>
      </c>
      <c r="AI25" s="5">
        <f>INDEX(טבלה1[Greenland, West Coast 1997 '[168']], MATCH($A25, $A$2:$A$16, 0)) / INDEX(טבלה1[Greenland, West Coast 1997 '[168']], MATCH($A24, $A$2:$A$16, 0))</f>
        <v>1.0536258885828651</v>
      </c>
      <c r="AJ25" s="5">
        <f>INDEX(טבלה1[Guinea 1985 '[726']], MATCH($A25, $A$2:$A$16, 0)) / INDEX(טבלה1[Guinea 1985 '[726']], MATCH($A24, $A$2:$A$16, 0))</f>
        <v>1.0649470127495582</v>
      </c>
      <c r="AK25" s="5">
        <f>INDEX(טבלה1[Guinea 1998 '[646']], MATCH($A25, $A$2:$A$16, 0)) / INDEX(טבלה1[Guinea 1998 '[646']], MATCH($A24, $A$2:$A$16, 0))</f>
        <v>1.0789982635453368</v>
      </c>
      <c r="AL25" s="5">
        <f>INDEX(טבלה1[Guinea 2004 '[725']], MATCH($A25, $A$2:$A$16, 0)) / INDEX(טבלה1[Guinea 2004 '[725']], MATCH($A24, $A$2:$A$16, 0))</f>
        <v>1.0366711952326524</v>
      </c>
      <c r="AM25" s="5">
        <f>INDEX(טבלה1[Gulf of California 1990 '[450']], MATCH($A25, $A$2:$A$16, 0)) / INDEX(טבלה1[Gulf of California 1990 '[450']], MATCH($A24, $A$2:$A$16, 0))</f>
        <v>1.0666889567676603</v>
      </c>
      <c r="AN25" s="5">
        <f>INDEX(טבלה1[Gulf of Maine 1977 '[444']], MATCH($A25, $A$2:$A$16, 0)) / INDEX(טבלה1[Gulf of Maine 1977 '[444']], MATCH($A24, $A$2:$A$16, 0))</f>
        <v>1.0414962811048067</v>
      </c>
      <c r="AO25" s="5">
        <f>INDEX(טבלה1[Gulf of Mexico 1950 '[520']], MATCH($A25, $A$2:$A$16, 0)) / INDEX(טבלה1[Gulf of Mexico 1950 '[520']], MATCH($A24, $A$2:$A$16, 0))</f>
        <v>1.0168809037819717</v>
      </c>
      <c r="AP25" s="5">
        <f>INDEX(טבלה1[Gulf of Mexico 1980 '[58']], MATCH($A25, $A$2:$A$16, 0)) / INDEX(טבלה1[Gulf of Mexico 1980 '[58']], MATCH($A24, $A$2:$A$16, 0))</f>
        <v>1.0356538851950534</v>
      </c>
      <c r="AQ25" s="5">
        <f>INDEX(טבלה1[Gulf of Thailande 1963 '[412']], MATCH($A25, $A$2:$A$16, 0)) / INDEX(טבלה1[Gulf of Thailande 1963 '[412']], MATCH($A24, $A$2:$A$16, 0))</f>
        <v>1.0431193137595218</v>
      </c>
      <c r="AR25" s="5">
        <f>INDEX(טבלה1[Huizache-Caimanero 1984 '[241']], MATCH($A25, $A$2:$A$16, 0)) / INDEX(טבלה1[Huizache-Caimanero 1984 '[241']], MATCH($A24, $A$2:$A$16, 0))</f>
        <v>1.1577315942594646</v>
      </c>
      <c r="AS25" s="5">
        <f>INDEX(טבלה1[Iceland 1950 '[227']], MATCH($A25, $A$2:$A$16, 0)) / INDEX(טבלה1[Iceland 1950 '[227']], MATCH($A24, $A$2:$A$16, 0))</f>
        <v>1.041562390149724</v>
      </c>
      <c r="AT25" s="5">
        <f>INDEX(טבלה1[Icelandic shelf 1997 '[68']], MATCH($A25, $A$2:$A$16, 0)) / INDEX(טבלה1[Icelandic shelf 1997 '[68']], MATCH($A24, $A$2:$A$16, 0))</f>
        <v>1.0558726754720396</v>
      </c>
      <c r="AU25" s="5">
        <f>INDEX(טבלה1[Kaloko Honokohau 2005 '[499']], MATCH($A25, $A$2:$A$16, 0)) / INDEX(טבלה1[Kaloko Honokohau 2005 '[499']], MATCH($A24, $A$2:$A$16, 0))</f>
        <v>1.0644322610157215</v>
      </c>
      <c r="AV25" s="5">
        <f>INDEX(טבלה1[Lesser Antilles 2001 '[459']], MATCH($A25, $A$2:$A$16, 0)) / INDEX(טבלה1[Lesser Antilles 2001 '[459']], MATCH($A24, $A$2:$A$16, 0))</f>
        <v>0.20554136172907367</v>
      </c>
      <c r="AW25" s="5">
        <f>INDEX(טבלה1[Mauritania 1987 '[650']], MATCH($A25, $A$2:$A$16, 0)) / INDEX(טבלה1[Mauritania 1987 '[650']], MATCH($A24, $A$2:$A$16, 0))</f>
        <v>1.0262577305496534</v>
      </c>
      <c r="AX25" s="5">
        <f>INDEX(טבלה1[Mauritania 1998 '[651']], MATCH($A25, $A$2:$A$16, 0)) / INDEX(טבלה1[Mauritania 1998 '[651']], MATCH($A24, $A$2:$A$16, 0))</f>
        <v>1.0453093869919725</v>
      </c>
      <c r="AY25" s="5">
        <f>INDEX(טבלה1[Mauritanie 1991 '[689']], MATCH($A25, $A$2:$A$16, 0)) / INDEX(טבלה1[Mauritanie 1991 '[689']], MATCH($A24, $A$2:$A$16, 0))</f>
        <v>1.0149503135348883</v>
      </c>
      <c r="AZ25" s="5">
        <f>INDEX(טבלה1[New Foundland 1985 '[518']], MATCH($A25, $A$2:$A$16, 0)) / INDEX(טבלה1[New Foundland 1985 '[518']], MATCH($A24, $A$2:$A$16, 0))</f>
        <v>1.0504073465498733</v>
      </c>
      <c r="BA25" s="5">
        <f>INDEX(טבלה1[North Atlantic 1950 '[111']], MATCH($A25, $A$2:$A$16, 0)) / INDEX(טבלה1[North Atlantic 1950 '[111']], MATCH($A24, $A$2:$A$16, 0))</f>
        <v>1.087274585203752</v>
      </c>
      <c r="BB25" s="5">
        <f>INDEX(טבלה1[North Atlantic 1997 '[112']], MATCH($A25, $A$2:$A$16, 0)) / INDEX(טבלה1[North Atlantic 1997 '[112']], MATCH($A24, $A$2:$A$16, 0))</f>
        <v>1.0513637443796813</v>
      </c>
      <c r="BC25" s="5">
        <f>INDEX(טבלה1[North East Pacific 1950 '[479']], MATCH($A25, $A$2:$A$16, 0)) / INDEX(טבלה1[North East Pacific 1950 '[479']], MATCH($A24, $A$2:$A$16, 0))</f>
        <v>1.0455986555737578</v>
      </c>
      <c r="BD25" s="5">
        <f>INDEX(טבלה1[North Sea 1974 '[413']], MATCH($A25, $A$2:$A$16, 0)) / INDEX(טבלה1[North Sea 1974 '[413']], MATCH($A24, $A$2:$A$16, 0))</f>
        <v>1.0618588463505421</v>
      </c>
      <c r="BE25" s="5">
        <f>INDEX(טבלה1[North Sea 1981 '[680']], MATCH($A25, $A$2:$A$16, 0)) / INDEX(טבלה1[North Sea 1981 '[680']], MATCH($A24, $A$2:$A$16, 0))</f>
        <v>1.0812406823505074</v>
      </c>
      <c r="BF25" s="5">
        <f>INDEX(טבלה1[Northern Benguela 1956 '[115']], MATCH($A25, $A$2:$A$16, 0)) / INDEX(טבלה1[Northern Benguela 1956 '[115']], MATCH($A24, $A$2:$A$16, 0))</f>
        <v>1.0174402700948577</v>
      </c>
      <c r="BG25" s="5">
        <f>INDEX(טבלה1[Northern Californian Current 1960 '[519']], MATCH($A25, $A$2:$A$16, 0)) / INDEX(טבלה1[Northern Californian Current 1960 '[519']], MATCH($A24, $A$2:$A$16, 0))</f>
        <v>1.0046301921705798</v>
      </c>
      <c r="BH25" s="5">
        <f>INDEX(טבלה1[Northern Gulf of St Lawrence 1990 '[462']], MATCH($A25, $A$2:$A$16, 0)) / INDEX(טבלה1[Northern Gulf of St Lawrence 1990 '[462']], MATCH($A24, $A$2:$A$16, 0))</f>
        <v>1.0644048881558921</v>
      </c>
      <c r="BI25" s="5">
        <f>INDEX(טבלה1[Northern Gulf St Lawrence 1985 '[116']], MATCH($A25, $A$2:$A$16, 0)) / INDEX(טבלה1[Northern Gulf St Lawrence 1985 '[116']], MATCH($A24, $A$2:$A$16, 0))</f>
        <v>1.0419027176210061</v>
      </c>
      <c r="BJ25" s="5">
        <f>INDEX(טבלה1[Northwest Africa 1987 '[118']], MATCH($A25, $A$2:$A$16, 0)) / INDEX(טבלה1[Northwest Africa 1987 '[118']], MATCH($A24, $A$2:$A$16, 0))</f>
        <v>1.0106933157752875</v>
      </c>
      <c r="BK25" s="5">
        <f>INDEX(טבלה1[Orbetello Lagoon 1996 '[232']], MATCH($A25, $A$2:$A$16, 0)) / INDEX(טבלה1[Orbetello Lagoon 1996 '[232']], MATCH($A24, $A$2:$A$16, 0))</f>
        <v>1.0717443002824436</v>
      </c>
      <c r="BL25" s="5">
        <f>INDEX(טבלה1[Peru 1953 '[311']], MATCH($A25, $A$2:$A$16, 0)) / INDEX(טבלה1[Peru 1953 '[311']], MATCH($A24, $A$2:$A$16, 0))</f>
        <v>1.0484856265392437</v>
      </c>
      <c r="BM25" s="5">
        <f>INDEX(טבלה1[Peru 1953 '[439']], MATCH($A25, $A$2:$A$16, 0)) / INDEX(טבלה1[Peru 1953 '[439']], MATCH($A24, $A$2:$A$16, 0))</f>
        <v>1.0251063108334895</v>
      </c>
      <c r="BN25" s="5">
        <f>INDEX(טבלה1[Peru 1960 '[312']], MATCH($A25, $A$2:$A$16, 0)) / INDEX(טבלה1[Peru 1960 '[312']], MATCH($A24, $A$2:$A$16, 0))</f>
        <v>0.99298235483251696</v>
      </c>
      <c r="BO25" s="5">
        <f>INDEX(טבלה1[Peru 1973 '[658']], MATCH($A25, $A$2:$A$16, 0)) / INDEX(טבלה1[Peru 1973 '[658']], MATCH($A24, $A$2:$A$16, 0))</f>
        <v>1.0149866707166486</v>
      </c>
      <c r="BP25" s="5">
        <f>INDEX(טבלה1[Port Cros 1998 '[497']], MATCH($A25, $A$2:$A$16, 0)) / INDEX(טבלה1[Port Cros 1998 '[497']], MATCH($A24, $A$2:$A$16, 0))</f>
        <v>1.0651295046366978</v>
      </c>
      <c r="BQ25" s="5">
        <f>INDEX(טבלה1[Sierra Leone 1964 '[135']], MATCH($A25, $A$2:$A$16, 0)) / INDEX(טבלה1[Sierra Leone 1964 '[135']], MATCH($A24, $A$2:$A$16, 0))</f>
        <v>1.0577585966923553</v>
      </c>
      <c r="BR25" s="5">
        <f>INDEX(טבלה1[Sierra Leone 1978 1978 '[136']], MATCH($A25, $A$2:$A$16, 0)) / INDEX(טבלה1[Sierra Leone 1978 1978 '[136']], MATCH($A24, $A$2:$A$16, 0))</f>
        <v>1.0211627404677637</v>
      </c>
      <c r="BS25" s="5">
        <f>INDEX(טבלה1[Sierra Leone 1990 '[137']], MATCH($A25, $A$2:$A$16, 0)) / INDEX(טבלה1[Sierra Leone 1990 '[137']], MATCH($A24, $A$2:$A$16, 0))</f>
        <v>1.0409334606351097</v>
      </c>
      <c r="BT25" s="5">
        <f>INDEX(טבלה1[Sinaloa sur MEXICO 1994 '[325']], MATCH($A25, $A$2:$A$16, 0)) / INDEX(טבלה1[Sinaloa sur MEXICO 1994 '[325']], MATCH($A24, $A$2:$A$16, 0))</f>
        <v>1.0505993887217122</v>
      </c>
      <c r="BU25" s="5">
        <f>INDEX(טבלה1[Sonda de Campeche 1988 '[240']], MATCH($A25, $A$2:$A$16, 0)) / INDEX(טבלה1[Sonda de Campeche 1988 '[240']], MATCH($A24, $A$2:$A$16, 0))</f>
        <v>1.0816802602967537</v>
      </c>
      <c r="BV25" s="5">
        <f>INDEX(טבלה1[Sonda_Campeche_Act 1988 '[291']], MATCH($A25, $A$2:$A$16, 0)) / INDEX(טבלה1[Sonda_Campeche_Act 1988 '[291']], MATCH($A24, $A$2:$A$16, 0))</f>
        <v>1.0530387073132259</v>
      </c>
      <c r="BW25" s="5">
        <f>INDEX(טבלה1[South Shetlands 1990 '[663']], MATCH($A25, $A$2:$A$16, 0)) / INDEX(טבלה1[South Shetlands 1990 '[663']], MATCH($A24, $A$2:$A$16, 0))</f>
        <v>1.0872284811028927</v>
      </c>
      <c r="BX25" s="5">
        <f>INDEX(טבלה1[South West Viet nam 1994 '[415']], MATCH($A25, $A$2:$A$16, 0)) / INDEX(טבלה1[South West Viet nam 1994 '[415']], MATCH($A24, $A$2:$A$16, 0))</f>
        <v>1.0559668191847713</v>
      </c>
      <c r="BY25" s="5">
        <f>INDEX(טבלה1[South western Gulf of Mexico 1970 '[687']], MATCH($A25, $A$2:$A$16, 0)) / INDEX(טבלה1[South western Gulf of Mexico 1970 '[687']], MATCH($A24, $A$2:$A$16, 0))</f>
        <v>1.0378808764877185</v>
      </c>
      <c r="BZ25" s="5">
        <f>INDEX(טבלה1[Southern Brazil 1980 '[664']], MATCH($A25, $A$2:$A$16, 0)) / INDEX(טבלה1[Southern Brazil 1980 '[664']], MATCH($A24, $A$2:$A$16, 0))</f>
        <v>1.1257722149139842</v>
      </c>
      <c r="CA25" s="5">
        <f>INDEX(טבלה1[Southern Gulf of St. Lawrence 1980 '[145']], MATCH($A25, $A$2:$A$16, 0)) / INDEX(טבלה1[Southern Gulf of St. Lawrence 1980 '[145']], MATCH($A24, $A$2:$A$16, 0))</f>
        <v>1.0438726306373614</v>
      </c>
      <c r="CB25" s="5">
        <f>INDEX(טבלה1[Sri Lanka 2000 '[441']], MATCH($A25, $A$2:$A$16, 0)) / INDEX(טבלה1[Sri Lanka 2000 '[441']], MATCH($A24, $A$2:$A$16, 0))</f>
        <v>1.0336752196029348</v>
      </c>
      <c r="CC25" s="5">
        <f>INDEX(טבלה1[Strait of Georgia 1950 '[477']], MATCH($A25, $A$2:$A$16, 0)) / INDEX(טבלה1[Strait of Georgia 1950 '[477']], MATCH($A24, $A$2:$A$16, 0))</f>
        <v>1.0160342836144205</v>
      </c>
      <c r="CD25" s="5">
        <f>INDEX(טבלה1[Sørfjord 1993 '[429']], MATCH($A25, $A$2:$A$16, 0)) / INDEX(טבלה1[Sørfjord 1993 '[429']], MATCH($A24, $A$2:$A$16, 0))</f>
        <v>1.0304530642771128</v>
      </c>
      <c r="CE25" s="5">
        <f>INDEX(טבלה1[Tampa Bay 1950 '[153']], MATCH($A25, $A$2:$A$16, 0)) / INDEX(טבלה1[Tampa Bay 1950 '[153']], MATCH($A24, $A$2:$A$16, 0))</f>
        <v>1.0186660620391148</v>
      </c>
      <c r="CF25" s="5">
        <f>INDEX(טבלה1[Tasmanian Seamounts Marine Reserve 1992 '[407']], MATCH($A25, $A$2:$A$16, 0)) / INDEX(טבלה1[Tasmanian Seamounts Marine Reserve 1992 '[407']], MATCH($A24, $A$2:$A$16, 0))</f>
        <v>1.126420310161641</v>
      </c>
      <c r="CG25" s="5">
        <f>INDEX(טבלה1[Terminos Lagoon 1980 '[243']], MATCH($A25, $A$2:$A$16, 0)) / INDEX(טבלה1[Terminos Lagoon 1980 '[243']], MATCH($A24, $A$2:$A$16, 0))</f>
        <v>1.0338091148860233</v>
      </c>
      <c r="CH25" s="5">
        <f>INDEX(טבלה1[Thau 1980 '[217']], MATCH($A25, $A$2:$A$16, 0)) / INDEX(טבלה1[Thau 1980 '[217']], MATCH($A24, $A$2:$A$16, 0))</f>
        <v>1.049324901399565E-10</v>
      </c>
      <c r="CI25" s="5">
        <f>INDEX(טבלה1[USA, Mid Atlantic Bight 1995 '[99']], MATCH($A25, $A$2:$A$16, 0)) / INDEX(טבלה1[USA, Mid Atlantic Bight 1995 '[99']], MATCH($A24, $A$2:$A$16, 0))</f>
        <v>1.053171367867525</v>
      </c>
      <c r="CJ25" s="5">
        <f>INDEX(טבלה1[Venezuela shelf 1980 '[282']], MATCH($A25, $A$2:$A$16, 0)) / INDEX(טבלה1[Venezuela shelf 1980 '[282']], MATCH($A24, $A$2:$A$16, 0))</f>
        <v>1.0841079300261012</v>
      </c>
      <c r="CK25" s="5">
        <f>INDEX(טבלה1[West Coast of Peninbsular Malaysia 1972 '[414']], MATCH($A25, $A$2:$A$16, 0)) / INDEX(טבלה1[West Coast of Peninbsular Malaysia 1972 '[414']], MATCH($A24, $A$2:$A$16, 0))</f>
        <v>1.1295653188525061</v>
      </c>
      <c r="CL25" s="5">
        <f>INDEX(טבלה1[West coast of Sabah 1972 '[305']], MATCH($A25, $A$2:$A$16, 0)) / INDEX(טבלה1[West coast of Sabah 1972 '[305']], MATCH($A24, $A$2:$A$16, 0))</f>
        <v>1.0688211073955007</v>
      </c>
      <c r="CM25" s="5">
        <f>INDEX(טבלה1[West Coast Vancouver Island 1950 '[172']], MATCH($A25, $A$2:$A$16, 0)) / INDEX(טבלה1[West Coast Vancouver Island 1950 '[172']], MATCH($A24, $A$2:$A$16, 0))</f>
        <v>1.0603204474805565</v>
      </c>
      <c r="CN25" s="5">
        <f>INDEX(טבלה1[West Scotland 2000 '[461']], MATCH($A25, $A$2:$A$16, 0)) / INDEX(טבלה1[West Scotland 2000 '[461']], MATCH($A24, $A$2:$A$16, 0))</f>
        <v>1.3371509684901521</v>
      </c>
      <c r="CO25" s="5">
        <f>INDEX(טבלה1[West scotland DeepSea 1974 '[443']], MATCH($A25, $A$2:$A$16, 0)) / INDEX(טבלה1[West scotland DeepSea 1974 '[443']], MATCH($A24, $A$2:$A$16, 0))</f>
        <v>1.039771464117961</v>
      </c>
      <c r="CP25" s="5">
        <f>INDEX(טבלה1[Yucatan 1987 '[320']], MATCH($A25, $A$2:$A$16, 0)) / INDEX(טבלה1[Yucatan 1987 '[320']], MATCH($A24, $A$2:$A$16, 0))</f>
        <v>1.1442137307948688</v>
      </c>
    </row>
    <row r="26" spans="1:94" x14ac:dyDescent="0.3">
      <c r="A26" s="4" t="s">
        <v>107</v>
      </c>
      <c r="B26" s="5">
        <f>INDEX(טבלה1[Alto Golfo de California 0 '[242']], MATCH($A26, $A$2:$A$16, 0)) / INDEX(טבלה1[Alto Golfo de California 0 '[242']], MATCH($A25, $A$2:$A$16, 0))</f>
        <v>2.4753309286713927</v>
      </c>
      <c r="C26" s="5">
        <f>INDEX(טבלה1[Australia North West Shelf 1986 '[405']], MATCH($A26, $A$2:$A$16, 0)) / INDEX(טבלה1[Australia North West Shelf 1986 '[405']], MATCH($A25, $A$2:$A$16, 0))</f>
        <v>1.3582255928106692</v>
      </c>
      <c r="D26" s="5">
        <f>INDEX(טבלה1[Baja California 1970 '[417']], MATCH($A26, $A$2:$A$16, 0)) / INDEX(טבלה1[Baja California 1970 '[417']], MATCH($A25, $A$2:$A$16, 0))</f>
        <v>1.5075205040320871</v>
      </c>
      <c r="E26" s="5">
        <f>INDEX(טבלה1[Bay of Biscay 1970 '[633']], MATCH($A26, $A$2:$A$16, 0)) / INDEX(טבלה1[Bay of Biscay 1970 '[633']], MATCH($A25, $A$2:$A$16, 0))</f>
        <v>1.4197277055902051</v>
      </c>
      <c r="F26" s="5">
        <f>INDEX(טבלה1[Bay of Biscay 1998 '[634']], MATCH($A26, $A$2:$A$16, 0)) / INDEX(טבלה1[Bay of Biscay 1998 '[634']], MATCH($A25, $A$2:$A$16, 0))</f>
        <v>1.3141033432695244</v>
      </c>
      <c r="G26" s="5">
        <f>INDEX(טבלה1[Black Sea 1960 '[691']], MATCH($A26, $A$2:$A$16, 0)) / INDEX(טבלה1[Black Sea 1960 '[691']], MATCH($A25, $A$2:$A$16, 0))</f>
        <v>1.1242802484946541</v>
      </c>
      <c r="H26" s="5">
        <f>INDEX(טבלה1[Black Sea 1980 '[692']], MATCH($A26, $A$2:$A$16, 0)) / INDEX(טבלה1[Black Sea 1980 '[692']], MATCH($A25, $A$2:$A$16, 0))</f>
        <v>1.0549950264353241</v>
      </c>
      <c r="I26" s="5">
        <f>INDEX(טבלה1[Black Sea 1988 '[693']], MATCH($A26, $A$2:$A$16, 0)) / INDEX(טבלה1[Black Sea 1988 '[693']], MATCH($A25, $A$2:$A$16, 0))</f>
        <v>1.1285668350295832</v>
      </c>
      <c r="J26" s="5">
        <f>INDEX(טבלה1[Black Sea 1990 '[435']], MATCH($A26, $A$2:$A$16, 0)) / INDEX(טבלה1[Black Sea 1990 '[435']], MATCH($A25, $A$2:$A$16, 0))</f>
        <v>1.2087966134923549</v>
      </c>
      <c r="K26" s="5">
        <f>INDEX(טבלה1[BlackSea 1955 '[433']], MATCH($A26, $A$2:$A$16, 0)) / INDEX(טבלה1[BlackSea 1955 '[433']], MATCH($A25, $A$2:$A$16, 0))</f>
        <v>1.2862936389939821</v>
      </c>
      <c r="L26" s="5">
        <f>INDEX(טבלה1[BlackSea 1990 '[468']], MATCH($A26, $A$2:$A$16, 0)) / INDEX(טבלה1[BlackSea 1990 '[468']], MATCH($A25, $A$2:$A$16, 0))</f>
        <v>1.2382296687162757</v>
      </c>
      <c r="M26" s="5">
        <f>INDEX(טבלה1[British Columbia coast 1950 '[478']], MATCH($A26, $A$2:$A$16, 0)) / INDEX(טבלה1[British Columbia coast 1950 '[478']], MATCH($A25, $A$2:$A$16, 0))</f>
        <v>1.2114488180104284</v>
      </c>
      <c r="N26" s="5">
        <f>INDEX(טבלה1[Campeche 1985 '[323']], MATCH($A26, $A$2:$A$16, 0)) / INDEX(טבלה1[Campeche 1985 '[323']], MATCH($A25, $A$2:$A$16, 0))</f>
        <v>1.5553530183903974</v>
      </c>
      <c r="O26" s="5">
        <f>INDEX(טבלה1[Canada, Grand Banks of Newfoundland 1985 '[655']], MATCH($A26, $A$2:$A$16, 0)) / INDEX(טבלה1[Canada, Grand Banks of Newfoundland 1985 '[655']], MATCH($A25, $A$2:$A$16, 0))</f>
        <v>1.2147901890437218</v>
      </c>
      <c r="P26" s="5">
        <f>INDEX(טבלה1[Cape Verde 1981 '[486']], MATCH($A26, $A$2:$A$16, 0)) / INDEX(טבלה1[Cape Verde 1981 '[486']], MATCH($A25, $A$2:$A$16, 0))</f>
        <v>1.2934655148018828</v>
      </c>
      <c r="Q26" s="5">
        <f>INDEX(טבלה1[Caribbean 1980 '[24']], MATCH($A26, $A$2:$A$16, 0)) / INDEX(טבלה1[Caribbean 1980 '[24']], MATCH($A25, $A$2:$A$16, 0))</f>
        <v>1.5288466844918085</v>
      </c>
      <c r="R26" s="5">
        <f>INDEX(טבלה1[Celestun 0 '[246']], MATCH($A26, $A$2:$A$16, 0)) / INDEX(טבלה1[Celestun 0 '[246']], MATCH($A25, $A$2:$A$16, 0))</f>
        <v>2.1026203774534777</v>
      </c>
      <c r="S26" s="5">
        <f>INDEX(טבלה1[Celestun mangrove 1992 '[247']], MATCH($A26, $A$2:$A$16, 0)) / INDEX(טבלה1[Celestun mangrove 1992 '[247']], MATCH($A25, $A$2:$A$16, 0))</f>
        <v>1.5340364190199685</v>
      </c>
      <c r="T26" s="5">
        <f>INDEX(טבלה1[Central Atlantic 1950 '[28']], MATCH($A26, $A$2:$A$16, 0)) / INDEX(טבלה1[Central Atlantic 1950 '[28']], MATCH($A25, $A$2:$A$16, 0))</f>
        <v>1.5434809553730195</v>
      </c>
      <c r="U26" s="5">
        <f>INDEX(טבלה1[Central Atlantic 1990 '[29']], MATCH($A26, $A$2:$A$16, 0)) / INDEX(טבלה1[Central Atlantic 1990 '[29']], MATCH($A25, $A$2:$A$16, 0))</f>
        <v>1.5165770914099259</v>
      </c>
      <c r="V26" s="5">
        <f>INDEX(טבלה1[Central Chile 1998 '[637']], MATCH($A26, $A$2:$A$16, 0)) / INDEX(טבלה1[Central Chile 1998 '[637']], MATCH($A25, $A$2:$A$16, 0))</f>
        <v>1.5624349385935743</v>
      </c>
      <c r="W26" s="5">
        <f>INDEX(טבלה1[Chesapeake 1950 '[34']], MATCH($A26, $A$2:$A$16, 0)) / INDEX(טבלה1[Chesapeake 1950 '[34']], MATCH($A25, $A$2:$A$16, 0))</f>
        <v>1.1070427885318901</v>
      </c>
      <c r="X26" s="5">
        <f>INDEX(טבלה1[Danajon Bank 2010 '[711']], MATCH($A26, $A$2:$A$16, 0)) / INDEX(טבלה1[Danajon Bank 2010 '[711']], MATCH($A25, $A$2:$A$16, 0))</f>
        <v>1.2083417923745707</v>
      </c>
      <c r="Y26" s="5">
        <f>INDEX(טבלה1[Denmark, Faroe Islands 1997 '[46']], MATCH($A26, $A$2:$A$16, 0)) / INDEX(טבלה1[Denmark, Faroe Islands 1997 '[46']], MATCH($A25, $A$2:$A$16, 0))</f>
        <v>1.3075534322888527</v>
      </c>
      <c r="Z26" s="5">
        <f>INDEX(טבלה1[Eastern Scotian Shelf 1980 '[40']], MATCH($A26, $A$2:$A$16, 0)) / INDEX(טבלה1[Eastern Scotian Shelf 1980 '[40']], MATCH($A25, $A$2:$A$16, 0))</f>
        <v>1.1960495457880356</v>
      </c>
      <c r="AA26" s="5">
        <f>INDEX(טבלה1[Eastern Scotian Shelf 1995 '[41']], MATCH($A26, $A$2:$A$16, 0)) / INDEX(טבלה1[Eastern Scotian Shelf 1995 '[41']], MATCH($A25, $A$2:$A$16, 0))</f>
        <v>1.1863214469602295</v>
      </c>
      <c r="AB26" s="5">
        <f>INDEX(טבלה1[Eritrea 1998 '[496']], MATCH($A26, $A$2:$A$16, 0)) / INDEX(טבלה1[Eritrea 1998 '[496']], MATCH($A25, $A$2:$A$16, 0))</f>
        <v>1.6444660649875331</v>
      </c>
      <c r="AC26" s="5">
        <f>INDEX(טבלה1[Galapagos, Floreana rocky reef 2000 '[48']], MATCH($A26, $A$2:$A$16, 0)) / INDEX(טבלה1[Galapagos, Floreana rocky reef 2000 '[48']], MATCH($A25, $A$2:$A$16, 0))</f>
        <v>1.2517678786764261</v>
      </c>
      <c r="AD26" s="5">
        <f>INDEX(טבלה1[Germany, Schlei Fjord 1980 '[464']], MATCH($A26, $A$2:$A$16, 0)) / INDEX(טבלה1[Germany, Schlei Fjord 1980 '[464']], MATCH($A25, $A$2:$A$16, 0))</f>
        <v>1.0888333895027593</v>
      </c>
      <c r="AE26" s="5">
        <f>INDEX(טבלה1[Golfo Dulce 1993 '[53']], MATCH($A26, $A$2:$A$16, 0)) / INDEX(טבלה1[Golfo Dulce 1993 '[53']], MATCH($A25, $A$2:$A$16, 0))</f>
        <v>1.9771514811745565</v>
      </c>
      <c r="AF26" s="5">
        <f>INDEX(טבלה1[Grand Banks of Newfoundland 1900 '[105']], MATCH($A26, $A$2:$A$16, 0)) / INDEX(טבלה1[Grand Banks of Newfoundland 1900 '[105']], MATCH($A25, $A$2:$A$16, 0))</f>
        <v>1.6901631076520638</v>
      </c>
      <c r="AG26" s="5">
        <f>INDEX(טבלה1[Grand Banks of Newfoundland 1980 '[107']], MATCH($A26, $A$2:$A$16, 0)) / INDEX(טבלה1[Grand Banks of Newfoundland 1980 '[107']], MATCH($A25, $A$2:$A$16, 0))</f>
        <v>1.1727715795753064</v>
      </c>
      <c r="AH26" s="5">
        <f>INDEX(טבלה1[Grand Banks of Newfoundland 1990 '[108']], MATCH($A26, $A$2:$A$16, 0)) / INDEX(טבלה1[Grand Banks of Newfoundland 1990 '[108']], MATCH($A25, $A$2:$A$16, 0))</f>
        <v>1.2390801533427789</v>
      </c>
      <c r="AI26" s="5">
        <f>INDEX(טבלה1[Greenland, West Coast 1997 '[168']], MATCH($A26, $A$2:$A$16, 0)) / INDEX(טבלה1[Greenland, West Coast 1997 '[168']], MATCH($A25, $A$2:$A$16, 0))</f>
        <v>1.2976285182773826</v>
      </c>
      <c r="AJ26" s="5">
        <f>INDEX(טבלה1[Guinea 1985 '[726']], MATCH($A26, $A$2:$A$16, 0)) / INDEX(טבלה1[Guinea 1985 '[726']], MATCH($A25, $A$2:$A$16, 0))</f>
        <v>2.6772286669774226</v>
      </c>
      <c r="AK26" s="5">
        <f>INDEX(טבלה1[Guinea 1998 '[646']], MATCH($A26, $A$2:$A$16, 0)) / INDEX(טבלה1[Guinea 1998 '[646']], MATCH($A25, $A$2:$A$16, 0))</f>
        <v>1.3049705710290274</v>
      </c>
      <c r="AL26" s="5">
        <f>INDEX(טבלה1[Guinea 2004 '[725']], MATCH($A26, $A$2:$A$16, 0)) / INDEX(טבלה1[Guinea 2004 '[725']], MATCH($A25, $A$2:$A$16, 0))</f>
        <v>1.5554720660570298</v>
      </c>
      <c r="AM26" s="5">
        <f>INDEX(טבלה1[Gulf of California 1990 '[450']], MATCH($A26, $A$2:$A$16, 0)) / INDEX(טבלה1[Gulf of California 1990 '[450']], MATCH($A25, $A$2:$A$16, 0))</f>
        <v>1.4522783028510748</v>
      </c>
      <c r="AN26" s="5">
        <f>INDEX(טבלה1[Gulf of Maine 1977 '[444']], MATCH($A26, $A$2:$A$16, 0)) / INDEX(טבלה1[Gulf of Maine 1977 '[444']], MATCH($A25, $A$2:$A$16, 0))</f>
        <v>1.097231125795707</v>
      </c>
      <c r="AO26" s="5">
        <f>INDEX(טבלה1[Gulf of Mexico 1950 '[520']], MATCH($A26, $A$2:$A$16, 0)) / INDEX(טבלה1[Gulf of Mexico 1950 '[520']], MATCH($A25, $A$2:$A$16, 0))</f>
        <v>1.0523212221391822</v>
      </c>
      <c r="AP26" s="5">
        <f>INDEX(טבלה1[Gulf of Mexico 1980 '[58']], MATCH($A26, $A$2:$A$16, 0)) / INDEX(טבלה1[Gulf of Mexico 1980 '[58']], MATCH($A25, $A$2:$A$16, 0))</f>
        <v>1.2114540537639988</v>
      </c>
      <c r="AQ26" s="5">
        <f>INDEX(טבלה1[Gulf of Thailande 1963 '[412']], MATCH($A26, $A$2:$A$16, 0)) / INDEX(טבלה1[Gulf of Thailande 1963 '[412']], MATCH($A25, $A$2:$A$16, 0))</f>
        <v>1.2104615841373683</v>
      </c>
      <c r="AR26" s="5">
        <f>INDEX(טבלה1[Huizache-Caimanero 1984 '[241']], MATCH($A26, $A$2:$A$16, 0)) / INDEX(טבלה1[Huizache-Caimanero 1984 '[241']], MATCH($A25, $A$2:$A$16, 0))</f>
        <v>1.5370463758102211</v>
      </c>
      <c r="AS26" s="5">
        <f>INDEX(טבלה1[Iceland 1950 '[227']], MATCH($A26, $A$2:$A$16, 0)) / INDEX(טבלה1[Iceland 1950 '[227']], MATCH($A25, $A$2:$A$16, 0))</f>
        <v>1.2441279499819402</v>
      </c>
      <c r="AT26" s="5">
        <f>INDEX(טבלה1[Icelandic shelf 1997 '[68']], MATCH($A26, $A$2:$A$16, 0)) / INDEX(טבלה1[Icelandic shelf 1997 '[68']], MATCH($A25, $A$2:$A$16, 0))</f>
        <v>1.2111482349094114</v>
      </c>
      <c r="AU26" s="5">
        <f>INDEX(טבלה1[Kaloko Honokohau 2005 '[499']], MATCH($A26, $A$2:$A$16, 0)) / INDEX(טבלה1[Kaloko Honokohau 2005 '[499']], MATCH($A25, $A$2:$A$16, 0))</f>
        <v>1.2112867882555947</v>
      </c>
      <c r="AV26" s="5">
        <f>INDEX(טבלה1[Lesser Antilles 2001 '[459']], MATCH($A26, $A$2:$A$16, 0)) / INDEX(טבלה1[Lesser Antilles 2001 '[459']], MATCH($A25, $A$2:$A$16, 0))</f>
        <v>1.4049127858838943</v>
      </c>
      <c r="AW26" s="5">
        <f>INDEX(טבלה1[Mauritania 1987 '[650']], MATCH($A26, $A$2:$A$16, 0)) / INDEX(טבלה1[Mauritania 1987 '[650']], MATCH($A25, $A$2:$A$16, 0))</f>
        <v>1.2040394339205198</v>
      </c>
      <c r="AX26" s="5">
        <f>INDEX(טבלה1[Mauritania 1998 '[651']], MATCH($A26, $A$2:$A$16, 0)) / INDEX(טבלה1[Mauritania 1998 '[651']], MATCH($A25, $A$2:$A$16, 0))</f>
        <v>1.1240588937343876</v>
      </c>
      <c r="AY26" s="5">
        <f>INDEX(טבלה1[Mauritanie 1991 '[689']], MATCH($A26, $A$2:$A$16, 0)) / INDEX(טבלה1[Mauritanie 1991 '[689']], MATCH($A25, $A$2:$A$16, 0))</f>
        <v>1.1625905403290751</v>
      </c>
      <c r="AZ26" s="5">
        <f>INDEX(טבלה1[New Foundland 1985 '[518']], MATCH($A26, $A$2:$A$16, 0)) / INDEX(טבלה1[New Foundland 1985 '[518']], MATCH($A25, $A$2:$A$16, 0))</f>
        <v>1.7305676159093315</v>
      </c>
      <c r="BA26" s="5">
        <f>INDEX(טבלה1[North Atlantic 1950 '[111']], MATCH($A26, $A$2:$A$16, 0)) / INDEX(טבלה1[North Atlantic 1950 '[111']], MATCH($A25, $A$2:$A$16, 0))</f>
        <v>1.2027094202345008</v>
      </c>
      <c r="BB26" s="5">
        <f>INDEX(טבלה1[North Atlantic 1997 '[112']], MATCH($A26, $A$2:$A$16, 0)) / INDEX(טבלה1[North Atlantic 1997 '[112']], MATCH($A25, $A$2:$A$16, 0))</f>
        <v>1.4297013468825976</v>
      </c>
      <c r="BC26" s="5">
        <f>INDEX(טבלה1[North East Pacific 1950 '[479']], MATCH($A26, $A$2:$A$16, 0)) / INDEX(טבלה1[North East Pacific 1950 '[479']], MATCH($A25, $A$2:$A$16, 0))</f>
        <v>1.2224411316771939</v>
      </c>
      <c r="BD26" s="5">
        <f>INDEX(טבלה1[North Sea 1974 '[413']], MATCH($A26, $A$2:$A$16, 0)) / INDEX(טבלה1[North Sea 1974 '[413']], MATCH($A25, $A$2:$A$16, 0))</f>
        <v>1.2644614847342228</v>
      </c>
      <c r="BE26" s="5">
        <f>INDEX(טבלה1[North Sea 1981 '[680']], MATCH($A26, $A$2:$A$16, 0)) / INDEX(טבלה1[North Sea 1981 '[680']], MATCH($A25, $A$2:$A$16, 0))</f>
        <v>1.2351613048810828</v>
      </c>
      <c r="BF26" s="5">
        <f>INDEX(טבלה1[Northern Benguela 1956 '[115']], MATCH($A26, $A$2:$A$16, 0)) / INDEX(טבלה1[Northern Benguela 1956 '[115']], MATCH($A25, $A$2:$A$16, 0))</f>
        <v>1.4264813657303586</v>
      </c>
      <c r="BG26" s="5">
        <f>INDEX(טבלה1[Northern Californian Current 1960 '[519']], MATCH($A26, $A$2:$A$16, 0)) / INDEX(טבלה1[Northern Californian Current 1960 '[519']], MATCH($A25, $A$2:$A$16, 0))</f>
        <v>1.121297185791633</v>
      </c>
      <c r="BH26" s="5">
        <f>INDEX(טבלה1[Northern Gulf of St Lawrence 1990 '[462']], MATCH($A26, $A$2:$A$16, 0)) / INDEX(טבלה1[Northern Gulf of St Lawrence 1990 '[462']], MATCH($A25, $A$2:$A$16, 0))</f>
        <v>1.4317184775666876</v>
      </c>
      <c r="BI26" s="5">
        <f>INDEX(טבלה1[Northern Gulf St Lawrence 1985 '[116']], MATCH($A26, $A$2:$A$16, 0)) / INDEX(טבלה1[Northern Gulf St Lawrence 1985 '[116']], MATCH($A25, $A$2:$A$16, 0))</f>
        <v>1.3362469423792089</v>
      </c>
      <c r="BJ26" s="5">
        <f>INDEX(טבלה1[Northwest Africa 1987 '[118']], MATCH($A26, $A$2:$A$16, 0)) / INDEX(טבלה1[Northwest Africa 1987 '[118']], MATCH($A25, $A$2:$A$16, 0))</f>
        <v>1.0794193527075131</v>
      </c>
      <c r="BK26" s="5">
        <f>INDEX(טבלה1[Orbetello Lagoon 1996 '[232']], MATCH($A26, $A$2:$A$16, 0)) / INDEX(טבלה1[Orbetello Lagoon 1996 '[232']], MATCH($A25, $A$2:$A$16, 0))</f>
        <v>49.59600692676937</v>
      </c>
      <c r="BL26" s="5">
        <f>INDEX(טבלה1[Peru 1953 '[311']], MATCH($A26, $A$2:$A$16, 0)) / INDEX(טבלה1[Peru 1953 '[311']], MATCH($A25, $A$2:$A$16, 0))</f>
        <v>1.2820209066910548</v>
      </c>
      <c r="BM26" s="5">
        <f>INDEX(טבלה1[Peru 1953 '[439']], MATCH($A26, $A$2:$A$16, 0)) / INDEX(טבלה1[Peru 1953 '[439']], MATCH($A25, $A$2:$A$16, 0))</f>
        <v>1.1284133010772219</v>
      </c>
      <c r="BN26" s="5">
        <f>INDEX(טבלה1[Peru 1960 '[312']], MATCH($A26, $A$2:$A$16, 0)) / INDEX(טבלה1[Peru 1960 '[312']], MATCH($A25, $A$2:$A$16, 0))</f>
        <v>1.1891448352395515</v>
      </c>
      <c r="BO26" s="5">
        <f>INDEX(טבלה1[Peru 1973 '[658']], MATCH($A26, $A$2:$A$16, 0)) / INDEX(טבלה1[Peru 1973 '[658']], MATCH($A25, $A$2:$A$16, 0))</f>
        <v>1.2002578472267891</v>
      </c>
      <c r="BP26" s="5">
        <f>INDEX(טבלה1[Port Cros 1998 '[497']], MATCH($A26, $A$2:$A$16, 0)) / INDEX(טבלה1[Port Cros 1998 '[497']], MATCH($A25, $A$2:$A$16, 0))</f>
        <v>1.2176391887260272</v>
      </c>
      <c r="BQ26" s="5">
        <f>INDEX(טבלה1[Sierra Leone 1964 '[135']], MATCH($A26, $A$2:$A$16, 0)) / INDEX(טבלה1[Sierra Leone 1964 '[135']], MATCH($A25, $A$2:$A$16, 0))</f>
        <v>1.5315912031259675</v>
      </c>
      <c r="BR26" s="5">
        <f>INDEX(טבלה1[Sierra Leone 1978 1978 '[136']], MATCH($A26, $A$2:$A$16, 0)) / INDEX(טבלה1[Sierra Leone 1978 1978 '[136']], MATCH($A25, $A$2:$A$16, 0))</f>
        <v>1.2578818708316715</v>
      </c>
      <c r="BS26" s="5">
        <f>INDEX(טבלה1[Sierra Leone 1990 '[137']], MATCH($A26, $A$2:$A$16, 0)) / INDEX(טבלה1[Sierra Leone 1990 '[137']], MATCH($A25, $A$2:$A$16, 0))</f>
        <v>1.2095784863014114</v>
      </c>
      <c r="BT26" s="5">
        <f>INDEX(טבלה1[Sinaloa sur MEXICO 1994 '[325']], MATCH($A26, $A$2:$A$16, 0)) / INDEX(טבלה1[Sinaloa sur MEXICO 1994 '[325']], MATCH($A25, $A$2:$A$16, 0))</f>
        <v>1.5764559466489336</v>
      </c>
      <c r="BU26" s="5">
        <f>INDEX(טבלה1[Sonda de Campeche 1988 '[240']], MATCH($A26, $A$2:$A$16, 0)) / INDEX(טבלה1[Sonda de Campeche 1988 '[240']], MATCH($A25, $A$2:$A$16, 0))</f>
        <v>1.2159033285832501</v>
      </c>
      <c r="BV26" s="5">
        <f>INDEX(טבלה1[Sonda_Campeche_Act 1988 '[291']], MATCH($A26, $A$2:$A$16, 0)) / INDEX(טבלה1[Sonda_Campeche_Act 1988 '[291']], MATCH($A25, $A$2:$A$16, 0))</f>
        <v>1.1390211997401531</v>
      </c>
      <c r="BW26" s="5">
        <f>INDEX(טבלה1[South Shetlands 1990 '[663']], MATCH($A26, $A$2:$A$16, 0)) / INDEX(טבלה1[South Shetlands 1990 '[663']], MATCH($A25, $A$2:$A$16, 0))</f>
        <v>1.188575890188591</v>
      </c>
      <c r="BX26" s="5">
        <f>INDEX(טבלה1[South West Viet nam 1994 '[415']], MATCH($A26, $A$2:$A$16, 0)) / INDEX(טבלה1[South West Viet nam 1994 '[415']], MATCH($A25, $A$2:$A$16, 0))</f>
        <v>1.1839234149892248</v>
      </c>
      <c r="BY26" s="5">
        <f>INDEX(טבלה1[South western Gulf of Mexico 1970 '[687']], MATCH($A26, $A$2:$A$16, 0)) / INDEX(טבלה1[South western Gulf of Mexico 1970 '[687']], MATCH($A25, $A$2:$A$16, 0))</f>
        <v>1.2648839725246837</v>
      </c>
      <c r="BZ26" s="5">
        <f>INDEX(טבלה1[Southern Brazil 1980 '[664']], MATCH($A26, $A$2:$A$16, 0)) / INDEX(טבלה1[Southern Brazil 1980 '[664']], MATCH($A25, $A$2:$A$16, 0))</f>
        <v>1.6001048233109363</v>
      </c>
      <c r="CA26" s="5">
        <f>INDEX(טבלה1[Southern Gulf of St. Lawrence 1980 '[145']], MATCH($A26, $A$2:$A$16, 0)) / INDEX(טבלה1[Southern Gulf of St. Lawrence 1980 '[145']], MATCH($A25, $A$2:$A$16, 0))</f>
        <v>1.2301129468630805</v>
      </c>
      <c r="CB26" s="5">
        <f>INDEX(טבלה1[Sri Lanka 2000 '[441']], MATCH($A26, $A$2:$A$16, 0)) / INDEX(טבלה1[Sri Lanka 2000 '[441']], MATCH($A25, $A$2:$A$16, 0))</f>
        <v>1.2584452402231074</v>
      </c>
      <c r="CC26" s="5">
        <f>INDEX(טבלה1[Strait of Georgia 1950 '[477']], MATCH($A26, $A$2:$A$16, 0)) / INDEX(טבלה1[Strait of Georgia 1950 '[477']], MATCH($A25, $A$2:$A$16, 0))</f>
        <v>1.1907803314056569</v>
      </c>
      <c r="CD26" s="5">
        <f>INDEX(טבלה1[Sørfjord 1993 '[429']], MATCH($A26, $A$2:$A$16, 0)) / INDEX(טבלה1[Sørfjord 1993 '[429']], MATCH($A25, $A$2:$A$16, 0))</f>
        <v>1.1682002214544587</v>
      </c>
      <c r="CE26" s="5">
        <f>INDEX(טבלה1[Tampa Bay 1950 '[153']], MATCH($A26, $A$2:$A$16, 0)) / INDEX(טבלה1[Tampa Bay 1950 '[153']], MATCH($A25, $A$2:$A$16, 0))</f>
        <v>1.0674332648565124</v>
      </c>
      <c r="CF26" s="5">
        <f>INDEX(טבלה1[Tasmanian Seamounts Marine Reserve 1992 '[407']], MATCH($A26, $A$2:$A$16, 0)) / INDEX(טבלה1[Tasmanian Seamounts Marine Reserve 1992 '[407']], MATCH($A25, $A$2:$A$16, 0))</f>
        <v>2.2328440291019449</v>
      </c>
      <c r="CG26" s="5">
        <f>INDEX(טבלה1[Terminos Lagoon 1980 '[243']], MATCH($A26, $A$2:$A$16, 0)) / INDEX(טבלה1[Terminos Lagoon 1980 '[243']], MATCH($A25, $A$2:$A$16, 0))</f>
        <v>1.1273045824479795</v>
      </c>
      <c r="CH26" s="5">
        <f>INDEX(טבלה1[Thau 1980 '[217']], MATCH($A26, $A$2:$A$16, 0)) / INDEX(טבלה1[Thau 1980 '[217']], MATCH($A25, $A$2:$A$16, 0))</f>
        <v>0.55271554094363229</v>
      </c>
      <c r="CI26" s="5">
        <f>INDEX(טבלה1[USA, Mid Atlantic Bight 1995 '[99']], MATCH($A26, $A$2:$A$16, 0)) / INDEX(טבלה1[USA, Mid Atlantic Bight 1995 '[99']], MATCH($A25, $A$2:$A$16, 0))</f>
        <v>1.2200752947816993</v>
      </c>
      <c r="CJ26" s="5">
        <f>INDEX(טבלה1[Venezuela shelf 1980 '[282']], MATCH($A26, $A$2:$A$16, 0)) / INDEX(טבלה1[Venezuela shelf 1980 '[282']], MATCH($A25, $A$2:$A$16, 0))</f>
        <v>1.5766979871517228</v>
      </c>
      <c r="CK26" s="5">
        <f>INDEX(טבלה1[West Coast of Peninbsular Malaysia 1972 '[414']], MATCH($A26, $A$2:$A$16, 0)) / INDEX(טבלה1[West Coast of Peninbsular Malaysia 1972 '[414']], MATCH($A25, $A$2:$A$16, 0))</f>
        <v>1.3141492371398236</v>
      </c>
      <c r="CL26" s="5">
        <f>INDEX(טבלה1[West coast of Sabah 1972 '[305']], MATCH($A26, $A$2:$A$16, 0)) / INDEX(טבלה1[West coast of Sabah 1972 '[305']], MATCH($A25, $A$2:$A$16, 0))</f>
        <v>1.1492506916328666</v>
      </c>
      <c r="CM26" s="5">
        <f>INDEX(טבלה1[West Coast Vancouver Island 1950 '[172']], MATCH($A26, $A$2:$A$16, 0)) / INDEX(טבלה1[West Coast Vancouver Island 1950 '[172']], MATCH($A25, $A$2:$A$16, 0))</f>
        <v>1.3549144334876058</v>
      </c>
      <c r="CN26" s="5">
        <f>INDEX(טבלה1[West Scotland 2000 '[461']], MATCH($A26, $A$2:$A$16, 0)) / INDEX(טבלה1[West Scotland 2000 '[461']], MATCH($A25, $A$2:$A$16, 0))</f>
        <v>2.026979426794616</v>
      </c>
      <c r="CO26" s="5">
        <f>INDEX(טבלה1[West scotland DeepSea 1974 '[443']], MATCH($A26, $A$2:$A$16, 0)) / INDEX(טבלה1[West scotland DeepSea 1974 '[443']], MATCH($A25, $A$2:$A$16, 0))</f>
        <v>1.341988098108265</v>
      </c>
      <c r="CP26" s="5">
        <f>INDEX(טבלה1[Yucatan 1987 '[320']], MATCH($A26, $A$2:$A$16, 0)) / INDEX(טבלה1[Yucatan 1987 '[320']], MATCH($A25, $A$2:$A$16, 0))</f>
        <v>1.3074144189861132</v>
      </c>
    </row>
    <row r="27" spans="1:94" x14ac:dyDescent="0.3">
      <c r="A27" s="4"/>
      <c r="B27" s="5"/>
      <c r="C27" s="7"/>
      <c r="D27" s="7"/>
      <c r="E27" s="7"/>
      <c r="F27" s="7"/>
      <c r="G27" s="6"/>
    </row>
    <row r="28" spans="1:94" x14ac:dyDescent="0.3">
      <c r="A28" s="4"/>
      <c r="B28" s="5"/>
      <c r="C28" s="7"/>
      <c r="D28" s="7"/>
      <c r="E28" s="7"/>
      <c r="F28" s="7"/>
      <c r="G28" s="6"/>
    </row>
    <row r="29" spans="1:94" ht="14.5" thickBot="1" x14ac:dyDescent="0.35">
      <c r="A29" s="8"/>
      <c r="B29" s="5"/>
      <c r="C29" s="7"/>
      <c r="D29" s="7"/>
      <c r="E29" s="7"/>
      <c r="F29" s="7"/>
      <c r="G29" s="9"/>
    </row>
    <row r="30" spans="1:94" ht="14.5" thickBot="1" x14ac:dyDescent="0.35">
      <c r="A30" s="10" t="s">
        <v>111</v>
      </c>
      <c r="B30" s="11">
        <f>PRODUCT(B20:B29)</f>
        <v>20.675353435939336</v>
      </c>
      <c r="C30" s="11">
        <f t="shared" ref="C30:BN30" si="0">PRODUCT(C20:C29)</f>
        <v>1.0153365250342832</v>
      </c>
      <c r="D30" s="11">
        <f t="shared" si="0"/>
        <v>28.098570293474349</v>
      </c>
      <c r="E30" s="11">
        <f t="shared" si="0"/>
        <v>7.6591511318472927</v>
      </c>
      <c r="F30" s="11">
        <f t="shared" si="0"/>
        <v>9.5410353646476889</v>
      </c>
      <c r="G30" s="11">
        <f t="shared" si="0"/>
        <v>1.6188733186710826</v>
      </c>
      <c r="H30" s="11">
        <f t="shared" si="0"/>
        <v>0.26257714516271929</v>
      </c>
      <c r="I30" s="11">
        <f t="shared" si="0"/>
        <v>1.1390068946566125</v>
      </c>
      <c r="J30" s="11">
        <f t="shared" si="0"/>
        <v>2.3267133749690512</v>
      </c>
      <c r="K30" s="11">
        <f t="shared" si="0"/>
        <v>0.42187749686609721</v>
      </c>
      <c r="L30" s="11">
        <f t="shared" si="0"/>
        <v>1.909695066292461</v>
      </c>
      <c r="M30" s="11">
        <f t="shared" si="0"/>
        <v>1.0062557550853237</v>
      </c>
      <c r="N30" s="11">
        <f t="shared" si="0"/>
        <v>4.90504552695218</v>
      </c>
      <c r="O30" s="11">
        <f t="shared" si="0"/>
        <v>0.98817216530997709</v>
      </c>
      <c r="P30" s="11">
        <f t="shared" si="0"/>
        <v>2.0378833580532261</v>
      </c>
      <c r="Q30" s="11">
        <f t="shared" si="0"/>
        <v>5.6724473216404201</v>
      </c>
      <c r="R30" s="11">
        <f t="shared" si="0"/>
        <v>9.5863004883486731</v>
      </c>
      <c r="S30" s="11">
        <f t="shared" si="0"/>
        <v>1.5189822212819122</v>
      </c>
      <c r="T30" s="11">
        <f t="shared" si="0"/>
        <v>36.911576784646947</v>
      </c>
      <c r="U30" s="11">
        <f t="shared" si="0"/>
        <v>2.4333707391957171</v>
      </c>
      <c r="V30" s="11">
        <f t="shared" si="0"/>
        <v>1.5792272931809432</v>
      </c>
      <c r="W30" s="11">
        <f t="shared" si="0"/>
        <v>0.59784158162588108</v>
      </c>
      <c r="X30" s="11">
        <f t="shared" si="0"/>
        <v>2.1476404161370541</v>
      </c>
      <c r="Y30" s="11">
        <f t="shared" si="0"/>
        <v>2.2671031367697951</v>
      </c>
      <c r="Z30" s="11">
        <f t="shared" si="0"/>
        <v>2.1315095994108</v>
      </c>
      <c r="AA30" s="11">
        <f t="shared" si="0"/>
        <v>0.4662658599753029</v>
      </c>
      <c r="AB30" s="11">
        <f t="shared" si="0"/>
        <v>2.2711394510237946</v>
      </c>
      <c r="AC30" s="11">
        <f t="shared" si="0"/>
        <v>2.1082283253322953</v>
      </c>
      <c r="AD30" s="11">
        <f t="shared" si="0"/>
        <v>0.69898228486247882</v>
      </c>
      <c r="AE30" s="11">
        <f t="shared" si="0"/>
        <v>12.251713027364566</v>
      </c>
      <c r="AF30" s="11">
        <f t="shared" si="0"/>
        <v>17.267001248037683</v>
      </c>
      <c r="AG30" s="11">
        <f t="shared" si="0"/>
        <v>1.0163483082995448</v>
      </c>
      <c r="AH30" s="11">
        <f t="shared" si="0"/>
        <v>8.0835510061979203</v>
      </c>
      <c r="AI30" s="11">
        <f t="shared" si="0"/>
        <v>19.334443078611393</v>
      </c>
      <c r="AJ30" s="11">
        <f t="shared" si="0"/>
        <v>39.499581431236685</v>
      </c>
      <c r="AK30" s="11">
        <f t="shared" si="0"/>
        <v>11.243995411334518</v>
      </c>
      <c r="AL30" s="11">
        <f t="shared" si="0"/>
        <v>18.176284134457216</v>
      </c>
      <c r="AM30" s="11">
        <f t="shared" si="0"/>
        <v>4.9499668944220128</v>
      </c>
      <c r="AN30" s="11">
        <f t="shared" si="0"/>
        <v>0.58029232652111362</v>
      </c>
      <c r="AO30" s="11">
        <f t="shared" si="0"/>
        <v>0.15824922081249887</v>
      </c>
      <c r="AP30" s="11">
        <f t="shared" si="0"/>
        <v>4.4840257447299585</v>
      </c>
      <c r="AQ30" s="11">
        <f t="shared" si="0"/>
        <v>3.7506733354535569</v>
      </c>
      <c r="AR30" s="11">
        <f t="shared" si="0"/>
        <v>4.0932931360918925</v>
      </c>
      <c r="AS30" s="11">
        <f t="shared" si="0"/>
        <v>5.2610999427707963</v>
      </c>
      <c r="AT30" s="11">
        <f t="shared" si="0"/>
        <v>5.5232481210702185</v>
      </c>
      <c r="AU30" s="11">
        <f t="shared" si="0"/>
        <v>0.4118698691848488</v>
      </c>
      <c r="AV30" s="11">
        <f t="shared" si="0"/>
        <v>5.4756684491883307</v>
      </c>
      <c r="AW30" s="11">
        <f t="shared" si="0"/>
        <v>2.7893899500358863</v>
      </c>
      <c r="AX30" s="11">
        <f t="shared" si="0"/>
        <v>0.60989652729396715</v>
      </c>
      <c r="AY30" s="11">
        <f t="shared" si="0"/>
        <v>1.8323448501524786</v>
      </c>
      <c r="AZ30" s="11">
        <f t="shared" si="0"/>
        <v>0.2554900497023862</v>
      </c>
      <c r="BA30" s="11">
        <f t="shared" si="0"/>
        <v>8.0197860133908261</v>
      </c>
      <c r="BB30" s="11">
        <f t="shared" si="0"/>
        <v>57.056794793180067</v>
      </c>
      <c r="BC30" s="11">
        <f t="shared" si="0"/>
        <v>1.258514918163081</v>
      </c>
      <c r="BD30" s="11">
        <f t="shared" si="0"/>
        <v>14.655574724801756</v>
      </c>
      <c r="BE30" s="11">
        <f t="shared" si="0"/>
        <v>1.3185715688928403</v>
      </c>
      <c r="BF30" s="11">
        <f t="shared" si="0"/>
        <v>0.64396983482364856</v>
      </c>
      <c r="BG30" s="11">
        <f t="shared" si="0"/>
        <v>1.012228414856307</v>
      </c>
      <c r="BH30" s="11">
        <f t="shared" si="0"/>
        <v>10.74354856457448</v>
      </c>
      <c r="BI30" s="11">
        <f t="shared" si="0"/>
        <v>2.2928167514544926</v>
      </c>
      <c r="BJ30" s="11">
        <f t="shared" si="0"/>
        <v>0.34684986101079301</v>
      </c>
      <c r="BK30" s="11">
        <f t="shared" si="0"/>
        <v>143.73949157660695</v>
      </c>
      <c r="BL30" s="11">
        <f t="shared" si="0"/>
        <v>5.9653062626310955</v>
      </c>
      <c r="BM30" s="11">
        <f t="shared" si="0"/>
        <v>0.32171422799579824</v>
      </c>
      <c r="BN30" s="11">
        <f t="shared" si="0"/>
        <v>2.142425808053714</v>
      </c>
      <c r="BO30" s="11">
        <f t="shared" ref="BO30:CP30" si="1">PRODUCT(BO20:BO29)</f>
        <v>6.7140400874132871</v>
      </c>
      <c r="BP30" s="11">
        <f t="shared" si="1"/>
        <v>1.1561152928089704</v>
      </c>
      <c r="BQ30" s="11">
        <f t="shared" si="1"/>
        <v>14.834404219837314</v>
      </c>
      <c r="BR30" s="11">
        <f t="shared" si="1"/>
        <v>2.0703832010529379</v>
      </c>
      <c r="BS30" s="11">
        <f t="shared" si="1"/>
        <v>2.6210930312625167</v>
      </c>
      <c r="BT30" s="11">
        <f t="shared" si="1"/>
        <v>7.1360198821362379</v>
      </c>
      <c r="BU30" s="11">
        <f t="shared" si="1"/>
        <v>2.3674854637351093</v>
      </c>
      <c r="BV30" s="11">
        <f t="shared" si="1"/>
        <v>7.5568605799621729</v>
      </c>
      <c r="BW30" s="11">
        <f t="shared" si="1"/>
        <v>11.571624181037929</v>
      </c>
      <c r="BX30" s="11">
        <f t="shared" si="1"/>
        <v>0.48728623000594895</v>
      </c>
      <c r="BY30" s="11">
        <f t="shared" si="1"/>
        <v>2.7953633472170498</v>
      </c>
      <c r="BZ30" s="11">
        <f t="shared" si="1"/>
        <v>4.793812601327927</v>
      </c>
      <c r="CA30" s="11">
        <f t="shared" si="1"/>
        <v>1.1091201294637076</v>
      </c>
      <c r="CB30" s="11">
        <f t="shared" si="1"/>
        <v>4.7155923306035028</v>
      </c>
      <c r="CC30" s="11">
        <f t="shared" si="1"/>
        <v>1.1717107914179894</v>
      </c>
      <c r="CD30" s="11">
        <f t="shared" si="1"/>
        <v>1.4175917703568084</v>
      </c>
      <c r="CE30" s="11">
        <f t="shared" si="1"/>
        <v>9.2276966364020593E-2</v>
      </c>
      <c r="CF30" s="11">
        <f t="shared" si="1"/>
        <v>90.978410710501535</v>
      </c>
      <c r="CG30" s="11">
        <f t="shared" si="1"/>
        <v>1.560692894669244</v>
      </c>
      <c r="CH30" s="11">
        <f t="shared" si="1"/>
        <v>2.5539142938509563</v>
      </c>
      <c r="CI30" s="11">
        <f t="shared" si="1"/>
        <v>1.9766186492289564</v>
      </c>
      <c r="CJ30" s="11">
        <f t="shared" si="1"/>
        <v>14.887094601699175</v>
      </c>
      <c r="CK30" s="11">
        <f t="shared" si="1"/>
        <v>2.8406844264129214</v>
      </c>
      <c r="CL30" s="11">
        <f t="shared" si="1"/>
        <v>5.3371610032646419</v>
      </c>
      <c r="CM30" s="11">
        <f t="shared" si="1"/>
        <v>4.542295031599723</v>
      </c>
      <c r="CN30" s="11">
        <f t="shared" si="1"/>
        <v>25.62586163173998</v>
      </c>
      <c r="CO30" s="11">
        <f t="shared" si="1"/>
        <v>3.2388547893073638</v>
      </c>
      <c r="CP30" s="11">
        <f t="shared" si="1"/>
        <v>16.009159614548409</v>
      </c>
    </row>
    <row r="32" spans="1:94" x14ac:dyDescent="0.3">
      <c r="B32" s="14">
        <f>AVERAGE(B30:CP30)</f>
        <v>8.7389646182002689</v>
      </c>
    </row>
  </sheetData>
  <mergeCells count="1">
    <mergeCell ref="B18:G18"/>
  </mergeCells>
  <dataValidations count="1">
    <dataValidation type="list" allowBlank="1" showInputMessage="1" showErrorMessage="1" sqref="A19:A29" xr:uid="{501D5F4D-1DC6-46EF-8422-A3FEFFF6F6DE}">
      <formula1>$A$2:$A$16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2026-04-01T06:31:48Z</dcterms:created>
  <dcterms:modified xsi:type="dcterms:W3CDTF">2026-04-04T22:49:50Z</dcterms:modified>
</cp:coreProperties>
</file>