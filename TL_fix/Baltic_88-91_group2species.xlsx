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TL fix\"/>
    </mc:Choice>
  </mc:AlternateContent>
  <xr:revisionPtr revIDLastSave="0" documentId="13_ncr:1_{326051C9-324E-41C6-A9E5-6C2D8A8CED7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pecies" sheetId="1" r:id="rId1"/>
    <sheet name="Commercial Groups" sheetId="2" r:id="rId2"/>
    <sheet name="Functional Group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M8" i="1"/>
  <c r="M6" i="1"/>
  <c r="M5" i="1"/>
  <c r="M4" i="1"/>
</calcChain>
</file>

<file path=xl/sharedStrings.xml><?xml version="1.0" encoding="utf-8"?>
<sst xmlns="http://schemas.openxmlformats.org/spreadsheetml/2006/main" count="327" uniqueCount="155">
  <si>
    <t>scientific_name</t>
  </si>
  <si>
    <t>common_name</t>
  </si>
  <si>
    <t>functional_group</t>
  </si>
  <si>
    <t>commercial_group</t>
  </si>
  <si>
    <t>tonnes</t>
  </si>
  <si>
    <t>habitat</t>
  </si>
  <si>
    <t>mean_TL</t>
  </si>
  <si>
    <t>SPPR</t>
  </si>
  <si>
    <t>PPR</t>
  </si>
  <si>
    <t>Gadus morhua</t>
  </si>
  <si>
    <t>Atlantic cod</t>
  </si>
  <si>
    <t>Large benthopelagics (&gt;=90 cm)</t>
  </si>
  <si>
    <t>Cod-likes</t>
  </si>
  <si>
    <t>benthopelagic</t>
  </si>
  <si>
    <t>Clupea harengus</t>
  </si>
  <si>
    <t>Atlantic herring</t>
  </si>
  <si>
    <t>Medium pelagics (30 - 89 cm)</t>
  </si>
  <si>
    <t>Herring-likes</t>
  </si>
  <si>
    <t>Perca fluviatilis</t>
  </si>
  <si>
    <t>European perch</t>
  </si>
  <si>
    <t>Medium demersals (30 - 89 cm)</t>
  </si>
  <si>
    <t>Perch-likes</t>
  </si>
  <si>
    <t>demersal</t>
  </si>
  <si>
    <t>Salmo salar</t>
  </si>
  <si>
    <t>Atlantic salmon</t>
  </si>
  <si>
    <t>Salmon, smelts, etc</t>
  </si>
  <si>
    <t>Sprattus sprattus</t>
  </si>
  <si>
    <t>European sprat</t>
  </si>
  <si>
    <t>Small pelagics (&lt;30 cm)</t>
  </si>
  <si>
    <t>pelagic-neritic</t>
  </si>
  <si>
    <t>Esox lucius</t>
  </si>
  <si>
    <t>Northern pike</t>
  </si>
  <si>
    <t>Large demersals (&gt;=90 cm)</t>
  </si>
  <si>
    <t>Platichthys flesus</t>
  </si>
  <si>
    <t>European flounder</t>
  </si>
  <si>
    <t>Small to medium flatfishes (&lt;90 cm)</t>
  </si>
  <si>
    <t>Flatfishes</t>
  </si>
  <si>
    <t>Belone belone</t>
  </si>
  <si>
    <t>Garfish</t>
  </si>
  <si>
    <t>Other fishes &amp; inverts</t>
  </si>
  <si>
    <t>pelagic-oceanic</t>
  </si>
  <si>
    <t>Osmerus eperlanus</t>
  </si>
  <si>
    <t>European smelt</t>
  </si>
  <si>
    <t>Sander lucioperca</t>
  </si>
  <si>
    <t>Pike-perch</t>
  </si>
  <si>
    <t>Large pelagics (&gt;=90 cm)</t>
  </si>
  <si>
    <t>pelagic</t>
  </si>
  <si>
    <t>Scophthalmus maximus</t>
  </si>
  <si>
    <t>Turbot</t>
  </si>
  <si>
    <t>Large flatfishes (&gt;=90 cm)</t>
  </si>
  <si>
    <t>Anguilla anguilla</t>
  </si>
  <si>
    <t>European eel</t>
  </si>
  <si>
    <t>Merlangius merlangus</t>
  </si>
  <si>
    <t>Whiting</t>
  </si>
  <si>
    <t>Medium benthopelagics (30 - 89 cm)</t>
  </si>
  <si>
    <t>Salmo trutta</t>
  </si>
  <si>
    <t>Sea trout</t>
  </si>
  <si>
    <t>Lota lota</t>
  </si>
  <si>
    <t>Burbot</t>
  </si>
  <si>
    <t>Limanda limanda</t>
  </si>
  <si>
    <t>Common dab</t>
  </si>
  <si>
    <t>Gasterosteus aculeatus</t>
  </si>
  <si>
    <t>Three-spined stickleback</t>
  </si>
  <si>
    <t>Small benthopelagics (&lt;30 cm)</t>
  </si>
  <si>
    <t>Cyclopterus lumpus</t>
  </si>
  <si>
    <t>Lumpfish</t>
  </si>
  <si>
    <t>Scorpionfishes</t>
  </si>
  <si>
    <t>Rutilus rutilus</t>
  </si>
  <si>
    <t>Roach</t>
  </si>
  <si>
    <t>Pleuronectes platessa</t>
  </si>
  <si>
    <t>European plaice</t>
  </si>
  <si>
    <t>Leuciscus idus</t>
  </si>
  <si>
    <t>Ide</t>
  </si>
  <si>
    <t>Coregonus albula</t>
  </si>
  <si>
    <t>Vendace</t>
  </si>
  <si>
    <t>Mytilus edulis</t>
  </si>
  <si>
    <t>Blue mussel</t>
  </si>
  <si>
    <t>Other demersal invertebrates</t>
  </si>
  <si>
    <t>Molluscs</t>
  </si>
  <si>
    <t>sessile</t>
  </si>
  <si>
    <t>Scophthalmus rhombus</t>
  </si>
  <si>
    <t>Brill</t>
  </si>
  <si>
    <t>Trachinus draco</t>
  </si>
  <si>
    <t>Greater weever</t>
  </si>
  <si>
    <t>Zoarces viviparus</t>
  </si>
  <si>
    <t>Eelpout</t>
  </si>
  <si>
    <t>Scomber scombrus</t>
  </si>
  <si>
    <t>Atlantic mackerel</t>
  </si>
  <si>
    <t>Pollachius pollachius</t>
  </si>
  <si>
    <t>Pollack</t>
  </si>
  <si>
    <t>Palaemon serratus</t>
  </si>
  <si>
    <t>Common prawn</t>
  </si>
  <si>
    <t>Shrimps</t>
  </si>
  <si>
    <t>Crustaceans</t>
  </si>
  <si>
    <t>benthic</t>
  </si>
  <si>
    <t>Cyprinus carpio</t>
  </si>
  <si>
    <t>Common carp</t>
  </si>
  <si>
    <t>Melanogrammus aeglefinus</t>
  </si>
  <si>
    <t>Haddock</t>
  </si>
  <si>
    <t>Squalus acanthias</t>
  </si>
  <si>
    <t>Picked dogfish</t>
  </si>
  <si>
    <t>Large sharks (&gt;=90 cm)</t>
  </si>
  <si>
    <t>Sharks &amp; rays</t>
  </si>
  <si>
    <t>Microstomus kitt</t>
  </si>
  <si>
    <t>Lemon sole</t>
  </si>
  <si>
    <t>Solea solea</t>
  </si>
  <si>
    <t>Common sole</t>
  </si>
  <si>
    <t>Petromyzon marinus</t>
  </si>
  <si>
    <t>Sea lamprey</t>
  </si>
  <si>
    <t>Pollachius virens</t>
  </si>
  <si>
    <t>Saithe</t>
  </si>
  <si>
    <t>Merluccius merluccius</t>
  </si>
  <si>
    <t>European hake</t>
  </si>
  <si>
    <t>Coregonus oxyrinchus</t>
  </si>
  <si>
    <t>Houting</t>
  </si>
  <si>
    <t>Reinhardtius hippoglossoides</t>
  </si>
  <si>
    <t>Greenland halibut</t>
  </si>
  <si>
    <t>Anarhichas lupus</t>
  </si>
  <si>
    <t>Atlantic wolffish</t>
  </si>
  <si>
    <t>Lamna nasus</t>
  </si>
  <si>
    <t>Porbeagle</t>
  </si>
  <si>
    <t>Eutrigla gurnardus</t>
  </si>
  <si>
    <t>Grey gurnard</t>
  </si>
  <si>
    <t>Tinca tinca</t>
  </si>
  <si>
    <t>Tench</t>
  </si>
  <si>
    <t>Hippoglossoides platessoides</t>
  </si>
  <si>
    <t>American plaice</t>
  </si>
  <si>
    <t>Nephrops norvegicus</t>
  </si>
  <si>
    <t>Norway lobster</t>
  </si>
  <si>
    <t>Lobsters, crabs</t>
  </si>
  <si>
    <t>Carassius carassius</t>
  </si>
  <si>
    <t>Crucian carp</t>
  </si>
  <si>
    <t>Hypophthalmichthys nobilis</t>
  </si>
  <si>
    <t>Bighead carp</t>
  </si>
  <si>
    <t>Cancer pagurus</t>
  </si>
  <si>
    <t>Edible crab</t>
  </si>
  <si>
    <t>Ostrea edulis</t>
  </si>
  <si>
    <t>European flat oyster</t>
  </si>
  <si>
    <t>Aequipecten opercularis</t>
  </si>
  <si>
    <t>Queen scallop</t>
  </si>
  <si>
    <t>Thunnus thynnus</t>
  </si>
  <si>
    <t>Atlantic bluefin tuna</t>
  </si>
  <si>
    <t>Tuna &amp; billfishes</t>
  </si>
  <si>
    <t>Dicentrarchus labrax</t>
  </si>
  <si>
    <t>European seabass</t>
  </si>
  <si>
    <t>Chelidonichthys cuculus</t>
  </si>
  <si>
    <t>Red gurnard</t>
  </si>
  <si>
    <t>Echinus esculentus</t>
  </si>
  <si>
    <t>European edible sea urchin</t>
  </si>
  <si>
    <t>x10^6</t>
  </si>
  <si>
    <t>Species</t>
  </si>
  <si>
    <t>Commercial</t>
  </si>
  <si>
    <t>Functional</t>
  </si>
  <si>
    <t>Baltic Sea PPR 1988-1991, TL=0.1</t>
  </si>
  <si>
    <t>1986's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</si>
</sst>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 applyAlignment="1">
      <alignment horizontal="center" vertical="top"/>
    </xf>
    <xf numFmtId="0" fontId="2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7" xfId="0" applyBorder="1"/>
    <xf numFmtId="0" fontId="2" fillId="2" borderId="1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6E9819-B877-4E70-BBBB-6AD59C6CE4FF}" name="טבלה1" displayName="טבלה1" ref="A1:I55" totalsRowShown="0" headerRowDxfId="8" headerRowBorderDxfId="7" tableBorderDxfId="6">
  <autoFilter ref="A1:I55" xr:uid="{9C6E9819-B877-4E70-BBBB-6AD59C6CE4FF}"/>
  <tableColumns count="9">
    <tableColumn id="1" xr3:uid="{3B07C6F1-6A43-4EEB-B797-133FB79A6BC8}" name="scientific_name"/>
    <tableColumn id="2" xr3:uid="{310AD2B6-D392-4D39-A77F-8865796CA953}" name="common_name"/>
    <tableColumn id="3" xr3:uid="{821831E2-32A4-4D76-8DA1-90AFED9158C7}" name="functional_group"/>
    <tableColumn id="4" xr3:uid="{27CD1F01-CEA3-4509-959A-87962E3E8256}" name="commercial_group"/>
    <tableColumn id="5" xr3:uid="{89642988-7EFA-4501-842B-455DE9A13335}" name="tonnes"/>
    <tableColumn id="6" xr3:uid="{A32B0BEB-F27D-4D74-B2B4-B460C4C4CE8B}" name="habitat"/>
    <tableColumn id="7" xr3:uid="{5DD11D60-D355-4508-B81E-F0A41DD81810}" name="mean_TL"/>
    <tableColumn id="8" xr3:uid="{63E765CC-A4BC-4C61-9884-D3FDEDE6FEB5}" name="SPPR"/>
    <tableColumn id="9" xr3:uid="{6613B336-A0C3-43B7-86E2-97DE31841A8C}" name="PP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014658-038F-46F4-8A59-7EF8EE6D638B}" name="טבלה2" displayName="טבלה2" ref="A1:E12" totalsRowShown="0" headerRowDxfId="5" headerRowBorderDxfId="4" tableBorderDxfId="3">
  <autoFilter ref="A1:E12" xr:uid="{5C014658-038F-46F4-8A59-7EF8EE6D638B}"/>
  <tableColumns count="5">
    <tableColumn id="1" xr3:uid="{E587493E-2369-450D-96CB-3BD960379666}" name="commercial_group"/>
    <tableColumn id="2" xr3:uid="{846B1DE5-B690-4E96-9F31-8CF0F0D4401A}" name="tonnes"/>
    <tableColumn id="3" xr3:uid="{8EC1CB5D-BD53-46C5-8BB1-17FA1F383DEB}" name="mean_TL"/>
    <tableColumn id="4" xr3:uid="{4DB21ACC-5734-48AD-ABE2-5A15433B364C}" name="SPPR"/>
    <tableColumn id="5" xr3:uid="{A6BAB391-6DFB-4511-AB61-A964C5B613AA}" name="PP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C85A62-C842-4372-91A8-BC7B9CC26598}" name="טבלה3" displayName="טבלה3" ref="A1:E15" totalsRowShown="0" headerRowDxfId="2" headerRowBorderDxfId="1" tableBorderDxfId="0">
  <autoFilter ref="A1:E15" xr:uid="{21C85A62-C842-4372-91A8-BC7B9CC26598}"/>
  <tableColumns count="5">
    <tableColumn id="1" xr3:uid="{8C63E9D8-CFEC-4CD9-8611-A777951B6673}" name="functional_group"/>
    <tableColumn id="2" xr3:uid="{981E5E38-E1BD-4768-A96E-E3A07AF2EDF4}" name="tonnes"/>
    <tableColumn id="3" xr3:uid="{E934EAE5-C21E-45C7-95BC-F39FC4C341C8}" name="mean_TL"/>
    <tableColumn id="4" xr3:uid="{01589D79-EA4B-49DF-BE35-3BB4BAF7D3A0}" name="SPPR"/>
    <tableColumn id="5" xr3:uid="{5D344B9D-169F-46D8-8BEB-EAA5A426768B}" name="PP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zoomScaleNormal="100" workbookViewId="0">
      <selection activeCell="M9" sqref="M9"/>
    </sheetView>
  </sheetViews>
  <sheetFormatPr defaultRowHeight="14" x14ac:dyDescent="0.3"/>
  <cols>
    <col min="1" max="1" width="16.4140625" customWidth="1"/>
    <col min="2" max="2" width="15.75" customWidth="1"/>
    <col min="3" max="3" width="17.6640625" customWidth="1"/>
    <col min="4" max="4" width="18.9140625" customWidth="1"/>
    <col min="5" max="5" width="8.75" customWidth="1"/>
    <col min="7" max="7" width="10.75" customWidth="1"/>
    <col min="12" max="12" width="13.1640625" customWidth="1"/>
    <col min="13" max="13" width="11.8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ht="14.5" thickBot="1" x14ac:dyDescent="0.35">
      <c r="A2" t="s">
        <v>9</v>
      </c>
      <c r="B2" t="s">
        <v>10</v>
      </c>
      <c r="C2" t="s">
        <v>11</v>
      </c>
      <c r="D2" t="s">
        <v>12</v>
      </c>
      <c r="E2">
        <v>985825.7034764156</v>
      </c>
      <c r="F2" t="s">
        <v>13</v>
      </c>
      <c r="G2">
        <v>4.09</v>
      </c>
      <c r="H2">
        <v>1230.268770812381</v>
      </c>
      <c r="I2">
        <v>1212830576.4511809</v>
      </c>
    </row>
    <row r="3" spans="1:15" ht="14.5" thickBot="1" x14ac:dyDescent="0.35">
      <c r="A3" t="s">
        <v>14</v>
      </c>
      <c r="B3" t="s">
        <v>15</v>
      </c>
      <c r="C3" t="s">
        <v>16</v>
      </c>
      <c r="D3" t="s">
        <v>17</v>
      </c>
      <c r="E3">
        <v>1607136.990446819</v>
      </c>
      <c r="F3" t="s">
        <v>13</v>
      </c>
      <c r="G3">
        <v>3.38</v>
      </c>
      <c r="H3">
        <v>239.88329190194901</v>
      </c>
      <c r="I3">
        <v>385525311.80577421</v>
      </c>
      <c r="L3" s="18" t="s">
        <v>153</v>
      </c>
      <c r="M3" s="19"/>
      <c r="N3" s="19"/>
      <c r="O3" s="20"/>
    </row>
    <row r="4" spans="1:15" x14ac:dyDescent="0.3">
      <c r="A4" t="s">
        <v>18</v>
      </c>
      <c r="B4" t="s">
        <v>19</v>
      </c>
      <c r="C4" t="s">
        <v>20</v>
      </c>
      <c r="D4" t="s">
        <v>21</v>
      </c>
      <c r="E4">
        <v>28217.405118018502</v>
      </c>
      <c r="F4" t="s">
        <v>22</v>
      </c>
      <c r="G4">
        <v>4.3499999999999996</v>
      </c>
      <c r="H4">
        <v>2238.7211385683381</v>
      </c>
      <c r="I4">
        <v>63170901.313254423</v>
      </c>
      <c r="L4" s="2" t="s">
        <v>150</v>
      </c>
      <c r="M4" s="3">
        <f>SUM(טבלה1[PPR]) / 1000000</f>
        <v>1826.8881157211006</v>
      </c>
      <c r="N4" s="4" t="s">
        <v>149</v>
      </c>
      <c r="O4" s="5" t="s">
        <v>4</v>
      </c>
    </row>
    <row r="5" spans="1:15" x14ac:dyDescent="0.3">
      <c r="A5" t="s">
        <v>23</v>
      </c>
      <c r="B5" t="s">
        <v>24</v>
      </c>
      <c r="C5" t="s">
        <v>11</v>
      </c>
      <c r="D5" t="s">
        <v>25</v>
      </c>
      <c r="E5">
        <v>19630.403149477101</v>
      </c>
      <c r="F5" t="s">
        <v>13</v>
      </c>
      <c r="G5">
        <v>4.5</v>
      </c>
      <c r="H5">
        <v>3162.277660168379</v>
      </c>
      <c r="I5">
        <v>62076785.339690432</v>
      </c>
      <c r="L5" s="6" t="s">
        <v>151</v>
      </c>
      <c r="M5" s="7">
        <f>SUM(טבלה2[PPR]) / 1000000</f>
        <v>1759.7583092426821</v>
      </c>
      <c r="N5" s="8" t="s">
        <v>149</v>
      </c>
      <c r="O5" s="9" t="s">
        <v>4</v>
      </c>
    </row>
    <row r="6" spans="1:15" ht="14.5" thickBot="1" x14ac:dyDescent="0.35">
      <c r="A6" t="s">
        <v>26</v>
      </c>
      <c r="B6" t="s">
        <v>27</v>
      </c>
      <c r="C6" t="s">
        <v>28</v>
      </c>
      <c r="D6" t="s">
        <v>17</v>
      </c>
      <c r="E6">
        <v>371168.58764379169</v>
      </c>
      <c r="F6" t="s">
        <v>29</v>
      </c>
      <c r="G6">
        <v>3.01</v>
      </c>
      <c r="H6">
        <v>102.3292992280754</v>
      </c>
      <c r="I6">
        <v>37981421.469063677</v>
      </c>
      <c r="L6" s="10" t="s">
        <v>152</v>
      </c>
      <c r="M6" s="11">
        <f>SUM(טבלה3[PPR]) / 1000000</f>
        <v>1796.5354467076638</v>
      </c>
      <c r="N6" s="12" t="s">
        <v>149</v>
      </c>
      <c r="O6" s="13" t="s">
        <v>4</v>
      </c>
    </row>
    <row r="7" spans="1:15" ht="14.5" thickBot="1" x14ac:dyDescent="0.35">
      <c r="A7" t="s">
        <v>30</v>
      </c>
      <c r="B7" t="s">
        <v>31</v>
      </c>
      <c r="C7" t="s">
        <v>32</v>
      </c>
      <c r="D7" t="s">
        <v>25</v>
      </c>
      <c r="E7">
        <v>17678.5777159141</v>
      </c>
      <c r="F7" t="s">
        <v>22</v>
      </c>
      <c r="G7">
        <v>4.07</v>
      </c>
      <c r="H7">
        <v>1174.89755493953</v>
      </c>
      <c r="I7">
        <v>20770517.73323594</v>
      </c>
      <c r="M7">
        <f>M4/M8</f>
        <v>5.7747724716413407</v>
      </c>
    </row>
    <row r="8" spans="1:15" ht="14.5" thickBot="1" x14ac:dyDescent="0.35">
      <c r="A8" t="s">
        <v>33</v>
      </c>
      <c r="B8" t="s">
        <v>34</v>
      </c>
      <c r="C8" t="s">
        <v>35</v>
      </c>
      <c r="D8" t="s">
        <v>36</v>
      </c>
      <c r="E8">
        <v>31036.2574972353</v>
      </c>
      <c r="F8" t="s">
        <v>22</v>
      </c>
      <c r="G8">
        <v>3.32</v>
      </c>
      <c r="H8">
        <v>208.9296130854039</v>
      </c>
      <c r="I8">
        <v>6484393.270516336</v>
      </c>
      <c r="L8" s="17" t="s">
        <v>154</v>
      </c>
      <c r="M8" s="16">
        <f>(SUM(טבלה1[tonnes]) * (1/0.1)^2) / 1000000</f>
        <v>316.35672655373924</v>
      </c>
      <c r="N8" s="14" t="s">
        <v>149</v>
      </c>
      <c r="O8" s="15" t="s">
        <v>4</v>
      </c>
    </row>
    <row r="9" spans="1:15" x14ac:dyDescent="0.3">
      <c r="A9" t="s">
        <v>37</v>
      </c>
      <c r="B9" t="s">
        <v>38</v>
      </c>
      <c r="C9" t="s">
        <v>16</v>
      </c>
      <c r="D9" t="s">
        <v>39</v>
      </c>
      <c r="E9">
        <v>4131.2952524605998</v>
      </c>
      <c r="F9" t="s">
        <v>40</v>
      </c>
      <c r="G9">
        <v>4.16</v>
      </c>
      <c r="H9">
        <v>1445.4397707459279</v>
      </c>
      <c r="I9">
        <v>5971538.4626003886</v>
      </c>
    </row>
    <row r="10" spans="1:15" x14ac:dyDescent="0.3">
      <c r="A10" t="s">
        <v>41</v>
      </c>
      <c r="B10" t="s">
        <v>42</v>
      </c>
      <c r="C10" t="s">
        <v>16</v>
      </c>
      <c r="D10" t="s">
        <v>25</v>
      </c>
      <c r="E10">
        <v>19776.396829687699</v>
      </c>
      <c r="F10" t="s">
        <v>29</v>
      </c>
      <c r="G10">
        <v>3.46</v>
      </c>
      <c r="H10">
        <v>288.40315031266061</v>
      </c>
      <c r="I10">
        <v>5703575.1475152448</v>
      </c>
    </row>
    <row r="11" spans="1:15" x14ac:dyDescent="0.3">
      <c r="A11" t="s">
        <v>43</v>
      </c>
      <c r="B11" t="s">
        <v>44</v>
      </c>
      <c r="C11" t="s">
        <v>45</v>
      </c>
      <c r="D11" t="s">
        <v>21</v>
      </c>
      <c r="E11">
        <v>5035.2871151325999</v>
      </c>
      <c r="F11" t="s">
        <v>46</v>
      </c>
      <c r="G11">
        <v>4.04</v>
      </c>
      <c r="H11">
        <v>1096.478196143185</v>
      </c>
      <c r="I11">
        <v>5521082.5330636157</v>
      </c>
    </row>
    <row r="12" spans="1:15" x14ac:dyDescent="0.3">
      <c r="A12" t="s">
        <v>47</v>
      </c>
      <c r="B12" t="s">
        <v>48</v>
      </c>
      <c r="C12" t="s">
        <v>49</v>
      </c>
      <c r="D12" t="s">
        <v>36</v>
      </c>
      <c r="E12">
        <v>1828.5279292139001</v>
      </c>
      <c r="F12" t="s">
        <v>22</v>
      </c>
      <c r="G12">
        <v>4.3600000000000003</v>
      </c>
      <c r="H12">
        <v>2290.8676527677749</v>
      </c>
      <c r="I12">
        <v>4188915.4852185668</v>
      </c>
    </row>
    <row r="13" spans="1:15" x14ac:dyDescent="0.3">
      <c r="A13" t="s">
        <v>50</v>
      </c>
      <c r="B13" t="s">
        <v>51</v>
      </c>
      <c r="C13" t="s">
        <v>32</v>
      </c>
      <c r="D13" t="s">
        <v>39</v>
      </c>
      <c r="E13">
        <v>10452.1275305293</v>
      </c>
      <c r="F13" t="s">
        <v>22</v>
      </c>
      <c r="G13">
        <v>3.55</v>
      </c>
      <c r="H13">
        <v>354.81338923357532</v>
      </c>
      <c r="I13">
        <v>3708554.7938086609</v>
      </c>
    </row>
    <row r="14" spans="1:15" x14ac:dyDescent="0.3">
      <c r="A14" t="s">
        <v>52</v>
      </c>
      <c r="B14" t="s">
        <v>53</v>
      </c>
      <c r="C14" t="s">
        <v>54</v>
      </c>
      <c r="D14" t="s">
        <v>12</v>
      </c>
      <c r="E14">
        <v>1613.3253421766001</v>
      </c>
      <c r="F14" t="s">
        <v>13</v>
      </c>
      <c r="G14">
        <v>4.3600000000000003</v>
      </c>
      <c r="H14">
        <v>2290.8676527677749</v>
      </c>
      <c r="I14">
        <v>3695914.839782875</v>
      </c>
    </row>
    <row r="15" spans="1:15" x14ac:dyDescent="0.3">
      <c r="A15" t="s">
        <v>55</v>
      </c>
      <c r="B15" t="s">
        <v>56</v>
      </c>
      <c r="C15" t="s">
        <v>45</v>
      </c>
      <c r="D15" t="s">
        <v>25</v>
      </c>
      <c r="E15">
        <v>6258.3307644070001</v>
      </c>
      <c r="F15" t="s">
        <v>29</v>
      </c>
      <c r="G15">
        <v>3.36</v>
      </c>
      <c r="H15">
        <v>229.08676527677719</v>
      </c>
      <c r="I15">
        <v>1433700.7508501399</v>
      </c>
    </row>
    <row r="16" spans="1:15" x14ac:dyDescent="0.3">
      <c r="A16" t="s">
        <v>57</v>
      </c>
      <c r="B16" t="s">
        <v>58</v>
      </c>
      <c r="C16" t="s">
        <v>32</v>
      </c>
      <c r="D16" t="s">
        <v>12</v>
      </c>
      <c r="E16">
        <v>2051.2859421484</v>
      </c>
      <c r="F16" t="s">
        <v>22</v>
      </c>
      <c r="G16">
        <v>3.84</v>
      </c>
      <c r="H16">
        <v>691.83097091893626</v>
      </c>
      <c r="I16">
        <v>1419143.1449888919</v>
      </c>
    </row>
    <row r="17" spans="1:9" x14ac:dyDescent="0.3">
      <c r="A17" t="s">
        <v>59</v>
      </c>
      <c r="B17" t="s">
        <v>60</v>
      </c>
      <c r="C17" t="s">
        <v>35</v>
      </c>
      <c r="D17" t="s">
        <v>36</v>
      </c>
      <c r="E17">
        <v>6883.9432224115999</v>
      </c>
      <c r="F17" t="s">
        <v>22</v>
      </c>
      <c r="G17">
        <v>3.29</v>
      </c>
      <c r="H17">
        <v>194.98445997580461</v>
      </c>
      <c r="I17">
        <v>1342261.9517260259</v>
      </c>
    </row>
    <row r="18" spans="1:9" x14ac:dyDescent="0.3">
      <c r="A18" t="s">
        <v>61</v>
      </c>
      <c r="B18" t="s">
        <v>62</v>
      </c>
      <c r="C18" t="s">
        <v>63</v>
      </c>
      <c r="D18" t="s">
        <v>39</v>
      </c>
      <c r="E18">
        <v>4989.7082909217997</v>
      </c>
      <c r="F18" t="s">
        <v>13</v>
      </c>
      <c r="G18">
        <v>3.31</v>
      </c>
      <c r="H18">
        <v>204.17379446695301</v>
      </c>
      <c r="I18">
        <v>1018767.675040719</v>
      </c>
    </row>
    <row r="19" spans="1:9" x14ac:dyDescent="0.3">
      <c r="A19" t="s">
        <v>64</v>
      </c>
      <c r="B19" t="s">
        <v>65</v>
      </c>
      <c r="C19" t="s">
        <v>54</v>
      </c>
      <c r="D19" t="s">
        <v>66</v>
      </c>
      <c r="E19">
        <v>1281.4791492730001</v>
      </c>
      <c r="F19" t="s">
        <v>13</v>
      </c>
      <c r="G19">
        <v>3.89</v>
      </c>
      <c r="H19">
        <v>776.24711662869197</v>
      </c>
      <c r="I19">
        <v>994744.49464295548</v>
      </c>
    </row>
    <row r="20" spans="1:9" x14ac:dyDescent="0.3">
      <c r="A20" t="s">
        <v>67</v>
      </c>
      <c r="B20" t="s">
        <v>68</v>
      </c>
      <c r="C20" t="s">
        <v>54</v>
      </c>
      <c r="D20" t="s">
        <v>39</v>
      </c>
      <c r="E20">
        <v>10415.923330592699</v>
      </c>
      <c r="F20" t="s">
        <v>13</v>
      </c>
      <c r="G20">
        <v>2.96</v>
      </c>
      <c r="H20">
        <v>91.201083935590972</v>
      </c>
      <c r="I20">
        <v>949943.49794006499</v>
      </c>
    </row>
    <row r="21" spans="1:9" x14ac:dyDescent="0.3">
      <c r="A21" t="s">
        <v>69</v>
      </c>
      <c r="B21" t="s">
        <v>70</v>
      </c>
      <c r="C21" t="s">
        <v>49</v>
      </c>
      <c r="D21" t="s">
        <v>36</v>
      </c>
      <c r="E21">
        <v>3521.7415846458998</v>
      </c>
      <c r="F21" t="s">
        <v>22</v>
      </c>
      <c r="G21">
        <v>3.26</v>
      </c>
      <c r="H21">
        <v>181.9700858609983</v>
      </c>
      <c r="I21">
        <v>640851.61853826244</v>
      </c>
    </row>
    <row r="22" spans="1:9" x14ac:dyDescent="0.3">
      <c r="A22" t="s">
        <v>71</v>
      </c>
      <c r="B22" t="s">
        <v>72</v>
      </c>
      <c r="C22" t="s">
        <v>54</v>
      </c>
      <c r="D22" t="s">
        <v>39</v>
      </c>
      <c r="E22">
        <v>791.68112513940002</v>
      </c>
      <c r="F22" t="s">
        <v>13</v>
      </c>
      <c r="G22">
        <v>3.79</v>
      </c>
      <c r="H22">
        <v>616.59500186148216</v>
      </c>
      <c r="I22">
        <v>488146.62482902867</v>
      </c>
    </row>
    <row r="23" spans="1:9" x14ac:dyDescent="0.3">
      <c r="A23" t="s">
        <v>73</v>
      </c>
      <c r="B23" t="s">
        <v>74</v>
      </c>
      <c r="C23" t="s">
        <v>16</v>
      </c>
      <c r="D23" t="s">
        <v>25</v>
      </c>
      <c r="E23">
        <v>3260.2154852501999</v>
      </c>
      <c r="F23" t="s">
        <v>13</v>
      </c>
      <c r="G23">
        <v>3.06</v>
      </c>
      <c r="H23">
        <v>114.8153621496883</v>
      </c>
      <c r="I23">
        <v>374322.82162502338</v>
      </c>
    </row>
    <row r="24" spans="1:9" x14ac:dyDescent="0.3">
      <c r="A24" t="s">
        <v>75</v>
      </c>
      <c r="B24" t="s">
        <v>76</v>
      </c>
      <c r="C24" t="s">
        <v>77</v>
      </c>
      <c r="D24" t="s">
        <v>78</v>
      </c>
      <c r="E24">
        <v>19575.786676612501</v>
      </c>
      <c r="F24" t="s">
        <v>79</v>
      </c>
      <c r="G24">
        <v>2</v>
      </c>
      <c r="H24">
        <v>10</v>
      </c>
      <c r="I24">
        <v>195757.86676612499</v>
      </c>
    </row>
    <row r="25" spans="1:9" x14ac:dyDescent="0.3">
      <c r="A25" t="s">
        <v>80</v>
      </c>
      <c r="B25" t="s">
        <v>81</v>
      </c>
      <c r="C25" t="s">
        <v>35</v>
      </c>
      <c r="D25" t="s">
        <v>36</v>
      </c>
      <c r="E25">
        <v>43.469781102100001</v>
      </c>
      <c r="F25" t="s">
        <v>22</v>
      </c>
      <c r="G25">
        <v>4.42</v>
      </c>
      <c r="H25">
        <v>2630.2679918953809</v>
      </c>
      <c r="I25">
        <v>114337.1738475524</v>
      </c>
    </row>
    <row r="26" spans="1:9" x14ac:dyDescent="0.3">
      <c r="A26" t="s">
        <v>82</v>
      </c>
      <c r="B26" t="s">
        <v>83</v>
      </c>
      <c r="C26" t="s">
        <v>20</v>
      </c>
      <c r="D26" t="s">
        <v>21</v>
      </c>
      <c r="E26">
        <v>38.452697180800001</v>
      </c>
      <c r="F26" t="s">
        <v>22</v>
      </c>
      <c r="G26">
        <v>4.18</v>
      </c>
      <c r="H26">
        <v>1513.5612484362071</v>
      </c>
      <c r="I26">
        <v>58200.512350711077</v>
      </c>
    </row>
    <row r="27" spans="1:9" x14ac:dyDescent="0.3">
      <c r="A27" t="s">
        <v>84</v>
      </c>
      <c r="B27" t="s">
        <v>85</v>
      </c>
      <c r="C27" t="s">
        <v>20</v>
      </c>
      <c r="D27" t="s">
        <v>21</v>
      </c>
      <c r="E27">
        <v>147.82340584569999</v>
      </c>
      <c r="F27" t="s">
        <v>22</v>
      </c>
      <c r="G27">
        <v>3.47</v>
      </c>
      <c r="H27">
        <v>295.12092266663871</v>
      </c>
      <c r="I27">
        <v>43625.779924907984</v>
      </c>
    </row>
    <row r="28" spans="1:9" x14ac:dyDescent="0.3">
      <c r="A28" t="s">
        <v>86</v>
      </c>
      <c r="B28" t="s">
        <v>87</v>
      </c>
      <c r="C28" t="s">
        <v>16</v>
      </c>
      <c r="D28" t="s">
        <v>21</v>
      </c>
      <c r="E28">
        <v>91.050091303199991</v>
      </c>
      <c r="F28" t="s">
        <v>29</v>
      </c>
      <c r="G28">
        <v>3.63</v>
      </c>
      <c r="H28">
        <v>426.57951880159249</v>
      </c>
      <c r="I28">
        <v>38840.104134960122</v>
      </c>
    </row>
    <row r="29" spans="1:9" x14ac:dyDescent="0.3">
      <c r="A29" t="s">
        <v>88</v>
      </c>
      <c r="B29" t="s">
        <v>89</v>
      </c>
      <c r="C29" t="s">
        <v>11</v>
      </c>
      <c r="D29" t="s">
        <v>12</v>
      </c>
      <c r="E29">
        <v>18.109419097</v>
      </c>
      <c r="F29" t="s">
        <v>13</v>
      </c>
      <c r="G29">
        <v>4.32</v>
      </c>
      <c r="H29">
        <v>2089.2961308540412</v>
      </c>
      <c r="I29">
        <v>37835.939251376367</v>
      </c>
    </row>
    <row r="30" spans="1:9" x14ac:dyDescent="0.3">
      <c r="A30" t="s">
        <v>90</v>
      </c>
      <c r="B30" t="s">
        <v>91</v>
      </c>
      <c r="C30" t="s">
        <v>92</v>
      </c>
      <c r="D30" t="s">
        <v>93</v>
      </c>
      <c r="E30">
        <v>349.4635406283</v>
      </c>
      <c r="F30" t="s">
        <v>94</v>
      </c>
      <c r="G30">
        <v>2.69</v>
      </c>
      <c r="H30">
        <v>48.977881936844611</v>
      </c>
      <c r="I30">
        <v>17115.98403412458</v>
      </c>
    </row>
    <row r="31" spans="1:9" x14ac:dyDescent="0.3">
      <c r="A31" t="s">
        <v>95</v>
      </c>
      <c r="B31" t="s">
        <v>96</v>
      </c>
      <c r="C31" t="s">
        <v>11</v>
      </c>
      <c r="D31" t="s">
        <v>39</v>
      </c>
      <c r="E31">
        <v>128.60675171</v>
      </c>
      <c r="F31" t="s">
        <v>13</v>
      </c>
      <c r="G31">
        <v>3.06</v>
      </c>
      <c r="H31">
        <v>114.8153621496883</v>
      </c>
      <c r="I31">
        <v>14766.030772478691</v>
      </c>
    </row>
    <row r="32" spans="1:9" x14ac:dyDescent="0.3">
      <c r="A32" t="s">
        <v>97</v>
      </c>
      <c r="B32" t="s">
        <v>98</v>
      </c>
      <c r="C32" t="s">
        <v>20</v>
      </c>
      <c r="D32" t="s">
        <v>12</v>
      </c>
      <c r="E32">
        <v>12.439569392799999</v>
      </c>
      <c r="F32" t="s">
        <v>22</v>
      </c>
      <c r="G32">
        <v>4.03</v>
      </c>
      <c r="H32">
        <v>1071.5193052376071</v>
      </c>
      <c r="I32">
        <v>13329.238753228061</v>
      </c>
    </row>
    <row r="33" spans="1:9" x14ac:dyDescent="0.3">
      <c r="A33" t="s">
        <v>99</v>
      </c>
      <c r="B33" t="s">
        <v>100</v>
      </c>
      <c r="C33" t="s">
        <v>101</v>
      </c>
      <c r="D33" t="s">
        <v>102</v>
      </c>
      <c r="E33">
        <v>5.0555295438999996</v>
      </c>
      <c r="F33" t="s">
        <v>13</v>
      </c>
      <c r="G33">
        <v>4.37</v>
      </c>
      <c r="H33">
        <v>2344.2288153199229</v>
      </c>
      <c r="I33">
        <v>11851.31803351157</v>
      </c>
    </row>
    <row r="34" spans="1:9" x14ac:dyDescent="0.3">
      <c r="A34" t="s">
        <v>103</v>
      </c>
      <c r="B34" t="s">
        <v>104</v>
      </c>
      <c r="C34" t="s">
        <v>35</v>
      </c>
      <c r="D34" t="s">
        <v>36</v>
      </c>
      <c r="E34">
        <v>69.377720831800005</v>
      </c>
      <c r="F34" t="s">
        <v>22</v>
      </c>
      <c r="G34">
        <v>3.22</v>
      </c>
      <c r="H34">
        <v>165.95869074375611</v>
      </c>
      <c r="I34">
        <v>11513.835716031341</v>
      </c>
    </row>
    <row r="35" spans="1:9" x14ac:dyDescent="0.3">
      <c r="A35" t="s">
        <v>105</v>
      </c>
      <c r="B35" t="s">
        <v>106</v>
      </c>
      <c r="C35" t="s">
        <v>35</v>
      </c>
      <c r="D35" t="s">
        <v>36</v>
      </c>
      <c r="E35">
        <v>59.473369503299999</v>
      </c>
      <c r="F35" t="s">
        <v>22</v>
      </c>
      <c r="G35">
        <v>3.21</v>
      </c>
      <c r="H35">
        <v>162.18100973589301</v>
      </c>
      <c r="I35">
        <v>9645.4511184410585</v>
      </c>
    </row>
    <row r="36" spans="1:9" x14ac:dyDescent="0.3">
      <c r="A36" t="s">
        <v>107</v>
      </c>
      <c r="B36" t="s">
        <v>108</v>
      </c>
      <c r="C36" t="s">
        <v>32</v>
      </c>
      <c r="D36" t="s">
        <v>39</v>
      </c>
      <c r="E36">
        <v>3.0005940299999998</v>
      </c>
      <c r="F36" t="s">
        <v>22</v>
      </c>
      <c r="G36">
        <v>4.37</v>
      </c>
      <c r="H36">
        <v>2344.2288153199229</v>
      </c>
      <c r="I36">
        <v>7034.078988202933</v>
      </c>
    </row>
    <row r="37" spans="1:9" x14ac:dyDescent="0.3">
      <c r="A37" t="s">
        <v>109</v>
      </c>
      <c r="B37" t="s">
        <v>110</v>
      </c>
      <c r="C37" t="s">
        <v>32</v>
      </c>
      <c r="D37" t="s">
        <v>12</v>
      </c>
      <c r="E37">
        <v>2.4441766533</v>
      </c>
      <c r="F37" t="s">
        <v>22</v>
      </c>
      <c r="G37">
        <v>4.3099999999999996</v>
      </c>
      <c r="H37">
        <v>2041.737944669527</v>
      </c>
      <c r="I37">
        <v>4990.3682165179862</v>
      </c>
    </row>
    <row r="38" spans="1:9" x14ac:dyDescent="0.3">
      <c r="A38" t="s">
        <v>111</v>
      </c>
      <c r="B38" t="s">
        <v>112</v>
      </c>
      <c r="C38" t="s">
        <v>32</v>
      </c>
      <c r="D38" t="s">
        <v>12</v>
      </c>
      <c r="E38">
        <v>1.1718510317999999</v>
      </c>
      <c r="F38" t="s">
        <v>22</v>
      </c>
      <c r="G38">
        <v>4.42</v>
      </c>
      <c r="H38">
        <v>2630.2679918953809</v>
      </c>
      <c r="I38">
        <v>3082.2822602131159</v>
      </c>
    </row>
    <row r="39" spans="1:9" x14ac:dyDescent="0.3">
      <c r="A39" t="s">
        <v>113</v>
      </c>
      <c r="B39" t="s">
        <v>114</v>
      </c>
      <c r="C39" t="s">
        <v>20</v>
      </c>
      <c r="D39" t="s">
        <v>25</v>
      </c>
      <c r="E39">
        <v>14.017114897400001</v>
      </c>
      <c r="F39" t="s">
        <v>22</v>
      </c>
      <c r="G39">
        <v>3.25</v>
      </c>
      <c r="H39">
        <v>177.82794100389231</v>
      </c>
      <c r="I39">
        <v>2492.6346810196269</v>
      </c>
    </row>
    <row r="40" spans="1:9" x14ac:dyDescent="0.3">
      <c r="A40" t="s">
        <v>115</v>
      </c>
      <c r="B40" t="s">
        <v>116</v>
      </c>
      <c r="C40" t="s">
        <v>35</v>
      </c>
      <c r="D40" t="s">
        <v>36</v>
      </c>
      <c r="E40">
        <v>1.0075600258999999</v>
      </c>
      <c r="F40" t="s">
        <v>13</v>
      </c>
      <c r="G40">
        <v>4.38</v>
      </c>
      <c r="H40">
        <v>2398.83291901949</v>
      </c>
      <c r="I40">
        <v>2416.96815801705</v>
      </c>
    </row>
    <row r="41" spans="1:9" x14ac:dyDescent="0.3">
      <c r="A41" t="s">
        <v>117</v>
      </c>
      <c r="B41" t="s">
        <v>118</v>
      </c>
      <c r="C41" t="s">
        <v>32</v>
      </c>
      <c r="D41" t="s">
        <v>21</v>
      </c>
      <c r="E41">
        <v>6.1995933017000002</v>
      </c>
      <c r="F41" t="s">
        <v>22</v>
      </c>
      <c r="G41">
        <v>3.55</v>
      </c>
      <c r="H41">
        <v>354.81338923357532</v>
      </c>
      <c r="I41">
        <v>2199.6987112459492</v>
      </c>
    </row>
    <row r="42" spans="1:9" x14ac:dyDescent="0.3">
      <c r="A42" t="s">
        <v>119</v>
      </c>
      <c r="B42" t="s">
        <v>120</v>
      </c>
      <c r="C42" t="s">
        <v>101</v>
      </c>
      <c r="D42" t="s">
        <v>102</v>
      </c>
      <c r="E42">
        <v>0.58525818789999995</v>
      </c>
      <c r="F42" t="s">
        <v>40</v>
      </c>
      <c r="G42">
        <v>4.57</v>
      </c>
      <c r="H42">
        <v>3715.3522909717281</v>
      </c>
      <c r="I42">
        <v>2174.4403492242268</v>
      </c>
    </row>
    <row r="43" spans="1:9" x14ac:dyDescent="0.3">
      <c r="A43" t="s">
        <v>121</v>
      </c>
      <c r="B43" t="s">
        <v>122</v>
      </c>
      <c r="C43" t="s">
        <v>20</v>
      </c>
      <c r="D43" t="s">
        <v>66</v>
      </c>
      <c r="E43">
        <v>2.7987005796000002</v>
      </c>
      <c r="F43" t="s">
        <v>22</v>
      </c>
      <c r="G43">
        <v>3.87</v>
      </c>
      <c r="H43">
        <v>741.31024130091771</v>
      </c>
      <c r="I43">
        <v>2074.7054019922939</v>
      </c>
    </row>
    <row r="44" spans="1:9" x14ac:dyDescent="0.3">
      <c r="A44" t="s">
        <v>123</v>
      </c>
      <c r="B44" t="s">
        <v>124</v>
      </c>
      <c r="C44" t="s">
        <v>20</v>
      </c>
      <c r="D44" t="s">
        <v>39</v>
      </c>
      <c r="E44">
        <v>3.8318923302000001</v>
      </c>
      <c r="F44" t="s">
        <v>22</v>
      </c>
      <c r="G44">
        <v>3.69</v>
      </c>
      <c r="H44">
        <v>489.77881936844608</v>
      </c>
      <c r="I44">
        <v>1876.7797014323601</v>
      </c>
    </row>
    <row r="45" spans="1:9" x14ac:dyDescent="0.3">
      <c r="A45" t="s">
        <v>125</v>
      </c>
      <c r="B45" t="s">
        <v>126</v>
      </c>
      <c r="C45" t="s">
        <v>35</v>
      </c>
      <c r="D45" t="s">
        <v>36</v>
      </c>
      <c r="E45">
        <v>0.90573928609999999</v>
      </c>
      <c r="F45" t="s">
        <v>22</v>
      </c>
      <c r="G45">
        <v>4.08</v>
      </c>
      <c r="H45">
        <v>1202.2644346174129</v>
      </c>
      <c r="I45">
        <v>1088.938130713796</v>
      </c>
    </row>
    <row r="46" spans="1:9" x14ac:dyDescent="0.3">
      <c r="A46" t="s">
        <v>127</v>
      </c>
      <c r="B46" t="s">
        <v>128</v>
      </c>
      <c r="C46" t="s">
        <v>129</v>
      </c>
      <c r="D46" t="s">
        <v>93</v>
      </c>
      <c r="E46">
        <v>3.1974148292</v>
      </c>
      <c r="F46" t="s">
        <v>94</v>
      </c>
      <c r="G46">
        <v>2.87</v>
      </c>
      <c r="H46">
        <v>74.131024130091774</v>
      </c>
      <c r="I46">
        <v>237.02763585733851</v>
      </c>
    </row>
    <row r="47" spans="1:9" x14ac:dyDescent="0.3">
      <c r="A47" t="s">
        <v>130</v>
      </c>
      <c r="B47" t="s">
        <v>131</v>
      </c>
      <c r="C47" t="s">
        <v>20</v>
      </c>
      <c r="D47" t="s">
        <v>39</v>
      </c>
      <c r="E47">
        <v>1.3999054401</v>
      </c>
      <c r="F47" t="s">
        <v>22</v>
      </c>
      <c r="G47">
        <v>3.11</v>
      </c>
      <c r="H47">
        <v>128.8249551693134</v>
      </c>
      <c r="I47">
        <v>180.34275556216039</v>
      </c>
    </row>
    <row r="48" spans="1:9" x14ac:dyDescent="0.3">
      <c r="A48" t="s">
        <v>132</v>
      </c>
      <c r="B48" t="s">
        <v>133</v>
      </c>
      <c r="C48" t="s">
        <v>11</v>
      </c>
      <c r="D48" t="s">
        <v>39</v>
      </c>
      <c r="E48">
        <v>1.6790375377</v>
      </c>
      <c r="F48" t="s">
        <v>13</v>
      </c>
      <c r="G48">
        <v>2.38</v>
      </c>
      <c r="H48">
        <v>23.9883291901949</v>
      </c>
      <c r="I48">
        <v>40.277305177041882</v>
      </c>
    </row>
    <row r="49" spans="1:9" x14ac:dyDescent="0.3">
      <c r="A49" t="s">
        <v>134</v>
      </c>
      <c r="B49" t="s">
        <v>135</v>
      </c>
      <c r="C49" t="s">
        <v>129</v>
      </c>
      <c r="D49" t="s">
        <v>93</v>
      </c>
      <c r="E49">
        <v>0.25015077120000001</v>
      </c>
      <c r="F49" t="s">
        <v>94</v>
      </c>
      <c r="G49">
        <v>3.1</v>
      </c>
      <c r="H49">
        <v>125.8925411794168</v>
      </c>
      <c r="I49">
        <v>31.492116264358859</v>
      </c>
    </row>
    <row r="50" spans="1:9" x14ac:dyDescent="0.3">
      <c r="A50" t="s">
        <v>136</v>
      </c>
      <c r="B50" t="s">
        <v>137</v>
      </c>
      <c r="C50" t="s">
        <v>77</v>
      </c>
      <c r="D50" t="s">
        <v>78</v>
      </c>
      <c r="E50">
        <v>0.41946425580000002</v>
      </c>
      <c r="F50" t="s">
        <v>79</v>
      </c>
      <c r="G50">
        <v>2</v>
      </c>
      <c r="H50">
        <v>10</v>
      </c>
      <c r="I50">
        <v>4.194642558</v>
      </c>
    </row>
    <row r="51" spans="1:9" x14ac:dyDescent="0.3">
      <c r="A51" t="s">
        <v>138</v>
      </c>
      <c r="B51" t="s">
        <v>139</v>
      </c>
      <c r="C51" t="s">
        <v>77</v>
      </c>
      <c r="D51" t="s">
        <v>78</v>
      </c>
      <c r="E51">
        <v>5.4012905599999987E-2</v>
      </c>
      <c r="F51" t="s">
        <v>94</v>
      </c>
      <c r="G51">
        <v>2</v>
      </c>
      <c r="H51">
        <v>10</v>
      </c>
      <c r="I51">
        <v>0.54012905599999994</v>
      </c>
    </row>
    <row r="52" spans="1:9" x14ac:dyDescent="0.3">
      <c r="A52" t="s">
        <v>140</v>
      </c>
      <c r="B52" t="s">
        <v>141</v>
      </c>
      <c r="C52" t="s">
        <v>45</v>
      </c>
      <c r="D52" t="s">
        <v>142</v>
      </c>
      <c r="E52">
        <v>1.1427140000000001E-4</v>
      </c>
      <c r="F52" t="s">
        <v>40</v>
      </c>
      <c r="G52">
        <v>4.45</v>
      </c>
      <c r="H52">
        <v>2818.3829312644548</v>
      </c>
      <c r="I52">
        <v>0.32206056329169302</v>
      </c>
    </row>
    <row r="53" spans="1:9" x14ac:dyDescent="0.3">
      <c r="A53" t="s">
        <v>143</v>
      </c>
      <c r="B53" t="s">
        <v>144</v>
      </c>
      <c r="C53" t="s">
        <v>32</v>
      </c>
      <c r="D53" t="s">
        <v>21</v>
      </c>
      <c r="E53">
        <v>1.72981E-4</v>
      </c>
      <c r="F53" t="s">
        <v>22</v>
      </c>
      <c r="G53">
        <v>3.79</v>
      </c>
      <c r="H53">
        <v>616.59500186148216</v>
      </c>
      <c r="I53">
        <v>0.10665922001700109</v>
      </c>
    </row>
    <row r="54" spans="1:9" x14ac:dyDescent="0.3">
      <c r="A54" t="s">
        <v>145</v>
      </c>
      <c r="B54" t="s">
        <v>146</v>
      </c>
      <c r="C54" t="s">
        <v>20</v>
      </c>
      <c r="D54" t="s">
        <v>66</v>
      </c>
      <c r="E54">
        <v>9.5510100000000006E-5</v>
      </c>
      <c r="F54" t="s">
        <v>22</v>
      </c>
      <c r="G54">
        <v>3.81</v>
      </c>
      <c r="H54">
        <v>645.6542290346556</v>
      </c>
      <c r="I54">
        <v>6.1666499980522857E-2</v>
      </c>
    </row>
    <row r="55" spans="1:9" x14ac:dyDescent="0.3">
      <c r="A55" t="s">
        <v>147</v>
      </c>
      <c r="B55" t="s">
        <v>148</v>
      </c>
      <c r="C55" t="s">
        <v>77</v>
      </c>
      <c r="D55" t="s">
        <v>39</v>
      </c>
      <c r="E55">
        <v>1.94153E-4</v>
      </c>
      <c r="F55" t="s">
        <v>22</v>
      </c>
      <c r="G55">
        <v>2</v>
      </c>
      <c r="H55">
        <v>10</v>
      </c>
      <c r="I55">
        <v>1.9415299999999999E-3</v>
      </c>
    </row>
  </sheetData>
  <mergeCells count="1">
    <mergeCell ref="L3:O3"/>
  </mergeCells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G17" sqref="G17"/>
    </sheetView>
  </sheetViews>
  <sheetFormatPr defaultRowHeight="14" x14ac:dyDescent="0.3"/>
  <cols>
    <col min="1" max="1" width="18.9140625" customWidth="1"/>
    <col min="2" max="2" width="8.75" customWidth="1"/>
    <col min="3" max="3" width="10.75" customWidth="1"/>
  </cols>
  <sheetData>
    <row r="1" spans="1:5" x14ac:dyDescent="0.3">
      <c r="A1" s="1" t="s">
        <v>3</v>
      </c>
      <c r="B1" s="1" t="s">
        <v>4</v>
      </c>
      <c r="C1" s="1" t="s">
        <v>6</v>
      </c>
      <c r="D1" s="1" t="s">
        <v>7</v>
      </c>
      <c r="E1" s="1" t="s">
        <v>8</v>
      </c>
    </row>
    <row r="2" spans="1:5" x14ac:dyDescent="0.3">
      <c r="A2" t="s">
        <v>12</v>
      </c>
      <c r="B2">
        <v>989524.47977691551</v>
      </c>
      <c r="C2">
        <v>4.0899263480361467</v>
      </c>
      <c r="D2">
        <v>1230.0601473280151</v>
      </c>
      <c r="E2">
        <v>1217174627.37907</v>
      </c>
    </row>
    <row r="3" spans="1:5" x14ac:dyDescent="0.3">
      <c r="A3" t="s">
        <v>17</v>
      </c>
      <c r="B3">
        <v>1978305.5780906109</v>
      </c>
      <c r="C3">
        <v>3.3105808066513411</v>
      </c>
      <c r="D3">
        <v>204.4470303327503</v>
      </c>
      <c r="E3">
        <v>404458700.5313403</v>
      </c>
    </row>
    <row r="4" spans="1:5" x14ac:dyDescent="0.3">
      <c r="A4" t="s">
        <v>21</v>
      </c>
      <c r="B4">
        <v>33536.218193763503</v>
      </c>
      <c r="C4">
        <v>4.2972785992627536</v>
      </c>
      <c r="D4">
        <v>1982.798580244897</v>
      </c>
      <c r="E4">
        <v>66495565.821377367</v>
      </c>
    </row>
    <row r="5" spans="1:5" x14ac:dyDescent="0.3">
      <c r="A5" t="s">
        <v>25</v>
      </c>
      <c r="B5">
        <v>66617.941059633493</v>
      </c>
      <c r="C5">
        <v>3.8993214253093811</v>
      </c>
      <c r="D5">
        <v>793.08808505186482</v>
      </c>
      <c r="E5">
        <v>52833895.305082723</v>
      </c>
    </row>
    <row r="6" spans="1:5" x14ac:dyDescent="0.3">
      <c r="A6" t="s">
        <v>36</v>
      </c>
      <c r="B6">
        <v>43444.704404255899</v>
      </c>
      <c r="C6">
        <v>3.3549856114212879</v>
      </c>
      <c r="D6">
        <v>226.4569279071049</v>
      </c>
      <c r="E6">
        <v>9838354.2932200599</v>
      </c>
    </row>
    <row r="7" spans="1:5" x14ac:dyDescent="0.3">
      <c r="A7" t="s">
        <v>39</v>
      </c>
      <c r="B7">
        <v>30919.253904844802</v>
      </c>
      <c r="C7">
        <v>3.3981388883171681</v>
      </c>
      <c r="D7">
        <v>250.11451054386819</v>
      </c>
      <c r="E7">
        <v>7733354.0567918438</v>
      </c>
    </row>
    <row r="8" spans="1:5" x14ac:dyDescent="0.3">
      <c r="A8" t="s">
        <v>66</v>
      </c>
      <c r="B8">
        <v>1284.2779453626999</v>
      </c>
      <c r="C8">
        <v>3.8899564100180948</v>
      </c>
      <c r="D8">
        <v>776.1692088929251</v>
      </c>
      <c r="E8">
        <v>996816.99685079826</v>
      </c>
    </row>
    <row r="9" spans="1:5" x14ac:dyDescent="0.3">
      <c r="A9" t="s">
        <v>78</v>
      </c>
      <c r="B9">
        <v>19576.260153773899</v>
      </c>
      <c r="C9">
        <v>2</v>
      </c>
      <c r="D9">
        <v>10</v>
      </c>
      <c r="E9">
        <v>195762.60153773901</v>
      </c>
    </row>
    <row r="10" spans="1:5" x14ac:dyDescent="0.3">
      <c r="A10" t="s">
        <v>93</v>
      </c>
      <c r="B10">
        <v>352.91110622870002</v>
      </c>
      <c r="C10">
        <v>2.6919214370799902</v>
      </c>
      <c r="D10">
        <v>49.195053485803143</v>
      </c>
      <c r="E10">
        <v>17361.480746654848</v>
      </c>
    </row>
    <row r="11" spans="1:5" x14ac:dyDescent="0.3">
      <c r="A11" t="s">
        <v>102</v>
      </c>
      <c r="B11">
        <v>5.6407877317999997</v>
      </c>
      <c r="C11">
        <v>4.3907509381925722</v>
      </c>
      <c r="D11">
        <v>2458.9570222725929</v>
      </c>
      <c r="E11">
        <v>13870.454604258701</v>
      </c>
    </row>
    <row r="12" spans="1:5" x14ac:dyDescent="0.3">
      <c r="A12" t="s">
        <v>142</v>
      </c>
      <c r="B12">
        <v>1.1427140000000001E-4</v>
      </c>
      <c r="C12">
        <v>4.45</v>
      </c>
      <c r="D12">
        <v>2818.3829312644548</v>
      </c>
      <c r="E12">
        <v>0.32206056329169302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I11" sqref="I11"/>
    </sheetView>
  </sheetViews>
  <sheetFormatPr defaultRowHeight="14" x14ac:dyDescent="0.3"/>
  <cols>
    <col min="1" max="1" width="17.6640625" customWidth="1"/>
    <col min="2" max="2" width="8.75" customWidth="1"/>
    <col min="3" max="3" width="10.75" customWidth="1"/>
    <col min="8" max="8" width="10.83203125" bestFit="1" customWidth="1"/>
  </cols>
  <sheetData>
    <row r="1" spans="1:5" x14ac:dyDescent="0.3">
      <c r="A1" s="1" t="s">
        <v>2</v>
      </c>
      <c r="B1" s="1" t="s">
        <v>4</v>
      </c>
      <c r="C1" s="1" t="s">
        <v>6</v>
      </c>
      <c r="D1" s="1" t="s">
        <v>7</v>
      </c>
      <c r="E1" s="1" t="s">
        <v>8</v>
      </c>
    </row>
    <row r="2" spans="1:5" x14ac:dyDescent="0.3">
      <c r="A2" t="s">
        <v>11</v>
      </c>
      <c r="B2">
        <v>1005604.501834237</v>
      </c>
      <c r="C2">
        <v>4.0978731691582393</v>
      </c>
      <c r="D2">
        <v>1252.7752625223891</v>
      </c>
      <c r="E2">
        <v>1259796443.779083</v>
      </c>
    </row>
    <row r="3" spans="1:5" x14ac:dyDescent="0.3">
      <c r="A3" t="s">
        <v>16</v>
      </c>
      <c r="B3">
        <v>1634395.948105521</v>
      </c>
      <c r="C3">
        <v>3.3823152380029011</v>
      </c>
      <c r="D3">
        <v>241.16553232614839</v>
      </c>
      <c r="E3">
        <v>394159968.85656798</v>
      </c>
    </row>
    <row r="4" spans="1:5" x14ac:dyDescent="0.3">
      <c r="A4" t="s">
        <v>20</v>
      </c>
      <c r="B4">
        <v>28438.168499195199</v>
      </c>
      <c r="C4">
        <v>4.344316462264449</v>
      </c>
      <c r="D4">
        <v>2209.6142511034982</v>
      </c>
      <c r="E4">
        <v>62837382.391104303</v>
      </c>
    </row>
    <row r="5" spans="1:5" x14ac:dyDescent="0.3">
      <c r="A5" t="s">
        <v>28</v>
      </c>
      <c r="B5">
        <v>371168.58764379169</v>
      </c>
      <c r="C5">
        <v>3.01</v>
      </c>
      <c r="D5">
        <v>102.3292992280755</v>
      </c>
      <c r="E5">
        <v>37981421.469063707</v>
      </c>
    </row>
    <row r="6" spans="1:5" x14ac:dyDescent="0.3">
      <c r="A6" t="s">
        <v>32</v>
      </c>
      <c r="B6">
        <v>30194.807576589599</v>
      </c>
      <c r="C6">
        <v>3.8743296359459261</v>
      </c>
      <c r="D6">
        <v>748.73758781239223</v>
      </c>
      <c r="E6">
        <v>22607987.389355041</v>
      </c>
    </row>
    <row r="7" spans="1:5" x14ac:dyDescent="0.3">
      <c r="A7" t="s">
        <v>35</v>
      </c>
      <c r="B7">
        <v>38094.4348903961</v>
      </c>
      <c r="C7">
        <v>3.3155262493013988</v>
      </c>
      <c r="D7">
        <v>206.78843636583841</v>
      </c>
      <c r="E7">
        <v>7877488.6252252487</v>
      </c>
    </row>
    <row r="8" spans="1:5" x14ac:dyDescent="0.3">
      <c r="A8" t="s">
        <v>45</v>
      </c>
      <c r="B8">
        <v>11293.617993811</v>
      </c>
      <c r="C8">
        <v>3.6631796687936822</v>
      </c>
      <c r="D8">
        <v>460.44702235396801</v>
      </c>
      <c r="E8">
        <v>5200112.7768534683</v>
      </c>
    </row>
    <row r="9" spans="1:5" x14ac:dyDescent="0.3">
      <c r="A9" t="s">
        <v>54</v>
      </c>
      <c r="B9">
        <v>14102.408947181701</v>
      </c>
      <c r="C9">
        <v>3.2512641689175878</v>
      </c>
      <c r="D9">
        <v>178.34632672987851</v>
      </c>
      <c r="E9">
        <v>2515112.8337724302</v>
      </c>
    </row>
    <row r="10" spans="1:5" x14ac:dyDescent="0.3">
      <c r="A10" t="s">
        <v>49</v>
      </c>
      <c r="B10">
        <v>5350.2695138598001</v>
      </c>
      <c r="C10">
        <v>3.635940074967221</v>
      </c>
      <c r="D10">
        <v>432.45415581802752</v>
      </c>
      <c r="E10">
        <v>2313746.2860151678</v>
      </c>
    </row>
    <row r="11" spans="1:5" x14ac:dyDescent="0.3">
      <c r="A11" t="s">
        <v>63</v>
      </c>
      <c r="B11">
        <v>4989.7082909217997</v>
      </c>
      <c r="C11">
        <v>3.31</v>
      </c>
      <c r="D11">
        <v>204.17379446695301</v>
      </c>
      <c r="E11">
        <v>1018767.675040719</v>
      </c>
    </row>
    <row r="12" spans="1:5" x14ac:dyDescent="0.3">
      <c r="A12" t="s">
        <v>77</v>
      </c>
      <c r="B12">
        <v>19576.260347926898</v>
      </c>
      <c r="C12">
        <v>2</v>
      </c>
      <c r="D12">
        <v>10</v>
      </c>
      <c r="E12">
        <v>195762.60347926899</v>
      </c>
    </row>
    <row r="13" spans="1:5" x14ac:dyDescent="0.3">
      <c r="A13" t="s">
        <v>92</v>
      </c>
      <c r="B13">
        <v>349.4635406283</v>
      </c>
      <c r="C13">
        <v>2.69</v>
      </c>
      <c r="D13">
        <v>48.977881936844611</v>
      </c>
      <c r="E13">
        <v>17115.98403412458</v>
      </c>
    </row>
    <row r="14" spans="1:5" x14ac:dyDescent="0.3">
      <c r="A14" t="s">
        <v>101</v>
      </c>
      <c r="B14">
        <v>5.6407877317999997</v>
      </c>
      <c r="C14">
        <v>4.3907509381925722</v>
      </c>
      <c r="D14">
        <v>2458.9570222725929</v>
      </c>
      <c r="E14">
        <v>13870.454604258701</v>
      </c>
    </row>
    <row r="15" spans="1:5" x14ac:dyDescent="0.3">
      <c r="A15" t="s">
        <v>129</v>
      </c>
      <c r="B15">
        <v>3.4475656003999999</v>
      </c>
      <c r="C15">
        <v>2.8866884938663171</v>
      </c>
      <c r="D15">
        <v>77.035072186930876</v>
      </c>
      <c r="E15">
        <v>265.5834648959937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Species</vt:lpstr>
      <vt:lpstr>Commercial Groups</vt:lpstr>
      <vt:lpstr>Functional 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2026-01-28T21:00:04Z</dcterms:created>
  <dcterms:modified xsi:type="dcterms:W3CDTF">2026-01-28T22:49:15Z</dcterms:modified>
</cp:coreProperties>
</file>