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TL fix\"/>
    </mc:Choice>
  </mc:AlternateContent>
  <xr:revisionPtr revIDLastSave="0" documentId="13_ncr:1_{FDC7E445-B403-4871-8C97-D11EA50D203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</calcChain>
</file>

<file path=xl/sharedStrings.xml><?xml version="1.0" encoding="utf-8"?>
<sst xmlns="http://schemas.openxmlformats.org/spreadsheetml/2006/main" count="178" uniqueCount="128">
  <si>
    <t>scientific_name</t>
  </si>
  <si>
    <t>common_name</t>
  </si>
  <si>
    <t>tonnes</t>
  </si>
  <si>
    <t>habitat</t>
  </si>
  <si>
    <t>mean_TL</t>
  </si>
  <si>
    <t>SPPR</t>
  </si>
  <si>
    <t>PPR</t>
  </si>
  <si>
    <t>classic SPPR</t>
  </si>
  <si>
    <t>classic PPR</t>
  </si>
  <si>
    <t>Gadus morhua</t>
  </si>
  <si>
    <t>Atlantic cod</t>
  </si>
  <si>
    <t>benthopelagic</t>
  </si>
  <si>
    <t>Clupea harengus</t>
  </si>
  <si>
    <t>Atlantic herring</t>
  </si>
  <si>
    <t>Perca fluviatilis</t>
  </si>
  <si>
    <t>European perch</t>
  </si>
  <si>
    <t>demersal</t>
  </si>
  <si>
    <t>Salmo salar</t>
  </si>
  <si>
    <t>Atlantic salmon</t>
  </si>
  <si>
    <t>Sprattus sprattus</t>
  </si>
  <si>
    <t>European sprat</t>
  </si>
  <si>
    <t>pelagic-neritic</t>
  </si>
  <si>
    <t>Esox lucius</t>
  </si>
  <si>
    <t>Northern pike</t>
  </si>
  <si>
    <t>Platichthys flesus</t>
  </si>
  <si>
    <t>European flounder</t>
  </si>
  <si>
    <t>Belone belone</t>
  </si>
  <si>
    <t>Garfish</t>
  </si>
  <si>
    <t>pelagic-oceanic</t>
  </si>
  <si>
    <t>Osmerus eperlanus</t>
  </si>
  <si>
    <t>European smelt</t>
  </si>
  <si>
    <t>Sander lucioperca</t>
  </si>
  <si>
    <t>Pike-perch</t>
  </si>
  <si>
    <t>pelagic</t>
  </si>
  <si>
    <t>Scophthalmus maximus</t>
  </si>
  <si>
    <t>Turbot</t>
  </si>
  <si>
    <t>Anguilla anguilla</t>
  </si>
  <si>
    <t>European eel</t>
  </si>
  <si>
    <t>Merlangius merlangus</t>
  </si>
  <si>
    <t>Whiting</t>
  </si>
  <si>
    <t>Salmo trutta</t>
  </si>
  <si>
    <t>Sea trout</t>
  </si>
  <si>
    <t>Lota lota</t>
  </si>
  <si>
    <t>Burbot</t>
  </si>
  <si>
    <t>Limanda limanda</t>
  </si>
  <si>
    <t>Common dab</t>
  </si>
  <si>
    <t>Gasterosteus aculeatus</t>
  </si>
  <si>
    <t>Three-spined stickleback</t>
  </si>
  <si>
    <t>Cyclopterus lumpus</t>
  </si>
  <si>
    <t>Lumpfish</t>
  </si>
  <si>
    <t>Rutilus rutilus</t>
  </si>
  <si>
    <t>Roach</t>
  </si>
  <si>
    <t>Pleuronectes platessa</t>
  </si>
  <si>
    <t>European plaice</t>
  </si>
  <si>
    <t>Leuciscus idus</t>
  </si>
  <si>
    <t>Ide</t>
  </si>
  <si>
    <t>Coregonus albula</t>
  </si>
  <si>
    <t>Vendace</t>
  </si>
  <si>
    <t>Mytilus edulis</t>
  </si>
  <si>
    <t>Blue mussel</t>
  </si>
  <si>
    <t>sessile</t>
  </si>
  <si>
    <t>Scophthalmus rhombus</t>
  </si>
  <si>
    <t>Brill</t>
  </si>
  <si>
    <t>Trachinus draco</t>
  </si>
  <si>
    <t>Greater weever</t>
  </si>
  <si>
    <t>Zoarces viviparus</t>
  </si>
  <si>
    <t>Eelpout</t>
  </si>
  <si>
    <t>Scomber scombrus</t>
  </si>
  <si>
    <t>Atlantic mackerel</t>
  </si>
  <si>
    <t>Pollachius pollachius</t>
  </si>
  <si>
    <t>Pollack</t>
  </si>
  <si>
    <t>Palaemon serratus</t>
  </si>
  <si>
    <t>Common prawn</t>
  </si>
  <si>
    <t>benthic</t>
  </si>
  <si>
    <t>Cyprinus carpio</t>
  </si>
  <si>
    <t>Common carp</t>
  </si>
  <si>
    <t>Melanogrammus aeglefinus</t>
  </si>
  <si>
    <t>Haddock</t>
  </si>
  <si>
    <t>Squalus acanthias</t>
  </si>
  <si>
    <t>Picked dogfish</t>
  </si>
  <si>
    <t>Microstomus kitt</t>
  </si>
  <si>
    <t>Lemon sole</t>
  </si>
  <si>
    <t>Solea solea</t>
  </si>
  <si>
    <t>Common sole</t>
  </si>
  <si>
    <t>Petromyzon marinus</t>
  </si>
  <si>
    <t>Sea lamprey</t>
  </si>
  <si>
    <t>Pollachius virens</t>
  </si>
  <si>
    <t>Saithe</t>
  </si>
  <si>
    <t>Merluccius merluccius</t>
  </si>
  <si>
    <t>European hake</t>
  </si>
  <si>
    <t>Coregonus oxyrinchus</t>
  </si>
  <si>
    <t>Houting</t>
  </si>
  <si>
    <t>Reinhardtius hippoglossoides</t>
  </si>
  <si>
    <t>Greenland halibut</t>
  </si>
  <si>
    <t>Anarhichas lupus</t>
  </si>
  <si>
    <t>Atlantic wolffish</t>
  </si>
  <si>
    <t>Lamna nasus</t>
  </si>
  <si>
    <t>Porbeagle</t>
  </si>
  <si>
    <t>Eutrigla gurnardus</t>
  </si>
  <si>
    <t>Grey gurnard</t>
  </si>
  <si>
    <t>Tinca tinca</t>
  </si>
  <si>
    <t>Tench</t>
  </si>
  <si>
    <t>Hippoglossoides platessoides</t>
  </si>
  <si>
    <t>American plaice</t>
  </si>
  <si>
    <t>Nephrops norvegicus</t>
  </si>
  <si>
    <t>Norway lobster</t>
  </si>
  <si>
    <t>Carassius carassius</t>
  </si>
  <si>
    <t>Crucian carp</t>
  </si>
  <si>
    <t>Hypophthalmichthys nobilis</t>
  </si>
  <si>
    <t>Bighead carp</t>
  </si>
  <si>
    <t>Cancer pagurus</t>
  </si>
  <si>
    <t>Edible crab</t>
  </si>
  <si>
    <t>Ostrea edulis</t>
  </si>
  <si>
    <t>European flat oyster</t>
  </si>
  <si>
    <t>Aequipecten opercularis</t>
  </si>
  <si>
    <t>Queen scallop</t>
  </si>
  <si>
    <t>Thunnus thynnus</t>
  </si>
  <si>
    <t>Atlantic bluefin tuna</t>
  </si>
  <si>
    <t>Dicentrarchus labrax</t>
  </si>
  <si>
    <t>European seabass</t>
  </si>
  <si>
    <t>Chelidonichthys cuculus</t>
  </si>
  <si>
    <t>Red gurnard</t>
  </si>
  <si>
    <t>Echinus esculentus</t>
  </si>
  <si>
    <t>European edible sea urchin</t>
  </si>
  <si>
    <t>Baltic Sea PPR 1988-1991, TE=0.1</t>
  </si>
  <si>
    <t>classic</t>
  </si>
  <si>
    <t>improved</t>
  </si>
  <si>
    <t>x10^6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</si>
</sst>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BBE90-EA5D-41EE-9BC7-4CD468178C55}" name="טבלה1" displayName="טבלה1" ref="A1:I55" totalsRowShown="0" headerRowDxfId="0" headerRowBorderDxfId="1" tableBorderDxfId="2">
  <autoFilter ref="A1:I55" xr:uid="{731BBE90-EA5D-41EE-9BC7-4CD468178C55}"/>
  <tableColumns count="9">
    <tableColumn id="1" xr3:uid="{FB5438CB-5D9A-4B5E-8BF6-46B7E2FA2A6C}" name="scientific_name"/>
    <tableColumn id="2" xr3:uid="{6BBC0AEE-DAA4-4CE5-B628-05290723605A}" name="common_name"/>
    <tableColumn id="3" xr3:uid="{284015F2-E771-4D02-8A98-2FC7B366E6DE}" name="tonnes"/>
    <tableColumn id="4" xr3:uid="{15D4D432-ADA0-4D61-A7A2-689FB1BEB397}" name="habitat"/>
    <tableColumn id="5" xr3:uid="{E00C1AAA-3684-4BB5-B0F8-A047DA195BEC}" name="mean_TL"/>
    <tableColumn id="6" xr3:uid="{8A29936E-F64F-45CF-AFAC-434950A8B600}" name="SPPR"/>
    <tableColumn id="7" xr3:uid="{814D0363-8D54-4FC4-BE35-941190317CB4}" name="PPR"/>
    <tableColumn id="8" xr3:uid="{68C336AC-0B5C-4AA1-9AB0-DC08A2051F17}" name="classic SPPR"/>
    <tableColumn id="9" xr3:uid="{CDA3822C-666D-462F-B267-282DF901725E}" name="classic PP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L23" sqref="L23"/>
    </sheetView>
  </sheetViews>
  <sheetFormatPr defaultRowHeight="14" x14ac:dyDescent="0.3"/>
  <cols>
    <col min="1" max="1" width="16.4140625" customWidth="1"/>
    <col min="2" max="2" width="15.75" customWidth="1"/>
    <col min="3" max="3" width="8.75" customWidth="1"/>
    <col min="5" max="5" width="10.75" customWidth="1"/>
    <col min="8" max="8" width="14.25" customWidth="1"/>
    <col min="9" max="9" width="13" customWidth="1"/>
    <col min="12" max="12" width="11.33203125" customWidth="1"/>
    <col min="13" max="13" width="10.8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3">
      <c r="A2" t="s">
        <v>9</v>
      </c>
      <c r="B2" t="s">
        <v>10</v>
      </c>
      <c r="C2">
        <v>985825.7034764156</v>
      </c>
      <c r="D2" t="s">
        <v>11</v>
      </c>
      <c r="E2">
        <v>4.09</v>
      </c>
      <c r="F2">
        <v>1809.9999999999991</v>
      </c>
      <c r="G2">
        <v>1784344523.292311</v>
      </c>
      <c r="H2">
        <v>1230.268770812381</v>
      </c>
      <c r="I2">
        <v>1212830576.4511809</v>
      </c>
    </row>
    <row r="3" spans="1:15" ht="14.5" thickBot="1" x14ac:dyDescent="0.35">
      <c r="A3" t="s">
        <v>12</v>
      </c>
      <c r="B3" t="s">
        <v>13</v>
      </c>
      <c r="C3">
        <v>1607136.990446819</v>
      </c>
      <c r="D3" t="s">
        <v>11</v>
      </c>
      <c r="E3">
        <v>3.38</v>
      </c>
      <c r="F3">
        <v>441.99999999999989</v>
      </c>
      <c r="G3">
        <v>710354549.77749383</v>
      </c>
      <c r="H3">
        <v>239.88329190194901</v>
      </c>
      <c r="I3">
        <v>385525311.80577409</v>
      </c>
    </row>
    <row r="4" spans="1:15" ht="14.5" thickBot="1" x14ac:dyDescent="0.35">
      <c r="A4" t="s">
        <v>14</v>
      </c>
      <c r="B4" t="s">
        <v>15</v>
      </c>
      <c r="C4">
        <v>28217.405118018502</v>
      </c>
      <c r="D4" t="s">
        <v>16</v>
      </c>
      <c r="E4">
        <v>4.3499999999999996</v>
      </c>
      <c r="F4">
        <v>4149.9999999999964</v>
      </c>
      <c r="G4">
        <v>117102231.2397767</v>
      </c>
      <c r="H4">
        <v>2238.7211385683381</v>
      </c>
      <c r="I4">
        <v>63170901.313254423</v>
      </c>
      <c r="L4" s="8" t="s">
        <v>124</v>
      </c>
      <c r="M4" s="9"/>
      <c r="N4" s="9"/>
      <c r="O4" s="10"/>
    </row>
    <row r="5" spans="1:15" x14ac:dyDescent="0.3">
      <c r="A5" t="s">
        <v>17</v>
      </c>
      <c r="B5" t="s">
        <v>18</v>
      </c>
      <c r="C5">
        <v>19630.403149477101</v>
      </c>
      <c r="D5" t="s">
        <v>11</v>
      </c>
      <c r="E5">
        <v>4.5</v>
      </c>
      <c r="F5">
        <v>5500</v>
      </c>
      <c r="G5">
        <v>107967217.322124</v>
      </c>
      <c r="H5">
        <v>3162.277660168379</v>
      </c>
      <c r="I5">
        <v>62076785.339690432</v>
      </c>
      <c r="L5" s="11" t="s">
        <v>125</v>
      </c>
      <c r="M5" s="2">
        <f>SUM(טבלה1[classic PPR]) / 1000000</f>
        <v>1826.8881157211006</v>
      </c>
      <c r="N5" s="3" t="s">
        <v>127</v>
      </c>
      <c r="O5" s="4" t="s">
        <v>2</v>
      </c>
    </row>
    <row r="6" spans="1:15" ht="14.5" thickBot="1" x14ac:dyDescent="0.35">
      <c r="A6" t="s">
        <v>19</v>
      </c>
      <c r="B6" t="s">
        <v>20</v>
      </c>
      <c r="C6">
        <v>371168.58764379169</v>
      </c>
      <c r="D6" t="s">
        <v>21</v>
      </c>
      <c r="E6">
        <v>3.01</v>
      </c>
      <c r="F6">
        <v>108.9999999999998</v>
      </c>
      <c r="G6">
        <v>40457376.053173229</v>
      </c>
      <c r="H6">
        <v>102.3292992280754</v>
      </c>
      <c r="I6">
        <v>37981421.469063677</v>
      </c>
      <c r="L6" s="12" t="s">
        <v>126</v>
      </c>
      <c r="M6" s="5">
        <f>SUM(טבלה1[PPR]) / 1000000</f>
        <v>2863.1394436621117</v>
      </c>
      <c r="N6" s="6" t="s">
        <v>127</v>
      </c>
      <c r="O6" s="7" t="s">
        <v>2</v>
      </c>
    </row>
    <row r="7" spans="1:15" x14ac:dyDescent="0.3">
      <c r="A7" t="s">
        <v>22</v>
      </c>
      <c r="B7" t="s">
        <v>23</v>
      </c>
      <c r="C7">
        <v>17678.5777159141</v>
      </c>
      <c r="D7" t="s">
        <v>16</v>
      </c>
      <c r="E7">
        <v>4.07</v>
      </c>
      <c r="F7">
        <v>1630.000000000003</v>
      </c>
      <c r="G7">
        <v>28816081.676940031</v>
      </c>
      <c r="H7">
        <v>1174.89755493953</v>
      </c>
      <c r="I7">
        <v>20770517.73323594</v>
      </c>
    </row>
    <row r="8" spans="1:15" x14ac:dyDescent="0.3">
      <c r="A8" t="s">
        <v>24</v>
      </c>
      <c r="B8" t="s">
        <v>25</v>
      </c>
      <c r="C8">
        <v>31036.2574972353</v>
      </c>
      <c r="D8" t="s">
        <v>16</v>
      </c>
      <c r="E8">
        <v>3.32</v>
      </c>
      <c r="F8">
        <v>387.99999999999977</v>
      </c>
      <c r="G8">
        <v>12042067.90892729</v>
      </c>
      <c r="H8">
        <v>208.9296130854039</v>
      </c>
      <c r="I8">
        <v>6484393.270516336</v>
      </c>
    </row>
    <row r="9" spans="1:15" x14ac:dyDescent="0.3">
      <c r="A9" t="s">
        <v>26</v>
      </c>
      <c r="B9" t="s">
        <v>27</v>
      </c>
      <c r="C9">
        <v>4131.2952524605998</v>
      </c>
      <c r="D9" t="s">
        <v>28</v>
      </c>
      <c r="E9">
        <v>4.16</v>
      </c>
      <c r="F9">
        <v>2440.0000000000009</v>
      </c>
      <c r="G9">
        <v>10080360.41600387</v>
      </c>
      <c r="H9">
        <v>1445.4397707459279</v>
      </c>
      <c r="I9">
        <v>5971538.4626003886</v>
      </c>
    </row>
    <row r="10" spans="1:15" x14ac:dyDescent="0.3">
      <c r="A10" t="s">
        <v>29</v>
      </c>
      <c r="B10" t="s">
        <v>30</v>
      </c>
      <c r="C10">
        <v>19776.396829687699</v>
      </c>
      <c r="D10" t="s">
        <v>21</v>
      </c>
      <c r="E10">
        <v>3.46</v>
      </c>
      <c r="F10">
        <v>514</v>
      </c>
      <c r="G10">
        <v>10165067.97045948</v>
      </c>
      <c r="H10">
        <v>288.40315031266061</v>
      </c>
      <c r="I10">
        <v>5703575.1475152448</v>
      </c>
    </row>
    <row r="11" spans="1:15" x14ac:dyDescent="0.3">
      <c r="A11" t="s">
        <v>31</v>
      </c>
      <c r="B11" t="s">
        <v>32</v>
      </c>
      <c r="C11">
        <v>5035.2871151325999</v>
      </c>
      <c r="D11" t="s">
        <v>33</v>
      </c>
      <c r="E11">
        <v>4.04</v>
      </c>
      <c r="F11">
        <v>1360</v>
      </c>
      <c r="G11">
        <v>6847990.4765803386</v>
      </c>
      <c r="H11">
        <v>1096.478196143185</v>
      </c>
      <c r="I11">
        <v>5521082.5330636157</v>
      </c>
    </row>
    <row r="12" spans="1:15" x14ac:dyDescent="0.3">
      <c r="A12" t="s">
        <v>34</v>
      </c>
      <c r="B12" t="s">
        <v>35</v>
      </c>
      <c r="C12">
        <v>1828.5279292139001</v>
      </c>
      <c r="D12" t="s">
        <v>16</v>
      </c>
      <c r="E12">
        <v>4.3600000000000003</v>
      </c>
      <c r="F12">
        <v>4240.0000000000027</v>
      </c>
      <c r="G12">
        <v>7752958.4198669409</v>
      </c>
      <c r="H12">
        <v>2290.8676527677749</v>
      </c>
      <c r="I12">
        <v>4188915.4852185668</v>
      </c>
    </row>
    <row r="13" spans="1:15" x14ac:dyDescent="0.3">
      <c r="A13" t="s">
        <v>36</v>
      </c>
      <c r="B13" t="s">
        <v>37</v>
      </c>
      <c r="C13">
        <v>10452.1275305293</v>
      </c>
      <c r="D13" t="s">
        <v>16</v>
      </c>
      <c r="E13">
        <v>3.55</v>
      </c>
      <c r="F13">
        <v>594.99999999999977</v>
      </c>
      <c r="G13">
        <v>6219015.8806649316</v>
      </c>
      <c r="H13">
        <v>354.81338923357532</v>
      </c>
      <c r="I13">
        <v>3708554.7938086609</v>
      </c>
    </row>
    <row r="14" spans="1:15" x14ac:dyDescent="0.3">
      <c r="A14" t="s">
        <v>38</v>
      </c>
      <c r="B14" t="s">
        <v>39</v>
      </c>
      <c r="C14">
        <v>1613.3253421766001</v>
      </c>
      <c r="D14" t="s">
        <v>11</v>
      </c>
      <c r="E14">
        <v>4.3600000000000003</v>
      </c>
      <c r="F14">
        <v>4240.0000000000027</v>
      </c>
      <c r="G14">
        <v>6840499.4508287888</v>
      </c>
      <c r="H14">
        <v>2290.8676527677749</v>
      </c>
      <c r="I14">
        <v>3695914.839782875</v>
      </c>
    </row>
    <row r="15" spans="1:15" x14ac:dyDescent="0.3">
      <c r="A15" t="s">
        <v>40</v>
      </c>
      <c r="B15" t="s">
        <v>41</v>
      </c>
      <c r="C15">
        <v>6258.3307644070001</v>
      </c>
      <c r="D15" t="s">
        <v>21</v>
      </c>
      <c r="E15">
        <v>3.36</v>
      </c>
      <c r="F15">
        <v>423.99999999999989</v>
      </c>
      <c r="G15">
        <v>2653532.244108567</v>
      </c>
      <c r="H15">
        <v>229.08676527677719</v>
      </c>
      <c r="I15">
        <v>1433700.7508501399</v>
      </c>
    </row>
    <row r="16" spans="1:15" x14ac:dyDescent="0.3">
      <c r="A16" t="s">
        <v>42</v>
      </c>
      <c r="B16" t="s">
        <v>43</v>
      </c>
      <c r="C16">
        <v>2051.2859421484</v>
      </c>
      <c r="D16" t="s">
        <v>16</v>
      </c>
      <c r="E16">
        <v>3.84</v>
      </c>
      <c r="F16">
        <v>855.99999999999989</v>
      </c>
      <c r="G16">
        <v>1755900.76647903</v>
      </c>
      <c r="H16">
        <v>691.83097091893626</v>
      </c>
      <c r="I16">
        <v>1419143.1449888919</v>
      </c>
    </row>
    <row r="17" spans="1:9" x14ac:dyDescent="0.3">
      <c r="A17" t="s">
        <v>44</v>
      </c>
      <c r="B17" t="s">
        <v>45</v>
      </c>
      <c r="C17">
        <v>6883.9432224115999</v>
      </c>
      <c r="D17" t="s">
        <v>16</v>
      </c>
      <c r="E17">
        <v>3.29</v>
      </c>
      <c r="F17">
        <v>361.00000000000011</v>
      </c>
      <c r="G17">
        <v>2485103.503290588</v>
      </c>
      <c r="H17">
        <v>194.98445997580461</v>
      </c>
      <c r="I17">
        <v>1342261.9517260259</v>
      </c>
    </row>
    <row r="18" spans="1:9" x14ac:dyDescent="0.3">
      <c r="A18" t="s">
        <v>46</v>
      </c>
      <c r="B18" t="s">
        <v>47</v>
      </c>
      <c r="C18">
        <v>4989.7082909217997</v>
      </c>
      <c r="D18" t="s">
        <v>11</v>
      </c>
      <c r="E18">
        <v>3.31</v>
      </c>
      <c r="F18">
        <v>379.00000000000011</v>
      </c>
      <c r="G18">
        <v>1891099.442259362</v>
      </c>
      <c r="H18">
        <v>204.17379446695301</v>
      </c>
      <c r="I18">
        <v>1018767.675040719</v>
      </c>
    </row>
    <row r="19" spans="1:9" x14ac:dyDescent="0.3">
      <c r="A19" t="s">
        <v>48</v>
      </c>
      <c r="B19" t="s">
        <v>49</v>
      </c>
      <c r="C19">
        <v>1281.4791492730001</v>
      </c>
      <c r="D19" t="s">
        <v>11</v>
      </c>
      <c r="E19">
        <v>3.89</v>
      </c>
      <c r="F19">
        <v>901.00000000000011</v>
      </c>
      <c r="G19">
        <v>1154612.713494973</v>
      </c>
      <c r="H19">
        <v>776.24711662869197</v>
      </c>
      <c r="I19">
        <v>994744.49464295548</v>
      </c>
    </row>
    <row r="20" spans="1:9" x14ac:dyDescent="0.3">
      <c r="A20" t="s">
        <v>50</v>
      </c>
      <c r="B20" t="s">
        <v>51</v>
      </c>
      <c r="C20">
        <v>10415.923330592699</v>
      </c>
      <c r="D20" t="s">
        <v>11</v>
      </c>
      <c r="E20">
        <v>2.96</v>
      </c>
      <c r="F20">
        <v>96.4</v>
      </c>
      <c r="G20">
        <v>1004095.009069136</v>
      </c>
      <c r="H20">
        <v>91.201083935590972</v>
      </c>
      <c r="I20">
        <v>949943.49794006499</v>
      </c>
    </row>
    <row r="21" spans="1:9" x14ac:dyDescent="0.3">
      <c r="A21" t="s">
        <v>52</v>
      </c>
      <c r="B21" t="s">
        <v>53</v>
      </c>
      <c r="C21">
        <v>3521.7415846458998</v>
      </c>
      <c r="D21" t="s">
        <v>16</v>
      </c>
      <c r="E21">
        <v>3.26</v>
      </c>
      <c r="F21">
        <v>333.99999999999977</v>
      </c>
      <c r="G21">
        <v>1176261.6892717299</v>
      </c>
      <c r="H21">
        <v>181.9700858609983</v>
      </c>
      <c r="I21">
        <v>640851.61853826244</v>
      </c>
    </row>
    <row r="22" spans="1:9" x14ac:dyDescent="0.3">
      <c r="A22" t="s">
        <v>54</v>
      </c>
      <c r="B22" t="s">
        <v>55</v>
      </c>
      <c r="C22">
        <v>791.68112513940002</v>
      </c>
      <c r="D22" t="s">
        <v>11</v>
      </c>
      <c r="E22">
        <v>3.79</v>
      </c>
      <c r="F22">
        <v>811</v>
      </c>
      <c r="G22">
        <v>642053.39248805342</v>
      </c>
      <c r="H22">
        <v>616.59500186148216</v>
      </c>
      <c r="I22">
        <v>488146.62482902867</v>
      </c>
    </row>
    <row r="23" spans="1:9" x14ac:dyDescent="0.3">
      <c r="A23" t="s">
        <v>56</v>
      </c>
      <c r="B23" t="s">
        <v>57</v>
      </c>
      <c r="C23">
        <v>3260.2154852501999</v>
      </c>
      <c r="D23" t="s">
        <v>11</v>
      </c>
      <c r="E23">
        <v>3.06</v>
      </c>
      <c r="F23">
        <v>154.00000000000011</v>
      </c>
      <c r="G23">
        <v>502073.18472853099</v>
      </c>
      <c r="H23">
        <v>114.8153621496883</v>
      </c>
      <c r="I23">
        <v>374322.82162502338</v>
      </c>
    </row>
    <row r="24" spans="1:9" x14ac:dyDescent="0.3">
      <c r="A24" t="s">
        <v>58</v>
      </c>
      <c r="B24" t="s">
        <v>59</v>
      </c>
      <c r="C24">
        <v>19575.786676612501</v>
      </c>
      <c r="D24" t="s">
        <v>60</v>
      </c>
      <c r="E24">
        <v>2</v>
      </c>
      <c r="F24">
        <v>10</v>
      </c>
      <c r="G24">
        <v>195757.86676612499</v>
      </c>
      <c r="H24">
        <v>10</v>
      </c>
      <c r="I24">
        <v>195757.86676612499</v>
      </c>
    </row>
    <row r="25" spans="1:9" x14ac:dyDescent="0.3">
      <c r="A25" t="s">
        <v>61</v>
      </c>
      <c r="B25" t="s">
        <v>62</v>
      </c>
      <c r="C25">
        <v>43.469781102100001</v>
      </c>
      <c r="D25" t="s">
        <v>16</v>
      </c>
      <c r="E25">
        <v>4.42</v>
      </c>
      <c r="F25">
        <v>4779.9999999999991</v>
      </c>
      <c r="G25">
        <v>207785.55366803799</v>
      </c>
      <c r="H25">
        <v>2630.2679918953809</v>
      </c>
      <c r="I25">
        <v>114337.1738475524</v>
      </c>
    </row>
    <row r="26" spans="1:9" x14ac:dyDescent="0.3">
      <c r="A26" t="s">
        <v>63</v>
      </c>
      <c r="B26" t="s">
        <v>64</v>
      </c>
      <c r="C26">
        <v>38.452697180800001</v>
      </c>
      <c r="D26" t="s">
        <v>16</v>
      </c>
      <c r="E26">
        <v>4.18</v>
      </c>
      <c r="F26">
        <v>2619.9999999999968</v>
      </c>
      <c r="G26">
        <v>100746.0666136959</v>
      </c>
      <c r="H26">
        <v>1513.5612484362071</v>
      </c>
      <c r="I26">
        <v>58200.512350711077</v>
      </c>
    </row>
    <row r="27" spans="1:9" x14ac:dyDescent="0.3">
      <c r="A27" t="s">
        <v>65</v>
      </c>
      <c r="B27" t="s">
        <v>66</v>
      </c>
      <c r="C27">
        <v>147.82340584569999</v>
      </c>
      <c r="D27" t="s">
        <v>16</v>
      </c>
      <c r="E27">
        <v>3.47</v>
      </c>
      <c r="F27">
        <v>523.00000000000011</v>
      </c>
      <c r="G27">
        <v>77311.641257301118</v>
      </c>
      <c r="H27">
        <v>295.12092266663871</v>
      </c>
      <c r="I27">
        <v>43625.779924907984</v>
      </c>
    </row>
    <row r="28" spans="1:9" x14ac:dyDescent="0.3">
      <c r="A28" t="s">
        <v>67</v>
      </c>
      <c r="B28" t="s">
        <v>68</v>
      </c>
      <c r="C28">
        <v>91.050091303199991</v>
      </c>
      <c r="D28" t="s">
        <v>21</v>
      </c>
      <c r="E28">
        <v>3.63</v>
      </c>
      <c r="F28">
        <v>666.99999999999989</v>
      </c>
      <c r="G28">
        <v>60730.410899234383</v>
      </c>
      <c r="H28">
        <v>426.57951880159249</v>
      </c>
      <c r="I28">
        <v>38840.104134960122</v>
      </c>
    </row>
    <row r="29" spans="1:9" x14ac:dyDescent="0.3">
      <c r="A29" t="s">
        <v>69</v>
      </c>
      <c r="B29" t="s">
        <v>70</v>
      </c>
      <c r="C29">
        <v>18.109419097</v>
      </c>
      <c r="D29" t="s">
        <v>11</v>
      </c>
      <c r="E29">
        <v>4.32</v>
      </c>
      <c r="F29">
        <v>3880.0000000000032</v>
      </c>
      <c r="G29">
        <v>70264.546096360049</v>
      </c>
      <c r="H29">
        <v>2089.2961308540412</v>
      </c>
      <c r="I29">
        <v>37835.939251376367</v>
      </c>
    </row>
    <row r="30" spans="1:9" x14ac:dyDescent="0.3">
      <c r="A30" t="s">
        <v>71</v>
      </c>
      <c r="B30" t="s">
        <v>72</v>
      </c>
      <c r="C30">
        <v>349.4635406283</v>
      </c>
      <c r="D30" t="s">
        <v>73</v>
      </c>
      <c r="E30">
        <v>2.69</v>
      </c>
      <c r="F30">
        <v>72.099999999999994</v>
      </c>
      <c r="G30">
        <v>25196.321279300431</v>
      </c>
      <c r="H30">
        <v>48.977881936844611</v>
      </c>
      <c r="I30">
        <v>17115.98403412458</v>
      </c>
    </row>
    <row r="31" spans="1:9" x14ac:dyDescent="0.3">
      <c r="A31" t="s">
        <v>74</v>
      </c>
      <c r="B31" t="s">
        <v>75</v>
      </c>
      <c r="C31">
        <v>128.60675171</v>
      </c>
      <c r="D31" t="s">
        <v>11</v>
      </c>
      <c r="E31">
        <v>3.06</v>
      </c>
      <c r="F31">
        <v>154.00000000000011</v>
      </c>
      <c r="G31">
        <v>19805.439763340011</v>
      </c>
      <c r="H31">
        <v>114.8153621496883</v>
      </c>
      <c r="I31">
        <v>14766.030772478691</v>
      </c>
    </row>
    <row r="32" spans="1:9" x14ac:dyDescent="0.3">
      <c r="A32" t="s">
        <v>76</v>
      </c>
      <c r="B32" t="s">
        <v>77</v>
      </c>
      <c r="C32">
        <v>12.439569392799999</v>
      </c>
      <c r="D32" t="s">
        <v>16</v>
      </c>
      <c r="E32">
        <v>4.03</v>
      </c>
      <c r="F32">
        <v>1270.000000000002</v>
      </c>
      <c r="G32">
        <v>15798.253128856029</v>
      </c>
      <c r="H32">
        <v>1071.5193052376071</v>
      </c>
      <c r="I32">
        <v>13329.238753228061</v>
      </c>
    </row>
    <row r="33" spans="1:9" x14ac:dyDescent="0.3">
      <c r="A33" t="s">
        <v>78</v>
      </c>
      <c r="B33" t="s">
        <v>79</v>
      </c>
      <c r="C33">
        <v>5.0555295438999996</v>
      </c>
      <c r="D33" t="s">
        <v>11</v>
      </c>
      <c r="E33">
        <v>4.37</v>
      </c>
      <c r="F33">
        <v>4330.0000000000009</v>
      </c>
      <c r="G33">
        <v>21890.442925087002</v>
      </c>
      <c r="H33">
        <v>2344.2288153199229</v>
      </c>
      <c r="I33">
        <v>11851.31803351157</v>
      </c>
    </row>
    <row r="34" spans="1:9" x14ac:dyDescent="0.3">
      <c r="A34" t="s">
        <v>80</v>
      </c>
      <c r="B34" t="s">
        <v>81</v>
      </c>
      <c r="C34">
        <v>69.377720831800005</v>
      </c>
      <c r="D34" t="s">
        <v>16</v>
      </c>
      <c r="E34">
        <v>3.22</v>
      </c>
      <c r="F34">
        <v>298.00000000000023</v>
      </c>
      <c r="G34">
        <v>20674.560807876409</v>
      </c>
      <c r="H34">
        <v>165.95869074375611</v>
      </c>
      <c r="I34">
        <v>11513.835716031341</v>
      </c>
    </row>
    <row r="35" spans="1:9" x14ac:dyDescent="0.3">
      <c r="A35" t="s">
        <v>82</v>
      </c>
      <c r="B35" t="s">
        <v>83</v>
      </c>
      <c r="C35">
        <v>59.473369503299999</v>
      </c>
      <c r="D35" t="s">
        <v>16</v>
      </c>
      <c r="E35">
        <v>3.21</v>
      </c>
      <c r="F35">
        <v>289</v>
      </c>
      <c r="G35">
        <v>17187.8037864537</v>
      </c>
      <c r="H35">
        <v>162.18100973589301</v>
      </c>
      <c r="I35">
        <v>9645.4511184410585</v>
      </c>
    </row>
    <row r="36" spans="1:9" x14ac:dyDescent="0.3">
      <c r="A36" t="s">
        <v>84</v>
      </c>
      <c r="B36" t="s">
        <v>85</v>
      </c>
      <c r="C36">
        <v>3.0005940299999998</v>
      </c>
      <c r="D36" t="s">
        <v>16</v>
      </c>
      <c r="E36">
        <v>4.37</v>
      </c>
      <c r="F36">
        <v>4330.0000000000009</v>
      </c>
      <c r="G36">
        <v>12992.572149899999</v>
      </c>
      <c r="H36">
        <v>2344.2288153199229</v>
      </c>
      <c r="I36">
        <v>7034.078988202933</v>
      </c>
    </row>
    <row r="37" spans="1:9" x14ac:dyDescent="0.3">
      <c r="A37" t="s">
        <v>86</v>
      </c>
      <c r="B37" t="s">
        <v>87</v>
      </c>
      <c r="C37">
        <v>2.4441766533</v>
      </c>
      <c r="D37" t="s">
        <v>16</v>
      </c>
      <c r="E37">
        <v>4.3099999999999996</v>
      </c>
      <c r="F37">
        <v>3789.9999999999959</v>
      </c>
      <c r="G37">
        <v>9263.4295160069905</v>
      </c>
      <c r="H37">
        <v>2041.737944669527</v>
      </c>
      <c r="I37">
        <v>4990.3682165179862</v>
      </c>
    </row>
    <row r="38" spans="1:9" x14ac:dyDescent="0.3">
      <c r="A38" t="s">
        <v>88</v>
      </c>
      <c r="B38" t="s">
        <v>89</v>
      </c>
      <c r="C38">
        <v>1.1718510317999999</v>
      </c>
      <c r="D38" t="s">
        <v>16</v>
      </c>
      <c r="E38">
        <v>4.42</v>
      </c>
      <c r="F38">
        <v>4779.9999999999991</v>
      </c>
      <c r="G38">
        <v>5601.4479320039991</v>
      </c>
      <c r="H38">
        <v>2630.2679918953809</v>
      </c>
      <c r="I38">
        <v>3082.2822602131159</v>
      </c>
    </row>
    <row r="39" spans="1:9" x14ac:dyDescent="0.3">
      <c r="A39" t="s">
        <v>90</v>
      </c>
      <c r="B39" t="s">
        <v>91</v>
      </c>
      <c r="C39">
        <v>14.017114897400001</v>
      </c>
      <c r="D39" t="s">
        <v>16</v>
      </c>
      <c r="E39">
        <v>3.25</v>
      </c>
      <c r="F39">
        <v>325</v>
      </c>
      <c r="G39">
        <v>4555.5623416550006</v>
      </c>
      <c r="H39">
        <v>177.82794100389231</v>
      </c>
      <c r="I39">
        <v>2492.6346810196269</v>
      </c>
    </row>
    <row r="40" spans="1:9" x14ac:dyDescent="0.3">
      <c r="A40" t="s">
        <v>92</v>
      </c>
      <c r="B40" t="s">
        <v>93</v>
      </c>
      <c r="C40">
        <v>1.0075600258999999</v>
      </c>
      <c r="D40" t="s">
        <v>11</v>
      </c>
      <c r="E40">
        <v>4.38</v>
      </c>
      <c r="F40">
        <v>4419.9999999999991</v>
      </c>
      <c r="G40">
        <v>4453.4153144779984</v>
      </c>
      <c r="H40">
        <v>2398.83291901949</v>
      </c>
      <c r="I40">
        <v>2416.96815801705</v>
      </c>
    </row>
    <row r="41" spans="1:9" x14ac:dyDescent="0.3">
      <c r="A41" t="s">
        <v>94</v>
      </c>
      <c r="B41" t="s">
        <v>95</v>
      </c>
      <c r="C41">
        <v>6.1995933017000002</v>
      </c>
      <c r="D41" t="s">
        <v>16</v>
      </c>
      <c r="E41">
        <v>3.55</v>
      </c>
      <c r="F41">
        <v>594.99999999999977</v>
      </c>
      <c r="G41">
        <v>3688.7580145114989</v>
      </c>
      <c r="H41">
        <v>354.81338923357532</v>
      </c>
      <c r="I41">
        <v>2199.6987112459492</v>
      </c>
    </row>
    <row r="42" spans="1:9" x14ac:dyDescent="0.3">
      <c r="A42" t="s">
        <v>96</v>
      </c>
      <c r="B42" t="s">
        <v>97</v>
      </c>
      <c r="C42">
        <v>0.58525818789999995</v>
      </c>
      <c r="D42" t="s">
        <v>28</v>
      </c>
      <c r="E42">
        <v>4.57</v>
      </c>
      <c r="F42">
        <v>6130.0000000000027</v>
      </c>
      <c r="G42">
        <v>3587.632691827002</v>
      </c>
      <c r="H42">
        <v>3715.3522909717281</v>
      </c>
      <c r="I42">
        <v>2174.4403492242268</v>
      </c>
    </row>
    <row r="43" spans="1:9" x14ac:dyDescent="0.3">
      <c r="A43" t="s">
        <v>98</v>
      </c>
      <c r="B43" t="s">
        <v>99</v>
      </c>
      <c r="C43">
        <v>2.7987005796000002</v>
      </c>
      <c r="D43" t="s">
        <v>16</v>
      </c>
      <c r="E43">
        <v>3.87</v>
      </c>
      <c r="F43">
        <v>883.00000000000011</v>
      </c>
      <c r="G43">
        <v>2471.252611786801</v>
      </c>
      <c r="H43">
        <v>741.31024130091771</v>
      </c>
      <c r="I43">
        <v>2074.7054019922939</v>
      </c>
    </row>
    <row r="44" spans="1:9" x14ac:dyDescent="0.3">
      <c r="A44" t="s">
        <v>100</v>
      </c>
      <c r="B44" t="s">
        <v>101</v>
      </c>
      <c r="C44">
        <v>3.8318923302000001</v>
      </c>
      <c r="D44" t="s">
        <v>16</v>
      </c>
      <c r="E44">
        <v>3.69</v>
      </c>
      <c r="F44">
        <v>721</v>
      </c>
      <c r="G44">
        <v>2762.7943700741998</v>
      </c>
      <c r="H44">
        <v>489.77881936844608</v>
      </c>
      <c r="I44">
        <v>1876.7797014323601</v>
      </c>
    </row>
    <row r="45" spans="1:9" x14ac:dyDescent="0.3">
      <c r="A45" t="s">
        <v>102</v>
      </c>
      <c r="B45" t="s">
        <v>103</v>
      </c>
      <c r="C45">
        <v>0.90573928609999999</v>
      </c>
      <c r="D45" t="s">
        <v>16</v>
      </c>
      <c r="E45">
        <v>4.08</v>
      </c>
      <c r="F45">
        <v>1720</v>
      </c>
      <c r="G45">
        <v>1557.871572092</v>
      </c>
      <c r="H45">
        <v>1202.2644346174129</v>
      </c>
      <c r="I45">
        <v>1088.938130713796</v>
      </c>
    </row>
    <row r="46" spans="1:9" x14ac:dyDescent="0.3">
      <c r="A46" t="s">
        <v>104</v>
      </c>
      <c r="B46" t="s">
        <v>105</v>
      </c>
      <c r="C46">
        <v>3.1974148292</v>
      </c>
      <c r="D46" t="s">
        <v>73</v>
      </c>
      <c r="E46">
        <v>2.87</v>
      </c>
      <c r="F46">
        <v>88.300000000000011</v>
      </c>
      <c r="G46">
        <v>282.33172941836011</v>
      </c>
      <c r="H46">
        <v>74.131024130091774</v>
      </c>
      <c r="I46">
        <v>237.02763585733851</v>
      </c>
    </row>
    <row r="47" spans="1:9" x14ac:dyDescent="0.3">
      <c r="A47" t="s">
        <v>106</v>
      </c>
      <c r="B47" t="s">
        <v>107</v>
      </c>
      <c r="C47">
        <v>1.3999054401</v>
      </c>
      <c r="D47" t="s">
        <v>16</v>
      </c>
      <c r="E47">
        <v>3.11</v>
      </c>
      <c r="F47">
        <v>198.99999999999989</v>
      </c>
      <c r="G47">
        <v>278.58118257989992</v>
      </c>
      <c r="H47">
        <v>128.8249551693134</v>
      </c>
      <c r="I47">
        <v>180.34275556216039</v>
      </c>
    </row>
    <row r="48" spans="1:9" x14ac:dyDescent="0.3">
      <c r="A48" t="s">
        <v>108</v>
      </c>
      <c r="B48" t="s">
        <v>109</v>
      </c>
      <c r="C48">
        <v>1.6790375377</v>
      </c>
      <c r="D48" t="s">
        <v>11</v>
      </c>
      <c r="E48">
        <v>2.38</v>
      </c>
      <c r="F48">
        <v>44.199999999999989</v>
      </c>
      <c r="G48">
        <v>74.213459166339973</v>
      </c>
      <c r="H48">
        <v>23.9883291901949</v>
      </c>
      <c r="I48">
        <v>40.277305177041882</v>
      </c>
    </row>
    <row r="49" spans="1:9" x14ac:dyDescent="0.3">
      <c r="A49" t="s">
        <v>110</v>
      </c>
      <c r="B49" t="s">
        <v>111</v>
      </c>
      <c r="C49">
        <v>0.25015077120000001</v>
      </c>
      <c r="D49" t="s">
        <v>73</v>
      </c>
      <c r="E49">
        <v>3.1</v>
      </c>
      <c r="F49">
        <v>190.00000000000011</v>
      </c>
      <c r="G49">
        <v>47.528646528000017</v>
      </c>
      <c r="H49">
        <v>125.8925411794168</v>
      </c>
      <c r="I49">
        <v>31.492116264358859</v>
      </c>
    </row>
    <row r="50" spans="1:9" x14ac:dyDescent="0.3">
      <c r="A50" t="s">
        <v>112</v>
      </c>
      <c r="B50" t="s">
        <v>113</v>
      </c>
      <c r="C50">
        <v>0.41946425580000002</v>
      </c>
      <c r="D50" t="s">
        <v>60</v>
      </c>
      <c r="E50">
        <v>2</v>
      </c>
      <c r="F50">
        <v>10</v>
      </c>
      <c r="G50">
        <v>4.194642558</v>
      </c>
      <c r="H50">
        <v>10</v>
      </c>
      <c r="I50">
        <v>4.194642558</v>
      </c>
    </row>
    <row r="51" spans="1:9" x14ac:dyDescent="0.3">
      <c r="A51" t="s">
        <v>114</v>
      </c>
      <c r="B51" t="s">
        <v>115</v>
      </c>
      <c r="C51">
        <v>5.4012905599999987E-2</v>
      </c>
      <c r="D51" t="s">
        <v>73</v>
      </c>
      <c r="E51">
        <v>2</v>
      </c>
      <c r="F51">
        <v>10</v>
      </c>
      <c r="G51">
        <v>0.54012905599999983</v>
      </c>
      <c r="H51">
        <v>10</v>
      </c>
      <c r="I51">
        <v>0.54012905599999983</v>
      </c>
    </row>
    <row r="52" spans="1:9" x14ac:dyDescent="0.3">
      <c r="A52" t="s">
        <v>116</v>
      </c>
      <c r="B52" t="s">
        <v>117</v>
      </c>
      <c r="C52">
        <v>1.1427140000000001E-4</v>
      </c>
      <c r="D52" t="s">
        <v>28</v>
      </c>
      <c r="E52">
        <v>4.45</v>
      </c>
      <c r="F52">
        <v>5050.0000000000018</v>
      </c>
      <c r="G52">
        <v>0.57707057000000028</v>
      </c>
      <c r="H52">
        <v>2818.3829312644548</v>
      </c>
      <c r="I52">
        <v>0.32206056329169302</v>
      </c>
    </row>
    <row r="53" spans="1:9" x14ac:dyDescent="0.3">
      <c r="A53" t="s">
        <v>118</v>
      </c>
      <c r="B53" t="s">
        <v>119</v>
      </c>
      <c r="C53">
        <v>1.72981E-4</v>
      </c>
      <c r="D53" t="s">
        <v>16</v>
      </c>
      <c r="E53">
        <v>3.79</v>
      </c>
      <c r="F53">
        <v>811</v>
      </c>
      <c r="G53">
        <v>0.14028759099999999</v>
      </c>
      <c r="H53">
        <v>616.59500186148216</v>
      </c>
      <c r="I53">
        <v>0.10665922001700109</v>
      </c>
    </row>
    <row r="54" spans="1:9" x14ac:dyDescent="0.3">
      <c r="A54" t="s">
        <v>120</v>
      </c>
      <c r="B54" t="s">
        <v>121</v>
      </c>
      <c r="C54">
        <v>9.5510100000000006E-5</v>
      </c>
      <c r="D54" t="s">
        <v>16</v>
      </c>
      <c r="E54">
        <v>3.81</v>
      </c>
      <c r="F54">
        <v>829</v>
      </c>
      <c r="G54">
        <v>7.9177872900000001E-2</v>
      </c>
      <c r="H54">
        <v>645.6542290346556</v>
      </c>
      <c r="I54">
        <v>6.1666499980522857E-2</v>
      </c>
    </row>
    <row r="55" spans="1:9" x14ac:dyDescent="0.3">
      <c r="A55" t="s">
        <v>122</v>
      </c>
      <c r="B55" t="s">
        <v>123</v>
      </c>
      <c r="C55">
        <v>1.94153E-4</v>
      </c>
      <c r="D55" t="s">
        <v>16</v>
      </c>
      <c r="E55">
        <v>2</v>
      </c>
      <c r="F55">
        <v>10</v>
      </c>
      <c r="G55">
        <v>1.9415299999999999E-3</v>
      </c>
      <c r="H55">
        <v>10</v>
      </c>
      <c r="I55">
        <v>1.9415299999999999E-3</v>
      </c>
    </row>
  </sheetData>
  <mergeCells count="1">
    <mergeCell ref="L4:O4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2026-01-28T21:25:27Z</dcterms:created>
  <dcterms:modified xsi:type="dcterms:W3CDTF">2026-01-28T21:28:41Z</dcterms:modified>
</cp:coreProperties>
</file>